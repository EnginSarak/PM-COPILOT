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p Bins" sheetId="1" state="visible" r:id="rId1"/>
    <sheet xmlns:r="http://schemas.openxmlformats.org/officeDocument/2006/relationships" name="Lines" sheetId="2" state="visible" r:id="rId2"/>
  </sheets>
  <definedNames>
    <definedName name="_xlnm.Print_Area" localSheetId="0">OFFSET('Pump Bins'!$A$1,0,0,MAX('Pump Bins'!$K$5,4),2)</definedName>
    <definedName name="_xlnm.Print_Titles" localSheetId="0">'Pump Bins'!$3:$3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  <sz val="12"/>
    </font>
    <font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pivotButton="0" quotePrefix="0" xfId="0"/>
    <xf numFmtId="0" fontId="2" fillId="2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dxfs count="3">
    <dxf>
      <font>
        <b val="1"/>
      </font>
      <fill>
        <patternFill patternType="solid">
          <fgColor rgb="00F2F2F2"/>
        </patternFill>
      </fill>
    </dxf>
    <dxf>
      <font>
        <b val="1"/>
      </font>
      <border>
        <top style="thin">
          <color rgb="00000000"/>
        </top>
      </border>
    </dxf>
    <dxf>
      <font>
        <b val="1"/>
        <color rgb="009C0006"/>
        <sz val="15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24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" customWidth="1" min="3" max="3"/>
    <col width="3" customWidth="1" min="4" max="4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</cols>
  <sheetData>
    <row r="1" ht="22" customHeight="1">
      <c r="A1" s="1" t="inlineStr">
        <is>
          <t>WP00123 Kundenname Pumpen</t>
        </is>
      </c>
      <c r="K1">
        <f>IFERROR(MATCH("Serial No.",Lines!$1:$1,0),"")</f>
        <v/>
      </c>
    </row>
    <row r="2">
      <c r="K2">
        <f>IFERROR(MATCH("Bin Code",Lines!$1:$1,0),"")</f>
        <v/>
      </c>
    </row>
    <row r="3">
      <c r="A3" s="2" t="inlineStr">
        <is>
          <t>Zeilenbeschriftungen</t>
        </is>
      </c>
      <c r="B3" s="3" t="inlineStr">
        <is>
          <t>Anzahl von Serial No.</t>
        </is>
      </c>
      <c r="K3">
        <f>SUM($N$4:$N$2003)</f>
        <v/>
      </c>
    </row>
    <row r="4">
      <c r="A4" s="4">
        <f>IF($R4="","",IF($R4="T","Gesamtergebnis",IF($R4="B",INDEX($M$4:$M$2003,$S4),INDEX($L$4:$L$2003,$S4))))</f>
        <v/>
      </c>
      <c r="B4" s="4">
        <f>IF($R4="","",IF($R4="T",$K$3,IF($R4="B",COUNTIFS($M$4:$M$2003,INDEX($M$4:$M$2003,$S4),$N$4:$N$2003,1),1)))</f>
        <v/>
      </c>
      <c r="K4">
        <f>COUNTIF($M$4:$M$2003,"PICKING")</f>
        <v/>
      </c>
      <c r="L4">
        <f>IF($K$1="","",IFERROR(INDEX(Lines!$A:$AA,ROW()-2,$K$1),""))</f>
        <v/>
      </c>
      <c r="M4">
        <f>IF($K$2="","",IFERROR(INDEX(Lines!$A:$AA,ROW()-2,$K$2),""))</f>
        <v/>
      </c>
      <c r="N4">
        <f>IF(AND(L4&lt;&gt;"",LEFT(L4,1)="N",M4&lt;&gt;"PICKING",M4&lt;&gt;""),1,0)</f>
        <v/>
      </c>
      <c r="O4">
        <f>IF(N4=1,M4&amp;"|"&amp;L4,REPT("z",40))</f>
        <v/>
      </c>
      <c r="P4">
        <f>IF(N4=1,COUNTIF($O$4:$O$2003,"&lt;"&amp;O4)+1,"")</f>
        <v/>
      </c>
      <c r="Q4">
        <f>IF($K$3=0,"",1)</f>
        <v/>
      </c>
      <c r="R4">
        <f>IF($K$3=0,"","B")</f>
        <v/>
      </c>
      <c r="S4">
        <f>IF(Q4="","",IFERROR(MATCH(Q4,$P$4:$P$2003,0),""))</f>
        <v/>
      </c>
    </row>
    <row r="5">
      <c r="A5" s="4">
        <f>IF($R5="","",IF($R5="T","Gesamtergebnis",IF($R5="B",INDEX($M$4:$M$2003,$S5),INDEX($L$4:$L$2003,$S5))))</f>
        <v/>
      </c>
      <c r="B5" s="4">
        <f>IF($R5="","",IF($R5="T",$K$3,IF($R5="B",COUNTIFS($M$4:$M$2003,INDEX($M$4:$M$2003,$S5),$N$4:$N$2003,1),1)))</f>
        <v/>
      </c>
      <c r="K5">
        <f>3+COUNTIF($R$4:$R$2400,"?*")</f>
        <v/>
      </c>
      <c r="L5">
        <f>IF($K$1="","",IFERROR(INDEX(Lines!$A:$AA,ROW()-2,$K$1),""))</f>
        <v/>
      </c>
      <c r="M5">
        <f>IF($K$2="","",IFERROR(INDEX(Lines!$A:$AA,ROW()-2,$K$2),""))</f>
        <v/>
      </c>
      <c r="N5">
        <f>IF(AND(L5&lt;&gt;"",LEFT(L5,1)="N",M5&lt;&gt;"PICKING",M5&lt;&gt;""),1,0)</f>
        <v/>
      </c>
      <c r="O5">
        <f>IF(N5=1,M5&amp;"|"&amp;L5,REPT("z",40))</f>
        <v/>
      </c>
      <c r="P5">
        <f>IF(N5=1,COUNTIF($O$4:$O$2003,"&lt;"&amp;O5)+1,"")</f>
        <v/>
      </c>
      <c r="Q5">
        <f>IF(OR($R4="",$R4="T"),"",IF($R4="B",$Q4,IF($Q4+1&gt;$K$3,"",$Q4+1)))</f>
        <v/>
      </c>
      <c r="R5">
        <f>IF(OR($R4="",$R4="T"),"",IF($R4="B","S",IF($Q4+1&gt;$K$3,"T",IF(INDEX($M$4:$M$2003,MATCH($Q4+1,$P$4:$P$2003,0))&lt;&gt;INDEX($M$4:$M$2003,MATCH($Q4,$P$4:$P$2003,0)),"B","S"))))</f>
        <v/>
      </c>
      <c r="S5">
        <f>IF(Q5="","",IFERROR(MATCH(Q5,$P$4:$P$2003,0),""))</f>
        <v/>
      </c>
    </row>
    <row r="6">
      <c r="A6" s="4">
        <f>IF($R6="","",IF($R6="T","Gesamtergebnis",IF($R6="B",INDEX($M$4:$M$2003,$S6),INDEX($L$4:$L$2003,$S6))))</f>
        <v/>
      </c>
      <c r="B6" s="4">
        <f>IF($R6="","",IF($R6="T",$K$3,IF($R6="B",COUNTIFS($M$4:$M$2003,INDEX($M$4:$M$2003,$S6),$N$4:$N$2003,1),1)))</f>
        <v/>
      </c>
      <c r="L6">
        <f>IF($K$1="","",IFERROR(INDEX(Lines!$A:$AA,ROW()-2,$K$1),""))</f>
        <v/>
      </c>
      <c r="M6">
        <f>IF($K$2="","",IFERROR(INDEX(Lines!$A:$AA,ROW()-2,$K$2),""))</f>
        <v/>
      </c>
      <c r="N6">
        <f>IF(AND(L6&lt;&gt;"",LEFT(L6,1)="N",M6&lt;&gt;"PICKING",M6&lt;&gt;""),1,0)</f>
        <v/>
      </c>
      <c r="O6">
        <f>IF(N6=1,M6&amp;"|"&amp;L6,REPT("z",40))</f>
        <v/>
      </c>
      <c r="P6">
        <f>IF(N6=1,COUNTIF($O$4:$O$2003,"&lt;"&amp;O6)+1,"")</f>
        <v/>
      </c>
      <c r="Q6">
        <f>IF(OR($R5="",$R5="T"),"",IF($R5="B",$Q5,IF($Q5+1&gt;$K$3,"",$Q5+1)))</f>
        <v/>
      </c>
      <c r="R6">
        <f>IF(OR($R5="",$R5="T"),"",IF($R5="B","S",IF($Q5+1&gt;$K$3,"T",IF(INDEX($M$4:$M$2003,MATCH($Q5+1,$P$4:$P$2003,0))&lt;&gt;INDEX($M$4:$M$2003,MATCH($Q5,$P$4:$P$2003,0)),"B","S"))))</f>
        <v/>
      </c>
      <c r="S6">
        <f>IF(Q6="","",IFERROR(MATCH(Q6,$P$4:$P$2003,0),""))</f>
        <v/>
      </c>
    </row>
    <row r="7">
      <c r="A7" s="4">
        <f>IF($R7="","",IF($R7="T","Gesamtergebnis",IF($R7="B",INDEX($M$4:$M$2003,$S7),INDEX($L$4:$L$2003,$S7))))</f>
        <v/>
      </c>
      <c r="B7" s="4">
        <f>IF($R7="","",IF($R7="T",$K$3,IF($R7="B",COUNTIFS($M$4:$M$2003,INDEX($M$4:$M$2003,$S7),$N$4:$N$2003,1),1)))</f>
        <v/>
      </c>
      <c r="L7">
        <f>IF($K$1="","",IFERROR(INDEX(Lines!$A:$AA,ROW()-2,$K$1),""))</f>
        <v/>
      </c>
      <c r="M7">
        <f>IF($K$2="","",IFERROR(INDEX(Lines!$A:$AA,ROW()-2,$K$2),""))</f>
        <v/>
      </c>
      <c r="N7">
        <f>IF(AND(L7&lt;&gt;"",LEFT(L7,1)="N",M7&lt;&gt;"PICKING",M7&lt;&gt;""),1,0)</f>
        <v/>
      </c>
      <c r="O7">
        <f>IF(N7=1,M7&amp;"|"&amp;L7,REPT("z",40))</f>
        <v/>
      </c>
      <c r="P7">
        <f>IF(N7=1,COUNTIF($O$4:$O$2003,"&lt;"&amp;O7)+1,"")</f>
        <v/>
      </c>
      <c r="Q7">
        <f>IF(OR($R6="",$R6="T"),"",IF($R6="B",$Q6,IF($Q6+1&gt;$K$3,"",$Q6+1)))</f>
        <v/>
      </c>
      <c r="R7">
        <f>IF(OR($R6="",$R6="T"),"",IF($R6="B","S",IF($Q6+1&gt;$K$3,"T",IF(INDEX($M$4:$M$2003,MATCH($Q6+1,$P$4:$P$2003,0))&lt;&gt;INDEX($M$4:$M$2003,MATCH($Q6,$P$4:$P$2003,0)),"B","S"))))</f>
        <v/>
      </c>
      <c r="S7">
        <f>IF(Q7="","",IFERROR(MATCH(Q7,$P$4:$P$2003,0),""))</f>
        <v/>
      </c>
    </row>
    <row r="8">
      <c r="A8" s="4">
        <f>IF($R8="","",IF($R8="T","Gesamtergebnis",IF($R8="B",INDEX($M$4:$M$2003,$S8),INDEX($L$4:$L$2003,$S8))))</f>
        <v/>
      </c>
      <c r="B8" s="4">
        <f>IF($R8="","",IF($R8="T",$K$3,IF($R8="B",COUNTIFS($M$4:$M$2003,INDEX($M$4:$M$2003,$S8),$N$4:$N$2003,1),1)))</f>
        <v/>
      </c>
      <c r="L8">
        <f>IF($K$1="","",IFERROR(INDEX(Lines!$A:$AA,ROW()-2,$K$1),""))</f>
        <v/>
      </c>
      <c r="M8">
        <f>IF($K$2="","",IFERROR(INDEX(Lines!$A:$AA,ROW()-2,$K$2),""))</f>
        <v/>
      </c>
      <c r="N8">
        <f>IF(AND(L8&lt;&gt;"",LEFT(L8,1)="N",M8&lt;&gt;"PICKING",M8&lt;&gt;""),1,0)</f>
        <v/>
      </c>
      <c r="O8">
        <f>IF(N8=1,M8&amp;"|"&amp;L8,REPT("z",40))</f>
        <v/>
      </c>
      <c r="P8">
        <f>IF(N8=1,COUNTIF($O$4:$O$2003,"&lt;"&amp;O8)+1,"")</f>
        <v/>
      </c>
      <c r="Q8">
        <f>IF(OR($R7="",$R7="T"),"",IF($R7="B",$Q7,IF($Q7+1&gt;$K$3,"",$Q7+1)))</f>
        <v/>
      </c>
      <c r="R8">
        <f>IF(OR($R7="",$R7="T"),"",IF($R7="B","S",IF($Q7+1&gt;$K$3,"T",IF(INDEX($M$4:$M$2003,MATCH($Q7+1,$P$4:$P$2003,0))&lt;&gt;INDEX($M$4:$M$2003,MATCH($Q7,$P$4:$P$2003,0)),"B","S"))))</f>
        <v/>
      </c>
      <c r="S8">
        <f>IF(Q8="","",IFERROR(MATCH(Q8,$P$4:$P$2003,0),""))</f>
        <v/>
      </c>
    </row>
    <row r="9">
      <c r="A9" s="4">
        <f>IF($R9="","",IF($R9="T","Gesamtergebnis",IF($R9="B",INDEX($M$4:$M$2003,$S9),INDEX($L$4:$L$2003,$S9))))</f>
        <v/>
      </c>
      <c r="B9" s="4">
        <f>IF($R9="","",IF($R9="T",$K$3,IF($R9="B",COUNTIFS($M$4:$M$2003,INDEX($M$4:$M$2003,$S9),$N$4:$N$2003,1),1)))</f>
        <v/>
      </c>
      <c r="L9">
        <f>IF($K$1="","",IFERROR(INDEX(Lines!$A:$AA,ROW()-2,$K$1),""))</f>
        <v/>
      </c>
      <c r="M9">
        <f>IF($K$2="","",IFERROR(INDEX(Lines!$A:$AA,ROW()-2,$K$2),""))</f>
        <v/>
      </c>
      <c r="N9">
        <f>IF(AND(L9&lt;&gt;"",LEFT(L9,1)="N",M9&lt;&gt;"PICKING",M9&lt;&gt;""),1,0)</f>
        <v/>
      </c>
      <c r="O9">
        <f>IF(N9=1,M9&amp;"|"&amp;L9,REPT("z",40))</f>
        <v/>
      </c>
      <c r="P9">
        <f>IF(N9=1,COUNTIF($O$4:$O$2003,"&lt;"&amp;O9)+1,"")</f>
        <v/>
      </c>
      <c r="Q9">
        <f>IF(OR($R8="",$R8="T"),"",IF($R8="B",$Q8,IF($Q8+1&gt;$K$3,"",$Q8+1)))</f>
        <v/>
      </c>
      <c r="R9">
        <f>IF(OR($R8="",$R8="T"),"",IF($R8="B","S",IF($Q8+1&gt;$K$3,"T",IF(INDEX($M$4:$M$2003,MATCH($Q8+1,$P$4:$P$2003,0))&lt;&gt;INDEX($M$4:$M$2003,MATCH($Q8,$P$4:$P$2003,0)),"B","S"))))</f>
        <v/>
      </c>
      <c r="S9">
        <f>IF(Q9="","",IFERROR(MATCH(Q9,$P$4:$P$2003,0),""))</f>
        <v/>
      </c>
    </row>
    <row r="10">
      <c r="A10" s="4">
        <f>IF($R10="","",IF($R10="T","Gesamtergebnis",IF($R10="B",INDEX($M$4:$M$2003,$S10),INDEX($L$4:$L$2003,$S10))))</f>
        <v/>
      </c>
      <c r="B10" s="4">
        <f>IF($R10="","",IF($R10="T",$K$3,IF($R10="B",COUNTIFS($M$4:$M$2003,INDEX($M$4:$M$2003,$S10),$N$4:$N$2003,1),1)))</f>
        <v/>
      </c>
      <c r="L10">
        <f>IF($K$1="","",IFERROR(INDEX(Lines!$A:$AA,ROW()-2,$K$1),""))</f>
        <v/>
      </c>
      <c r="M10">
        <f>IF($K$2="","",IFERROR(INDEX(Lines!$A:$AA,ROW()-2,$K$2),""))</f>
        <v/>
      </c>
      <c r="N10">
        <f>IF(AND(L10&lt;&gt;"",LEFT(L10,1)="N",M10&lt;&gt;"PICKING",M10&lt;&gt;""),1,0)</f>
        <v/>
      </c>
      <c r="O10">
        <f>IF(N10=1,M10&amp;"|"&amp;L10,REPT("z",40))</f>
        <v/>
      </c>
      <c r="P10">
        <f>IF(N10=1,COUNTIF($O$4:$O$2003,"&lt;"&amp;O10)+1,"")</f>
        <v/>
      </c>
      <c r="Q10">
        <f>IF(OR($R9="",$R9="T"),"",IF($R9="B",$Q9,IF($Q9+1&gt;$K$3,"",$Q9+1)))</f>
        <v/>
      </c>
      <c r="R10">
        <f>IF(OR($R9="",$R9="T"),"",IF($R9="B","S",IF($Q9+1&gt;$K$3,"T",IF(INDEX($M$4:$M$2003,MATCH($Q9+1,$P$4:$P$2003,0))&lt;&gt;INDEX($M$4:$M$2003,MATCH($Q9,$P$4:$P$2003,0)),"B","S"))))</f>
        <v/>
      </c>
      <c r="S10">
        <f>IF(Q10="","",IFERROR(MATCH(Q10,$P$4:$P$2003,0),""))</f>
        <v/>
      </c>
    </row>
    <row r="11">
      <c r="A11" s="4">
        <f>IF($R11="","",IF($R11="T","Gesamtergebnis",IF($R11="B",INDEX($M$4:$M$2003,$S11),INDEX($L$4:$L$2003,$S11))))</f>
        <v/>
      </c>
      <c r="B11" s="4">
        <f>IF($R11="","",IF($R11="T",$K$3,IF($R11="B",COUNTIFS($M$4:$M$2003,INDEX($M$4:$M$2003,$S11),$N$4:$N$2003,1),1)))</f>
        <v/>
      </c>
      <c r="L11">
        <f>IF($K$1="","",IFERROR(INDEX(Lines!$A:$AA,ROW()-2,$K$1),""))</f>
        <v/>
      </c>
      <c r="M11">
        <f>IF($K$2="","",IFERROR(INDEX(Lines!$A:$AA,ROW()-2,$K$2),""))</f>
        <v/>
      </c>
      <c r="N11">
        <f>IF(AND(L11&lt;&gt;"",LEFT(L11,1)="N",M11&lt;&gt;"PICKING",M11&lt;&gt;""),1,0)</f>
        <v/>
      </c>
      <c r="O11">
        <f>IF(N11=1,M11&amp;"|"&amp;L11,REPT("z",40))</f>
        <v/>
      </c>
      <c r="P11">
        <f>IF(N11=1,COUNTIF($O$4:$O$2003,"&lt;"&amp;O11)+1,"")</f>
        <v/>
      </c>
      <c r="Q11">
        <f>IF(OR($R10="",$R10="T"),"",IF($R10="B",$Q10,IF($Q10+1&gt;$K$3,"",$Q10+1)))</f>
        <v/>
      </c>
      <c r="R11">
        <f>IF(OR($R10="",$R10="T"),"",IF($R10="B","S",IF($Q10+1&gt;$K$3,"T",IF(INDEX($M$4:$M$2003,MATCH($Q10+1,$P$4:$P$2003,0))&lt;&gt;INDEX($M$4:$M$2003,MATCH($Q10,$P$4:$P$2003,0)),"B","S"))))</f>
        <v/>
      </c>
      <c r="S11">
        <f>IF(Q11="","",IFERROR(MATCH(Q11,$P$4:$P$2003,0),""))</f>
        <v/>
      </c>
    </row>
    <row r="12">
      <c r="A12" s="4">
        <f>IF($R12="","",IF($R12="T","Gesamtergebnis",IF($R12="B",INDEX($M$4:$M$2003,$S12),INDEX($L$4:$L$2003,$S12))))</f>
        <v/>
      </c>
      <c r="B12" s="4">
        <f>IF($R12="","",IF($R12="T",$K$3,IF($R12="B",COUNTIFS($M$4:$M$2003,INDEX($M$4:$M$2003,$S12),$N$4:$N$2003,1),1)))</f>
        <v/>
      </c>
      <c r="L12">
        <f>IF($K$1="","",IFERROR(INDEX(Lines!$A:$AA,ROW()-2,$K$1),""))</f>
        <v/>
      </c>
      <c r="M12">
        <f>IF($K$2="","",IFERROR(INDEX(Lines!$A:$AA,ROW()-2,$K$2),""))</f>
        <v/>
      </c>
      <c r="N12">
        <f>IF(AND(L12&lt;&gt;"",LEFT(L12,1)="N",M12&lt;&gt;"PICKING",M12&lt;&gt;""),1,0)</f>
        <v/>
      </c>
      <c r="O12">
        <f>IF(N12=1,M12&amp;"|"&amp;L12,REPT("z",40))</f>
        <v/>
      </c>
      <c r="P12">
        <f>IF(N12=1,COUNTIF($O$4:$O$2003,"&lt;"&amp;O12)+1,"")</f>
        <v/>
      </c>
      <c r="Q12">
        <f>IF(OR($R11="",$R11="T"),"",IF($R11="B",$Q11,IF($Q11+1&gt;$K$3,"",$Q11+1)))</f>
        <v/>
      </c>
      <c r="R12">
        <f>IF(OR($R11="",$R11="T"),"",IF($R11="B","S",IF($Q11+1&gt;$K$3,"T",IF(INDEX($M$4:$M$2003,MATCH($Q11+1,$P$4:$P$2003,0))&lt;&gt;INDEX($M$4:$M$2003,MATCH($Q11,$P$4:$P$2003,0)),"B","S"))))</f>
        <v/>
      </c>
      <c r="S12">
        <f>IF(Q12="","",IFERROR(MATCH(Q12,$P$4:$P$2003,0),""))</f>
        <v/>
      </c>
    </row>
    <row r="13">
      <c r="A13" s="4">
        <f>IF($R13="","",IF($R13="T","Gesamtergebnis",IF($R13="B",INDEX($M$4:$M$2003,$S13),INDEX($L$4:$L$2003,$S13))))</f>
        <v/>
      </c>
      <c r="B13" s="4">
        <f>IF($R13="","",IF($R13="T",$K$3,IF($R13="B",COUNTIFS($M$4:$M$2003,INDEX($M$4:$M$2003,$S13),$N$4:$N$2003,1),1)))</f>
        <v/>
      </c>
      <c r="L13">
        <f>IF($K$1="","",IFERROR(INDEX(Lines!$A:$AA,ROW()-2,$K$1),""))</f>
        <v/>
      </c>
      <c r="M13">
        <f>IF($K$2="","",IFERROR(INDEX(Lines!$A:$AA,ROW()-2,$K$2),""))</f>
        <v/>
      </c>
      <c r="N13">
        <f>IF(AND(L13&lt;&gt;"",LEFT(L13,1)="N",M13&lt;&gt;"PICKING",M13&lt;&gt;""),1,0)</f>
        <v/>
      </c>
      <c r="O13">
        <f>IF(N13=1,M13&amp;"|"&amp;L13,REPT("z",40))</f>
        <v/>
      </c>
      <c r="P13">
        <f>IF(N13=1,COUNTIF($O$4:$O$2003,"&lt;"&amp;O13)+1,"")</f>
        <v/>
      </c>
      <c r="Q13">
        <f>IF(OR($R12="",$R12="T"),"",IF($R12="B",$Q12,IF($Q12+1&gt;$K$3,"",$Q12+1)))</f>
        <v/>
      </c>
      <c r="R13">
        <f>IF(OR($R12="",$R12="T"),"",IF($R12="B","S",IF($Q12+1&gt;$K$3,"T",IF(INDEX($M$4:$M$2003,MATCH($Q12+1,$P$4:$P$2003,0))&lt;&gt;INDEX($M$4:$M$2003,MATCH($Q12,$P$4:$P$2003,0)),"B","S"))))</f>
        <v/>
      </c>
      <c r="S13">
        <f>IF(Q13="","",IFERROR(MATCH(Q13,$P$4:$P$2003,0),""))</f>
        <v/>
      </c>
    </row>
    <row r="14">
      <c r="A14" s="4">
        <f>IF($R14="","",IF($R14="T","Gesamtergebnis",IF($R14="B",INDEX($M$4:$M$2003,$S14),INDEX($L$4:$L$2003,$S14))))</f>
        <v/>
      </c>
      <c r="B14" s="4">
        <f>IF($R14="","",IF($R14="T",$K$3,IF($R14="B",COUNTIFS($M$4:$M$2003,INDEX($M$4:$M$2003,$S14),$N$4:$N$2003,1),1)))</f>
        <v/>
      </c>
      <c r="L14">
        <f>IF($K$1="","",IFERROR(INDEX(Lines!$A:$AA,ROW()-2,$K$1),""))</f>
        <v/>
      </c>
      <c r="M14">
        <f>IF($K$2="","",IFERROR(INDEX(Lines!$A:$AA,ROW()-2,$K$2),""))</f>
        <v/>
      </c>
      <c r="N14">
        <f>IF(AND(L14&lt;&gt;"",LEFT(L14,1)="N",M14&lt;&gt;"PICKING",M14&lt;&gt;""),1,0)</f>
        <v/>
      </c>
      <c r="O14">
        <f>IF(N14=1,M14&amp;"|"&amp;L14,REPT("z",40))</f>
        <v/>
      </c>
      <c r="P14">
        <f>IF(N14=1,COUNTIF($O$4:$O$2003,"&lt;"&amp;O14)+1,"")</f>
        <v/>
      </c>
      <c r="Q14">
        <f>IF(OR($R13="",$R13="T"),"",IF($R13="B",$Q13,IF($Q13+1&gt;$K$3,"",$Q13+1)))</f>
        <v/>
      </c>
      <c r="R14">
        <f>IF(OR($R13="",$R13="T"),"",IF($R13="B","S",IF($Q13+1&gt;$K$3,"T",IF(INDEX($M$4:$M$2003,MATCH($Q13+1,$P$4:$P$2003,0))&lt;&gt;INDEX($M$4:$M$2003,MATCH($Q13,$P$4:$P$2003,0)),"B","S"))))</f>
        <v/>
      </c>
      <c r="S14">
        <f>IF(Q14="","",IFERROR(MATCH(Q14,$P$4:$P$2003,0),""))</f>
        <v/>
      </c>
    </row>
    <row r="15">
      <c r="A15" s="4">
        <f>IF($R15="","",IF($R15="T","Gesamtergebnis",IF($R15="B",INDEX($M$4:$M$2003,$S15),INDEX($L$4:$L$2003,$S15))))</f>
        <v/>
      </c>
      <c r="B15" s="4">
        <f>IF($R15="","",IF($R15="T",$K$3,IF($R15="B",COUNTIFS($M$4:$M$2003,INDEX($M$4:$M$2003,$S15),$N$4:$N$2003,1),1)))</f>
        <v/>
      </c>
      <c r="L15">
        <f>IF($K$1="","",IFERROR(INDEX(Lines!$A:$AA,ROW()-2,$K$1),""))</f>
        <v/>
      </c>
      <c r="M15">
        <f>IF($K$2="","",IFERROR(INDEX(Lines!$A:$AA,ROW()-2,$K$2),""))</f>
        <v/>
      </c>
      <c r="N15">
        <f>IF(AND(L15&lt;&gt;"",LEFT(L15,1)="N",M15&lt;&gt;"PICKING",M15&lt;&gt;""),1,0)</f>
        <v/>
      </c>
      <c r="O15">
        <f>IF(N15=1,M15&amp;"|"&amp;L15,REPT("z",40))</f>
        <v/>
      </c>
      <c r="P15">
        <f>IF(N15=1,COUNTIF($O$4:$O$2003,"&lt;"&amp;O15)+1,"")</f>
        <v/>
      </c>
      <c r="Q15">
        <f>IF(OR($R14="",$R14="T"),"",IF($R14="B",$Q14,IF($Q14+1&gt;$K$3,"",$Q14+1)))</f>
        <v/>
      </c>
      <c r="R15">
        <f>IF(OR($R14="",$R14="T"),"",IF($R14="B","S",IF($Q14+1&gt;$K$3,"T",IF(INDEX($M$4:$M$2003,MATCH($Q14+1,$P$4:$P$2003,0))&lt;&gt;INDEX($M$4:$M$2003,MATCH($Q14,$P$4:$P$2003,0)),"B","S"))))</f>
        <v/>
      </c>
      <c r="S15">
        <f>IF(Q15="","",IFERROR(MATCH(Q15,$P$4:$P$2003,0),""))</f>
        <v/>
      </c>
    </row>
    <row r="16">
      <c r="A16" s="4">
        <f>IF($R16="","",IF($R16="T","Gesamtergebnis",IF($R16="B",INDEX($M$4:$M$2003,$S16),INDEX($L$4:$L$2003,$S16))))</f>
        <v/>
      </c>
      <c r="B16" s="4">
        <f>IF($R16="","",IF($R16="T",$K$3,IF($R16="B",COUNTIFS($M$4:$M$2003,INDEX($M$4:$M$2003,$S16),$N$4:$N$2003,1),1)))</f>
        <v/>
      </c>
      <c r="L16">
        <f>IF($K$1="","",IFERROR(INDEX(Lines!$A:$AA,ROW()-2,$K$1),""))</f>
        <v/>
      </c>
      <c r="M16">
        <f>IF($K$2="","",IFERROR(INDEX(Lines!$A:$AA,ROW()-2,$K$2),""))</f>
        <v/>
      </c>
      <c r="N16">
        <f>IF(AND(L16&lt;&gt;"",LEFT(L16,1)="N",M16&lt;&gt;"PICKING",M16&lt;&gt;""),1,0)</f>
        <v/>
      </c>
      <c r="O16">
        <f>IF(N16=1,M16&amp;"|"&amp;L16,REPT("z",40))</f>
        <v/>
      </c>
      <c r="P16">
        <f>IF(N16=1,COUNTIF($O$4:$O$2003,"&lt;"&amp;O16)+1,"")</f>
        <v/>
      </c>
      <c r="Q16">
        <f>IF(OR($R15="",$R15="T"),"",IF($R15="B",$Q15,IF($Q15+1&gt;$K$3,"",$Q15+1)))</f>
        <v/>
      </c>
      <c r="R16">
        <f>IF(OR($R15="",$R15="T"),"",IF($R15="B","S",IF($Q15+1&gt;$K$3,"T",IF(INDEX($M$4:$M$2003,MATCH($Q15+1,$P$4:$P$2003,0))&lt;&gt;INDEX($M$4:$M$2003,MATCH($Q15,$P$4:$P$2003,0)),"B","S"))))</f>
        <v/>
      </c>
      <c r="S16">
        <f>IF(Q16="","",IFERROR(MATCH(Q16,$P$4:$P$2003,0),""))</f>
        <v/>
      </c>
    </row>
    <row r="17">
      <c r="A17" s="4">
        <f>IF($R17="","",IF($R17="T","Gesamtergebnis",IF($R17="B",INDEX($M$4:$M$2003,$S17),INDEX($L$4:$L$2003,$S17))))</f>
        <v/>
      </c>
      <c r="B17" s="4">
        <f>IF($R17="","",IF($R17="T",$K$3,IF($R17="B",COUNTIFS($M$4:$M$2003,INDEX($M$4:$M$2003,$S17),$N$4:$N$2003,1),1)))</f>
        <v/>
      </c>
      <c r="L17">
        <f>IF($K$1="","",IFERROR(INDEX(Lines!$A:$AA,ROW()-2,$K$1),""))</f>
        <v/>
      </c>
      <c r="M17">
        <f>IF($K$2="","",IFERROR(INDEX(Lines!$A:$AA,ROW()-2,$K$2),""))</f>
        <v/>
      </c>
      <c r="N17">
        <f>IF(AND(L17&lt;&gt;"",LEFT(L17,1)="N",M17&lt;&gt;"PICKING",M17&lt;&gt;""),1,0)</f>
        <v/>
      </c>
      <c r="O17">
        <f>IF(N17=1,M17&amp;"|"&amp;L17,REPT("z",40))</f>
        <v/>
      </c>
      <c r="P17">
        <f>IF(N17=1,COUNTIF($O$4:$O$2003,"&lt;"&amp;O17)+1,"")</f>
        <v/>
      </c>
      <c r="Q17">
        <f>IF(OR($R16="",$R16="T"),"",IF($R16="B",$Q16,IF($Q16+1&gt;$K$3,"",$Q16+1)))</f>
        <v/>
      </c>
      <c r="R17">
        <f>IF(OR($R16="",$R16="T"),"",IF($R16="B","S",IF($Q16+1&gt;$K$3,"T",IF(INDEX($M$4:$M$2003,MATCH($Q16+1,$P$4:$P$2003,0))&lt;&gt;INDEX($M$4:$M$2003,MATCH($Q16,$P$4:$P$2003,0)),"B","S"))))</f>
        <v/>
      </c>
      <c r="S17">
        <f>IF(Q17="","",IFERROR(MATCH(Q17,$P$4:$P$2003,0),""))</f>
        <v/>
      </c>
    </row>
    <row r="18">
      <c r="A18" s="4">
        <f>IF($R18="","",IF($R18="T","Gesamtergebnis",IF($R18="B",INDEX($M$4:$M$2003,$S18),INDEX($L$4:$L$2003,$S18))))</f>
        <v/>
      </c>
      <c r="B18" s="4">
        <f>IF($R18="","",IF($R18="T",$K$3,IF($R18="B",COUNTIFS($M$4:$M$2003,INDEX($M$4:$M$2003,$S18),$N$4:$N$2003,1),1)))</f>
        <v/>
      </c>
      <c r="L18">
        <f>IF($K$1="","",IFERROR(INDEX(Lines!$A:$AA,ROW()-2,$K$1),""))</f>
        <v/>
      </c>
      <c r="M18">
        <f>IF($K$2="","",IFERROR(INDEX(Lines!$A:$AA,ROW()-2,$K$2),""))</f>
        <v/>
      </c>
      <c r="N18">
        <f>IF(AND(L18&lt;&gt;"",LEFT(L18,1)="N",M18&lt;&gt;"PICKING",M18&lt;&gt;""),1,0)</f>
        <v/>
      </c>
      <c r="O18">
        <f>IF(N18=1,M18&amp;"|"&amp;L18,REPT("z",40))</f>
        <v/>
      </c>
      <c r="P18">
        <f>IF(N18=1,COUNTIF($O$4:$O$2003,"&lt;"&amp;O18)+1,"")</f>
        <v/>
      </c>
      <c r="Q18">
        <f>IF(OR($R17="",$R17="T"),"",IF($R17="B",$Q17,IF($Q17+1&gt;$K$3,"",$Q17+1)))</f>
        <v/>
      </c>
      <c r="R18">
        <f>IF(OR($R17="",$R17="T"),"",IF($R17="B","S",IF($Q17+1&gt;$K$3,"T",IF(INDEX($M$4:$M$2003,MATCH($Q17+1,$P$4:$P$2003,0))&lt;&gt;INDEX($M$4:$M$2003,MATCH($Q17,$P$4:$P$2003,0)),"B","S"))))</f>
        <v/>
      </c>
      <c r="S18">
        <f>IF(Q18="","",IFERROR(MATCH(Q18,$P$4:$P$2003,0),""))</f>
        <v/>
      </c>
    </row>
    <row r="19">
      <c r="A19" s="4">
        <f>IF($R19="","",IF($R19="T","Gesamtergebnis",IF($R19="B",INDEX($M$4:$M$2003,$S19),INDEX($L$4:$L$2003,$S19))))</f>
        <v/>
      </c>
      <c r="B19" s="4">
        <f>IF($R19="","",IF($R19="T",$K$3,IF($R19="B",COUNTIFS($M$4:$M$2003,INDEX($M$4:$M$2003,$S19),$N$4:$N$2003,1),1)))</f>
        <v/>
      </c>
      <c r="L19">
        <f>IF($K$1="","",IFERROR(INDEX(Lines!$A:$AA,ROW()-2,$K$1),""))</f>
        <v/>
      </c>
      <c r="M19">
        <f>IF($K$2="","",IFERROR(INDEX(Lines!$A:$AA,ROW()-2,$K$2),""))</f>
        <v/>
      </c>
      <c r="N19">
        <f>IF(AND(L19&lt;&gt;"",LEFT(L19,1)="N",M19&lt;&gt;"PICKING",M19&lt;&gt;""),1,0)</f>
        <v/>
      </c>
      <c r="O19">
        <f>IF(N19=1,M19&amp;"|"&amp;L19,REPT("z",40))</f>
        <v/>
      </c>
      <c r="P19">
        <f>IF(N19=1,COUNTIF($O$4:$O$2003,"&lt;"&amp;O19)+1,"")</f>
        <v/>
      </c>
      <c r="Q19">
        <f>IF(OR($R18="",$R18="T"),"",IF($R18="B",$Q18,IF($Q18+1&gt;$K$3,"",$Q18+1)))</f>
        <v/>
      </c>
      <c r="R19">
        <f>IF(OR($R18="",$R18="T"),"",IF($R18="B","S",IF($Q18+1&gt;$K$3,"T",IF(INDEX($M$4:$M$2003,MATCH($Q18+1,$P$4:$P$2003,0))&lt;&gt;INDEX($M$4:$M$2003,MATCH($Q18,$P$4:$P$2003,0)),"B","S"))))</f>
        <v/>
      </c>
      <c r="S19">
        <f>IF(Q19="","",IFERROR(MATCH(Q19,$P$4:$P$2003,0),""))</f>
        <v/>
      </c>
    </row>
    <row r="20">
      <c r="A20" s="4">
        <f>IF($R20="","",IF($R20="T","Gesamtergebnis",IF($R20="B",INDEX($M$4:$M$2003,$S20),INDEX($L$4:$L$2003,$S20))))</f>
        <v/>
      </c>
      <c r="B20" s="4">
        <f>IF($R20="","",IF($R20="T",$K$3,IF($R20="B",COUNTIFS($M$4:$M$2003,INDEX($M$4:$M$2003,$S20),$N$4:$N$2003,1),1)))</f>
        <v/>
      </c>
      <c r="L20">
        <f>IF($K$1="","",IFERROR(INDEX(Lines!$A:$AA,ROW()-2,$K$1),""))</f>
        <v/>
      </c>
      <c r="M20">
        <f>IF($K$2="","",IFERROR(INDEX(Lines!$A:$AA,ROW()-2,$K$2),""))</f>
        <v/>
      </c>
      <c r="N20">
        <f>IF(AND(L20&lt;&gt;"",LEFT(L20,1)="N",M20&lt;&gt;"PICKING",M20&lt;&gt;""),1,0)</f>
        <v/>
      </c>
      <c r="O20">
        <f>IF(N20=1,M20&amp;"|"&amp;L20,REPT("z",40))</f>
        <v/>
      </c>
      <c r="P20">
        <f>IF(N20=1,COUNTIF($O$4:$O$2003,"&lt;"&amp;O20)+1,"")</f>
        <v/>
      </c>
      <c r="Q20">
        <f>IF(OR($R19="",$R19="T"),"",IF($R19="B",$Q19,IF($Q19+1&gt;$K$3,"",$Q19+1)))</f>
        <v/>
      </c>
      <c r="R20">
        <f>IF(OR($R19="",$R19="T"),"",IF($R19="B","S",IF($Q19+1&gt;$K$3,"T",IF(INDEX($M$4:$M$2003,MATCH($Q19+1,$P$4:$P$2003,0))&lt;&gt;INDEX($M$4:$M$2003,MATCH($Q19,$P$4:$P$2003,0)),"B","S"))))</f>
        <v/>
      </c>
      <c r="S20">
        <f>IF(Q20="","",IFERROR(MATCH(Q20,$P$4:$P$2003,0),""))</f>
        <v/>
      </c>
    </row>
    <row r="21">
      <c r="A21" s="4">
        <f>IF($R21="","",IF($R21="T","Gesamtergebnis",IF($R21="B",INDEX($M$4:$M$2003,$S21),INDEX($L$4:$L$2003,$S21))))</f>
        <v/>
      </c>
      <c r="B21" s="4">
        <f>IF($R21="","",IF($R21="T",$K$3,IF($R21="B",COUNTIFS($M$4:$M$2003,INDEX($M$4:$M$2003,$S21),$N$4:$N$2003,1),1)))</f>
        <v/>
      </c>
      <c r="L21">
        <f>IF($K$1="","",IFERROR(INDEX(Lines!$A:$AA,ROW()-2,$K$1),""))</f>
        <v/>
      </c>
      <c r="M21">
        <f>IF($K$2="","",IFERROR(INDEX(Lines!$A:$AA,ROW()-2,$K$2),""))</f>
        <v/>
      </c>
      <c r="N21">
        <f>IF(AND(L21&lt;&gt;"",LEFT(L21,1)="N",M21&lt;&gt;"PICKING",M21&lt;&gt;""),1,0)</f>
        <v/>
      </c>
      <c r="O21">
        <f>IF(N21=1,M21&amp;"|"&amp;L21,REPT("z",40))</f>
        <v/>
      </c>
      <c r="P21">
        <f>IF(N21=1,COUNTIF($O$4:$O$2003,"&lt;"&amp;O21)+1,"")</f>
        <v/>
      </c>
      <c r="Q21">
        <f>IF(OR($R20="",$R20="T"),"",IF($R20="B",$Q20,IF($Q20+1&gt;$K$3,"",$Q20+1)))</f>
        <v/>
      </c>
      <c r="R21">
        <f>IF(OR($R20="",$R20="T"),"",IF($R20="B","S",IF($Q20+1&gt;$K$3,"T",IF(INDEX($M$4:$M$2003,MATCH($Q20+1,$P$4:$P$2003,0))&lt;&gt;INDEX($M$4:$M$2003,MATCH($Q20,$P$4:$P$2003,0)),"B","S"))))</f>
        <v/>
      </c>
      <c r="S21">
        <f>IF(Q21="","",IFERROR(MATCH(Q21,$P$4:$P$2003,0),""))</f>
        <v/>
      </c>
    </row>
    <row r="22">
      <c r="A22" s="4">
        <f>IF($R22="","",IF($R22="T","Gesamtergebnis",IF($R22="B",INDEX($M$4:$M$2003,$S22),INDEX($L$4:$L$2003,$S22))))</f>
        <v/>
      </c>
      <c r="B22" s="4">
        <f>IF($R22="","",IF($R22="T",$K$3,IF($R22="B",COUNTIFS($M$4:$M$2003,INDEX($M$4:$M$2003,$S22),$N$4:$N$2003,1),1)))</f>
        <v/>
      </c>
      <c r="L22">
        <f>IF($K$1="","",IFERROR(INDEX(Lines!$A:$AA,ROW()-2,$K$1),""))</f>
        <v/>
      </c>
      <c r="M22">
        <f>IF($K$2="","",IFERROR(INDEX(Lines!$A:$AA,ROW()-2,$K$2),""))</f>
        <v/>
      </c>
      <c r="N22">
        <f>IF(AND(L22&lt;&gt;"",LEFT(L22,1)="N",M22&lt;&gt;"PICKING",M22&lt;&gt;""),1,0)</f>
        <v/>
      </c>
      <c r="O22">
        <f>IF(N22=1,M22&amp;"|"&amp;L22,REPT("z",40))</f>
        <v/>
      </c>
      <c r="P22">
        <f>IF(N22=1,COUNTIF($O$4:$O$2003,"&lt;"&amp;O22)+1,"")</f>
        <v/>
      </c>
      <c r="Q22">
        <f>IF(OR($R21="",$R21="T"),"",IF($R21="B",$Q21,IF($Q21+1&gt;$K$3,"",$Q21+1)))</f>
        <v/>
      </c>
      <c r="R22">
        <f>IF(OR($R21="",$R21="T"),"",IF($R21="B","S",IF($Q21+1&gt;$K$3,"T",IF(INDEX($M$4:$M$2003,MATCH($Q21+1,$P$4:$P$2003,0))&lt;&gt;INDEX($M$4:$M$2003,MATCH($Q21,$P$4:$P$2003,0)),"B","S"))))</f>
        <v/>
      </c>
      <c r="S22">
        <f>IF(Q22="","",IFERROR(MATCH(Q22,$P$4:$P$2003,0),""))</f>
        <v/>
      </c>
    </row>
    <row r="23">
      <c r="A23" s="4">
        <f>IF($R23="","",IF($R23="T","Gesamtergebnis",IF($R23="B",INDEX($M$4:$M$2003,$S23),INDEX($L$4:$L$2003,$S23))))</f>
        <v/>
      </c>
      <c r="B23" s="4">
        <f>IF($R23="","",IF($R23="T",$K$3,IF($R23="B",COUNTIFS($M$4:$M$2003,INDEX($M$4:$M$2003,$S23),$N$4:$N$2003,1),1)))</f>
        <v/>
      </c>
      <c r="L23">
        <f>IF($K$1="","",IFERROR(INDEX(Lines!$A:$AA,ROW()-2,$K$1),""))</f>
        <v/>
      </c>
      <c r="M23">
        <f>IF($K$2="","",IFERROR(INDEX(Lines!$A:$AA,ROW()-2,$K$2),""))</f>
        <v/>
      </c>
      <c r="N23">
        <f>IF(AND(L23&lt;&gt;"",LEFT(L23,1)="N",M23&lt;&gt;"PICKING",M23&lt;&gt;""),1,0)</f>
        <v/>
      </c>
      <c r="O23">
        <f>IF(N23=1,M23&amp;"|"&amp;L23,REPT("z",40))</f>
        <v/>
      </c>
      <c r="P23">
        <f>IF(N23=1,COUNTIF($O$4:$O$2003,"&lt;"&amp;O23)+1,"")</f>
        <v/>
      </c>
      <c r="Q23">
        <f>IF(OR($R22="",$R22="T"),"",IF($R22="B",$Q22,IF($Q22+1&gt;$K$3,"",$Q22+1)))</f>
        <v/>
      </c>
      <c r="R23">
        <f>IF(OR($R22="",$R22="T"),"",IF($R22="B","S",IF($Q22+1&gt;$K$3,"T",IF(INDEX($M$4:$M$2003,MATCH($Q22+1,$P$4:$P$2003,0))&lt;&gt;INDEX($M$4:$M$2003,MATCH($Q22,$P$4:$P$2003,0)),"B","S"))))</f>
        <v/>
      </c>
      <c r="S23">
        <f>IF(Q23="","",IFERROR(MATCH(Q23,$P$4:$P$2003,0),""))</f>
        <v/>
      </c>
    </row>
    <row r="24">
      <c r="A24" s="4">
        <f>IF($R24="","",IF($R24="T","Gesamtergebnis",IF($R24="B",INDEX($M$4:$M$2003,$S24),INDEX($L$4:$L$2003,$S24))))</f>
        <v/>
      </c>
      <c r="B24" s="4">
        <f>IF($R24="","",IF($R24="T",$K$3,IF($R24="B",COUNTIFS($M$4:$M$2003,INDEX($M$4:$M$2003,$S24),$N$4:$N$2003,1),1)))</f>
        <v/>
      </c>
      <c r="L24">
        <f>IF($K$1="","",IFERROR(INDEX(Lines!$A:$AA,ROW()-2,$K$1),""))</f>
        <v/>
      </c>
      <c r="M24">
        <f>IF($K$2="","",IFERROR(INDEX(Lines!$A:$AA,ROW()-2,$K$2),""))</f>
        <v/>
      </c>
      <c r="N24">
        <f>IF(AND(L24&lt;&gt;"",LEFT(L24,1)="N",M24&lt;&gt;"PICKING",M24&lt;&gt;""),1,0)</f>
        <v/>
      </c>
      <c r="O24">
        <f>IF(N24=1,M24&amp;"|"&amp;L24,REPT("z",40))</f>
        <v/>
      </c>
      <c r="P24">
        <f>IF(N24=1,COUNTIF($O$4:$O$2003,"&lt;"&amp;O24)+1,"")</f>
        <v/>
      </c>
      <c r="Q24">
        <f>IF(OR($R23="",$R23="T"),"",IF($R23="B",$Q23,IF($Q23+1&gt;$K$3,"",$Q23+1)))</f>
        <v/>
      </c>
      <c r="R24">
        <f>IF(OR($R23="",$R23="T"),"",IF($R23="B","S",IF($Q23+1&gt;$K$3,"T",IF(INDEX($M$4:$M$2003,MATCH($Q23+1,$P$4:$P$2003,0))&lt;&gt;INDEX($M$4:$M$2003,MATCH($Q23,$P$4:$P$2003,0)),"B","S"))))</f>
        <v/>
      </c>
      <c r="S24">
        <f>IF(Q24="","",IFERROR(MATCH(Q24,$P$4:$P$2003,0),""))</f>
        <v/>
      </c>
    </row>
    <row r="25">
      <c r="A25" s="4">
        <f>IF($R25="","",IF($R25="T","Gesamtergebnis",IF($R25="B",INDEX($M$4:$M$2003,$S25),INDEX($L$4:$L$2003,$S25))))</f>
        <v/>
      </c>
      <c r="B25" s="4">
        <f>IF($R25="","",IF($R25="T",$K$3,IF($R25="B",COUNTIFS($M$4:$M$2003,INDEX($M$4:$M$2003,$S25),$N$4:$N$2003,1),1)))</f>
        <v/>
      </c>
      <c r="L25">
        <f>IF($K$1="","",IFERROR(INDEX(Lines!$A:$AA,ROW()-2,$K$1),""))</f>
        <v/>
      </c>
      <c r="M25">
        <f>IF($K$2="","",IFERROR(INDEX(Lines!$A:$AA,ROW()-2,$K$2),""))</f>
        <v/>
      </c>
      <c r="N25">
        <f>IF(AND(L25&lt;&gt;"",LEFT(L25,1)="N",M25&lt;&gt;"PICKING",M25&lt;&gt;""),1,0)</f>
        <v/>
      </c>
      <c r="O25">
        <f>IF(N25=1,M25&amp;"|"&amp;L25,REPT("z",40))</f>
        <v/>
      </c>
      <c r="P25">
        <f>IF(N25=1,COUNTIF($O$4:$O$2003,"&lt;"&amp;O25)+1,"")</f>
        <v/>
      </c>
      <c r="Q25">
        <f>IF(OR($R24="",$R24="T"),"",IF($R24="B",$Q24,IF($Q24+1&gt;$K$3,"",$Q24+1)))</f>
        <v/>
      </c>
      <c r="R25">
        <f>IF(OR($R24="",$R24="T"),"",IF($R24="B","S",IF($Q24+1&gt;$K$3,"T",IF(INDEX($M$4:$M$2003,MATCH($Q24+1,$P$4:$P$2003,0))&lt;&gt;INDEX($M$4:$M$2003,MATCH($Q24,$P$4:$P$2003,0)),"B","S"))))</f>
        <v/>
      </c>
      <c r="S25">
        <f>IF(Q25="","",IFERROR(MATCH(Q25,$P$4:$P$2003,0),""))</f>
        <v/>
      </c>
    </row>
    <row r="26">
      <c r="A26" s="4">
        <f>IF($R26="","",IF($R26="T","Gesamtergebnis",IF($R26="B",INDEX($M$4:$M$2003,$S26),INDEX($L$4:$L$2003,$S26))))</f>
        <v/>
      </c>
      <c r="B26" s="4">
        <f>IF($R26="","",IF($R26="T",$K$3,IF($R26="B",COUNTIFS($M$4:$M$2003,INDEX($M$4:$M$2003,$S26),$N$4:$N$2003,1),1)))</f>
        <v/>
      </c>
      <c r="L26">
        <f>IF($K$1="","",IFERROR(INDEX(Lines!$A:$AA,ROW()-2,$K$1),""))</f>
        <v/>
      </c>
      <c r="M26">
        <f>IF($K$2="","",IFERROR(INDEX(Lines!$A:$AA,ROW()-2,$K$2),""))</f>
        <v/>
      </c>
      <c r="N26">
        <f>IF(AND(L26&lt;&gt;"",LEFT(L26,1)="N",M26&lt;&gt;"PICKING",M26&lt;&gt;""),1,0)</f>
        <v/>
      </c>
      <c r="O26">
        <f>IF(N26=1,M26&amp;"|"&amp;L26,REPT("z",40))</f>
        <v/>
      </c>
      <c r="P26">
        <f>IF(N26=1,COUNTIF($O$4:$O$2003,"&lt;"&amp;O26)+1,"")</f>
        <v/>
      </c>
      <c r="Q26">
        <f>IF(OR($R25="",$R25="T"),"",IF($R25="B",$Q25,IF($Q25+1&gt;$K$3,"",$Q25+1)))</f>
        <v/>
      </c>
      <c r="R26">
        <f>IF(OR($R25="",$R25="T"),"",IF($R25="B","S",IF($Q25+1&gt;$K$3,"T",IF(INDEX($M$4:$M$2003,MATCH($Q25+1,$P$4:$P$2003,0))&lt;&gt;INDEX($M$4:$M$2003,MATCH($Q25,$P$4:$P$2003,0)),"B","S"))))</f>
        <v/>
      </c>
      <c r="S26">
        <f>IF(Q26="","",IFERROR(MATCH(Q26,$P$4:$P$2003,0),""))</f>
        <v/>
      </c>
    </row>
    <row r="27">
      <c r="A27" s="4">
        <f>IF($R27="","",IF($R27="T","Gesamtergebnis",IF($R27="B",INDEX($M$4:$M$2003,$S27),INDEX($L$4:$L$2003,$S27))))</f>
        <v/>
      </c>
      <c r="B27" s="4">
        <f>IF($R27="","",IF($R27="T",$K$3,IF($R27="B",COUNTIFS($M$4:$M$2003,INDEX($M$4:$M$2003,$S27),$N$4:$N$2003,1),1)))</f>
        <v/>
      </c>
      <c r="L27">
        <f>IF($K$1="","",IFERROR(INDEX(Lines!$A:$AA,ROW()-2,$K$1),""))</f>
        <v/>
      </c>
      <c r="M27">
        <f>IF($K$2="","",IFERROR(INDEX(Lines!$A:$AA,ROW()-2,$K$2),""))</f>
        <v/>
      </c>
      <c r="N27">
        <f>IF(AND(L27&lt;&gt;"",LEFT(L27,1)="N",M27&lt;&gt;"PICKING",M27&lt;&gt;""),1,0)</f>
        <v/>
      </c>
      <c r="O27">
        <f>IF(N27=1,M27&amp;"|"&amp;L27,REPT("z",40))</f>
        <v/>
      </c>
      <c r="P27">
        <f>IF(N27=1,COUNTIF($O$4:$O$2003,"&lt;"&amp;O27)+1,"")</f>
        <v/>
      </c>
      <c r="Q27">
        <f>IF(OR($R26="",$R26="T"),"",IF($R26="B",$Q26,IF($Q26+1&gt;$K$3,"",$Q26+1)))</f>
        <v/>
      </c>
      <c r="R27">
        <f>IF(OR($R26="",$R26="T"),"",IF($R26="B","S",IF($Q26+1&gt;$K$3,"T",IF(INDEX($M$4:$M$2003,MATCH($Q26+1,$P$4:$P$2003,0))&lt;&gt;INDEX($M$4:$M$2003,MATCH($Q26,$P$4:$P$2003,0)),"B","S"))))</f>
        <v/>
      </c>
      <c r="S27">
        <f>IF(Q27="","",IFERROR(MATCH(Q27,$P$4:$P$2003,0),""))</f>
        <v/>
      </c>
    </row>
    <row r="28">
      <c r="A28" s="4">
        <f>IF($R28="","",IF($R28="T","Gesamtergebnis",IF($R28="B",INDEX($M$4:$M$2003,$S28),INDEX($L$4:$L$2003,$S28))))</f>
        <v/>
      </c>
      <c r="B28" s="4">
        <f>IF($R28="","",IF($R28="T",$K$3,IF($R28="B",COUNTIFS($M$4:$M$2003,INDEX($M$4:$M$2003,$S28),$N$4:$N$2003,1),1)))</f>
        <v/>
      </c>
      <c r="L28">
        <f>IF($K$1="","",IFERROR(INDEX(Lines!$A:$AA,ROW()-2,$K$1),""))</f>
        <v/>
      </c>
      <c r="M28">
        <f>IF($K$2="","",IFERROR(INDEX(Lines!$A:$AA,ROW()-2,$K$2),""))</f>
        <v/>
      </c>
      <c r="N28">
        <f>IF(AND(L28&lt;&gt;"",LEFT(L28,1)="N",M28&lt;&gt;"PICKING",M28&lt;&gt;""),1,0)</f>
        <v/>
      </c>
      <c r="O28">
        <f>IF(N28=1,M28&amp;"|"&amp;L28,REPT("z",40))</f>
        <v/>
      </c>
      <c r="P28">
        <f>IF(N28=1,COUNTIF($O$4:$O$2003,"&lt;"&amp;O28)+1,"")</f>
        <v/>
      </c>
      <c r="Q28">
        <f>IF(OR($R27="",$R27="T"),"",IF($R27="B",$Q27,IF($Q27+1&gt;$K$3,"",$Q27+1)))</f>
        <v/>
      </c>
      <c r="R28">
        <f>IF(OR($R27="",$R27="T"),"",IF($R27="B","S",IF($Q27+1&gt;$K$3,"T",IF(INDEX($M$4:$M$2003,MATCH($Q27+1,$P$4:$P$2003,0))&lt;&gt;INDEX($M$4:$M$2003,MATCH($Q27,$P$4:$P$2003,0)),"B","S"))))</f>
        <v/>
      </c>
      <c r="S28">
        <f>IF(Q28="","",IFERROR(MATCH(Q28,$P$4:$P$2003,0),""))</f>
        <v/>
      </c>
    </row>
    <row r="29">
      <c r="A29" s="4">
        <f>IF($R29="","",IF($R29="T","Gesamtergebnis",IF($R29="B",INDEX($M$4:$M$2003,$S29),INDEX($L$4:$L$2003,$S29))))</f>
        <v/>
      </c>
      <c r="B29" s="4">
        <f>IF($R29="","",IF($R29="T",$K$3,IF($R29="B",COUNTIFS($M$4:$M$2003,INDEX($M$4:$M$2003,$S29),$N$4:$N$2003,1),1)))</f>
        <v/>
      </c>
      <c r="L29">
        <f>IF($K$1="","",IFERROR(INDEX(Lines!$A:$AA,ROW()-2,$K$1),""))</f>
        <v/>
      </c>
      <c r="M29">
        <f>IF($K$2="","",IFERROR(INDEX(Lines!$A:$AA,ROW()-2,$K$2),""))</f>
        <v/>
      </c>
      <c r="N29">
        <f>IF(AND(L29&lt;&gt;"",LEFT(L29,1)="N",M29&lt;&gt;"PICKING",M29&lt;&gt;""),1,0)</f>
        <v/>
      </c>
      <c r="O29">
        <f>IF(N29=1,M29&amp;"|"&amp;L29,REPT("z",40))</f>
        <v/>
      </c>
      <c r="P29">
        <f>IF(N29=1,COUNTIF($O$4:$O$2003,"&lt;"&amp;O29)+1,"")</f>
        <v/>
      </c>
      <c r="Q29">
        <f>IF(OR($R28="",$R28="T"),"",IF($R28="B",$Q28,IF($Q28+1&gt;$K$3,"",$Q28+1)))</f>
        <v/>
      </c>
      <c r="R29">
        <f>IF(OR($R28="",$R28="T"),"",IF($R28="B","S",IF($Q28+1&gt;$K$3,"T",IF(INDEX($M$4:$M$2003,MATCH($Q28+1,$P$4:$P$2003,0))&lt;&gt;INDEX($M$4:$M$2003,MATCH($Q28,$P$4:$P$2003,0)),"B","S"))))</f>
        <v/>
      </c>
      <c r="S29">
        <f>IF(Q29="","",IFERROR(MATCH(Q29,$P$4:$P$2003,0),""))</f>
        <v/>
      </c>
    </row>
    <row r="30">
      <c r="A30" s="4">
        <f>IF($R30="","",IF($R30="T","Gesamtergebnis",IF($R30="B",INDEX($M$4:$M$2003,$S30),INDEX($L$4:$L$2003,$S30))))</f>
        <v/>
      </c>
      <c r="B30" s="4">
        <f>IF($R30="","",IF($R30="T",$K$3,IF($R30="B",COUNTIFS($M$4:$M$2003,INDEX($M$4:$M$2003,$S30),$N$4:$N$2003,1),1)))</f>
        <v/>
      </c>
      <c r="L30">
        <f>IF($K$1="","",IFERROR(INDEX(Lines!$A:$AA,ROW()-2,$K$1),""))</f>
        <v/>
      </c>
      <c r="M30">
        <f>IF($K$2="","",IFERROR(INDEX(Lines!$A:$AA,ROW()-2,$K$2),""))</f>
        <v/>
      </c>
      <c r="N30">
        <f>IF(AND(L30&lt;&gt;"",LEFT(L30,1)="N",M30&lt;&gt;"PICKING",M30&lt;&gt;""),1,0)</f>
        <v/>
      </c>
      <c r="O30">
        <f>IF(N30=1,M30&amp;"|"&amp;L30,REPT("z",40))</f>
        <v/>
      </c>
      <c r="P30">
        <f>IF(N30=1,COUNTIF($O$4:$O$2003,"&lt;"&amp;O30)+1,"")</f>
        <v/>
      </c>
      <c r="Q30">
        <f>IF(OR($R29="",$R29="T"),"",IF($R29="B",$Q29,IF($Q29+1&gt;$K$3,"",$Q29+1)))</f>
        <v/>
      </c>
      <c r="R30">
        <f>IF(OR($R29="",$R29="T"),"",IF($R29="B","S",IF($Q29+1&gt;$K$3,"T",IF(INDEX($M$4:$M$2003,MATCH($Q29+1,$P$4:$P$2003,0))&lt;&gt;INDEX($M$4:$M$2003,MATCH($Q29,$P$4:$P$2003,0)),"B","S"))))</f>
        <v/>
      </c>
      <c r="S30">
        <f>IF(Q30="","",IFERROR(MATCH(Q30,$P$4:$P$2003,0),""))</f>
        <v/>
      </c>
    </row>
    <row r="31">
      <c r="A31" s="4">
        <f>IF($R31="","",IF($R31="T","Gesamtergebnis",IF($R31="B",INDEX($M$4:$M$2003,$S31),INDEX($L$4:$L$2003,$S31))))</f>
        <v/>
      </c>
      <c r="B31" s="4">
        <f>IF($R31="","",IF($R31="T",$K$3,IF($R31="B",COUNTIFS($M$4:$M$2003,INDEX($M$4:$M$2003,$S31),$N$4:$N$2003,1),1)))</f>
        <v/>
      </c>
      <c r="L31">
        <f>IF($K$1="","",IFERROR(INDEX(Lines!$A:$AA,ROW()-2,$K$1),""))</f>
        <v/>
      </c>
      <c r="M31">
        <f>IF($K$2="","",IFERROR(INDEX(Lines!$A:$AA,ROW()-2,$K$2),""))</f>
        <v/>
      </c>
      <c r="N31">
        <f>IF(AND(L31&lt;&gt;"",LEFT(L31,1)="N",M31&lt;&gt;"PICKING",M31&lt;&gt;""),1,0)</f>
        <v/>
      </c>
      <c r="O31">
        <f>IF(N31=1,M31&amp;"|"&amp;L31,REPT("z",40))</f>
        <v/>
      </c>
      <c r="P31">
        <f>IF(N31=1,COUNTIF($O$4:$O$2003,"&lt;"&amp;O31)+1,"")</f>
        <v/>
      </c>
      <c r="Q31">
        <f>IF(OR($R30="",$R30="T"),"",IF($R30="B",$Q30,IF($Q30+1&gt;$K$3,"",$Q30+1)))</f>
        <v/>
      </c>
      <c r="R31">
        <f>IF(OR($R30="",$R30="T"),"",IF($R30="B","S",IF($Q30+1&gt;$K$3,"T",IF(INDEX($M$4:$M$2003,MATCH($Q30+1,$P$4:$P$2003,0))&lt;&gt;INDEX($M$4:$M$2003,MATCH($Q30,$P$4:$P$2003,0)),"B","S"))))</f>
        <v/>
      </c>
      <c r="S31">
        <f>IF(Q31="","",IFERROR(MATCH(Q31,$P$4:$P$2003,0),""))</f>
        <v/>
      </c>
    </row>
    <row r="32">
      <c r="A32" s="4">
        <f>IF($R32="","",IF($R32="T","Gesamtergebnis",IF($R32="B",INDEX($M$4:$M$2003,$S32),INDEX($L$4:$L$2003,$S32))))</f>
        <v/>
      </c>
      <c r="B32" s="4">
        <f>IF($R32="","",IF($R32="T",$K$3,IF($R32="B",COUNTIFS($M$4:$M$2003,INDEX($M$4:$M$2003,$S32),$N$4:$N$2003,1),1)))</f>
        <v/>
      </c>
      <c r="L32">
        <f>IF($K$1="","",IFERROR(INDEX(Lines!$A:$AA,ROW()-2,$K$1),""))</f>
        <v/>
      </c>
      <c r="M32">
        <f>IF($K$2="","",IFERROR(INDEX(Lines!$A:$AA,ROW()-2,$K$2),""))</f>
        <v/>
      </c>
      <c r="N32">
        <f>IF(AND(L32&lt;&gt;"",LEFT(L32,1)="N",M32&lt;&gt;"PICKING",M32&lt;&gt;""),1,0)</f>
        <v/>
      </c>
      <c r="O32">
        <f>IF(N32=1,M32&amp;"|"&amp;L32,REPT("z",40))</f>
        <v/>
      </c>
      <c r="P32">
        <f>IF(N32=1,COUNTIF($O$4:$O$2003,"&lt;"&amp;O32)+1,"")</f>
        <v/>
      </c>
      <c r="Q32">
        <f>IF(OR($R31="",$R31="T"),"",IF($R31="B",$Q31,IF($Q31+1&gt;$K$3,"",$Q31+1)))</f>
        <v/>
      </c>
      <c r="R32">
        <f>IF(OR($R31="",$R31="T"),"",IF($R31="B","S",IF($Q31+1&gt;$K$3,"T",IF(INDEX($M$4:$M$2003,MATCH($Q31+1,$P$4:$P$2003,0))&lt;&gt;INDEX($M$4:$M$2003,MATCH($Q31,$P$4:$P$2003,0)),"B","S"))))</f>
        <v/>
      </c>
      <c r="S32">
        <f>IF(Q32="","",IFERROR(MATCH(Q32,$P$4:$P$2003,0),""))</f>
        <v/>
      </c>
    </row>
    <row r="33">
      <c r="A33" s="4">
        <f>IF($R33="","",IF($R33="T","Gesamtergebnis",IF($R33="B",INDEX($M$4:$M$2003,$S33),INDEX($L$4:$L$2003,$S33))))</f>
        <v/>
      </c>
      <c r="B33" s="4">
        <f>IF($R33="","",IF($R33="T",$K$3,IF($R33="B",COUNTIFS($M$4:$M$2003,INDEX($M$4:$M$2003,$S33),$N$4:$N$2003,1),1)))</f>
        <v/>
      </c>
      <c r="L33">
        <f>IF($K$1="","",IFERROR(INDEX(Lines!$A:$AA,ROW()-2,$K$1),""))</f>
        <v/>
      </c>
      <c r="M33">
        <f>IF($K$2="","",IFERROR(INDEX(Lines!$A:$AA,ROW()-2,$K$2),""))</f>
        <v/>
      </c>
      <c r="N33">
        <f>IF(AND(L33&lt;&gt;"",LEFT(L33,1)="N",M33&lt;&gt;"PICKING",M33&lt;&gt;""),1,0)</f>
        <v/>
      </c>
      <c r="O33">
        <f>IF(N33=1,M33&amp;"|"&amp;L33,REPT("z",40))</f>
        <v/>
      </c>
      <c r="P33">
        <f>IF(N33=1,COUNTIF($O$4:$O$2003,"&lt;"&amp;O33)+1,"")</f>
        <v/>
      </c>
      <c r="Q33">
        <f>IF(OR($R32="",$R32="T"),"",IF($R32="B",$Q32,IF($Q32+1&gt;$K$3,"",$Q32+1)))</f>
        <v/>
      </c>
      <c r="R33">
        <f>IF(OR($R32="",$R32="T"),"",IF($R32="B","S",IF($Q32+1&gt;$K$3,"T",IF(INDEX($M$4:$M$2003,MATCH($Q32+1,$P$4:$P$2003,0))&lt;&gt;INDEX($M$4:$M$2003,MATCH($Q32,$P$4:$P$2003,0)),"B","S"))))</f>
        <v/>
      </c>
      <c r="S33">
        <f>IF(Q33="","",IFERROR(MATCH(Q33,$P$4:$P$2003,0),""))</f>
        <v/>
      </c>
    </row>
    <row r="34">
      <c r="A34" s="4">
        <f>IF($R34="","",IF($R34="T","Gesamtergebnis",IF($R34="B",INDEX($M$4:$M$2003,$S34),INDEX($L$4:$L$2003,$S34))))</f>
        <v/>
      </c>
      <c r="B34" s="4">
        <f>IF($R34="","",IF($R34="T",$K$3,IF($R34="B",COUNTIFS($M$4:$M$2003,INDEX($M$4:$M$2003,$S34),$N$4:$N$2003,1),1)))</f>
        <v/>
      </c>
      <c r="L34">
        <f>IF($K$1="","",IFERROR(INDEX(Lines!$A:$AA,ROW()-2,$K$1),""))</f>
        <v/>
      </c>
      <c r="M34">
        <f>IF($K$2="","",IFERROR(INDEX(Lines!$A:$AA,ROW()-2,$K$2),""))</f>
        <v/>
      </c>
      <c r="N34">
        <f>IF(AND(L34&lt;&gt;"",LEFT(L34,1)="N",M34&lt;&gt;"PICKING",M34&lt;&gt;""),1,0)</f>
        <v/>
      </c>
      <c r="O34">
        <f>IF(N34=1,M34&amp;"|"&amp;L34,REPT("z",40))</f>
        <v/>
      </c>
      <c r="P34">
        <f>IF(N34=1,COUNTIF($O$4:$O$2003,"&lt;"&amp;O34)+1,"")</f>
        <v/>
      </c>
      <c r="Q34">
        <f>IF(OR($R33="",$R33="T"),"",IF($R33="B",$Q33,IF($Q33+1&gt;$K$3,"",$Q33+1)))</f>
        <v/>
      </c>
      <c r="R34">
        <f>IF(OR($R33="",$R33="T"),"",IF($R33="B","S",IF($Q33+1&gt;$K$3,"T",IF(INDEX($M$4:$M$2003,MATCH($Q33+1,$P$4:$P$2003,0))&lt;&gt;INDEX($M$4:$M$2003,MATCH($Q33,$P$4:$P$2003,0)),"B","S"))))</f>
        <v/>
      </c>
      <c r="S34">
        <f>IF(Q34="","",IFERROR(MATCH(Q34,$P$4:$P$2003,0),""))</f>
        <v/>
      </c>
    </row>
    <row r="35">
      <c r="A35" s="4">
        <f>IF($R35="","",IF($R35="T","Gesamtergebnis",IF($R35="B",INDEX($M$4:$M$2003,$S35),INDEX($L$4:$L$2003,$S35))))</f>
        <v/>
      </c>
      <c r="B35" s="4">
        <f>IF($R35="","",IF($R35="T",$K$3,IF($R35="B",COUNTIFS($M$4:$M$2003,INDEX($M$4:$M$2003,$S35),$N$4:$N$2003,1),1)))</f>
        <v/>
      </c>
      <c r="L35">
        <f>IF($K$1="","",IFERROR(INDEX(Lines!$A:$AA,ROW()-2,$K$1),""))</f>
        <v/>
      </c>
      <c r="M35">
        <f>IF($K$2="","",IFERROR(INDEX(Lines!$A:$AA,ROW()-2,$K$2),""))</f>
        <v/>
      </c>
      <c r="N35">
        <f>IF(AND(L35&lt;&gt;"",LEFT(L35,1)="N",M35&lt;&gt;"PICKING",M35&lt;&gt;""),1,0)</f>
        <v/>
      </c>
      <c r="O35">
        <f>IF(N35=1,M35&amp;"|"&amp;L35,REPT("z",40))</f>
        <v/>
      </c>
      <c r="P35">
        <f>IF(N35=1,COUNTIF($O$4:$O$2003,"&lt;"&amp;O35)+1,"")</f>
        <v/>
      </c>
      <c r="Q35">
        <f>IF(OR($R34="",$R34="T"),"",IF($R34="B",$Q34,IF($Q34+1&gt;$K$3,"",$Q34+1)))</f>
        <v/>
      </c>
      <c r="R35">
        <f>IF(OR($R34="",$R34="T"),"",IF($R34="B","S",IF($Q34+1&gt;$K$3,"T",IF(INDEX($M$4:$M$2003,MATCH($Q34+1,$P$4:$P$2003,0))&lt;&gt;INDEX($M$4:$M$2003,MATCH($Q34,$P$4:$P$2003,0)),"B","S"))))</f>
        <v/>
      </c>
      <c r="S35">
        <f>IF(Q35="","",IFERROR(MATCH(Q35,$P$4:$P$2003,0),""))</f>
        <v/>
      </c>
    </row>
    <row r="36">
      <c r="A36" s="4">
        <f>IF($R36="","",IF($R36="T","Gesamtergebnis",IF($R36="B",INDEX($M$4:$M$2003,$S36),INDEX($L$4:$L$2003,$S36))))</f>
        <v/>
      </c>
      <c r="B36" s="4">
        <f>IF($R36="","",IF($R36="T",$K$3,IF($R36="B",COUNTIFS($M$4:$M$2003,INDEX($M$4:$M$2003,$S36),$N$4:$N$2003,1),1)))</f>
        <v/>
      </c>
      <c r="L36">
        <f>IF($K$1="","",IFERROR(INDEX(Lines!$A:$AA,ROW()-2,$K$1),""))</f>
        <v/>
      </c>
      <c r="M36">
        <f>IF($K$2="","",IFERROR(INDEX(Lines!$A:$AA,ROW()-2,$K$2),""))</f>
        <v/>
      </c>
      <c r="N36">
        <f>IF(AND(L36&lt;&gt;"",LEFT(L36,1)="N",M36&lt;&gt;"PICKING",M36&lt;&gt;""),1,0)</f>
        <v/>
      </c>
      <c r="O36">
        <f>IF(N36=1,M36&amp;"|"&amp;L36,REPT("z",40))</f>
        <v/>
      </c>
      <c r="P36">
        <f>IF(N36=1,COUNTIF($O$4:$O$2003,"&lt;"&amp;O36)+1,"")</f>
        <v/>
      </c>
      <c r="Q36">
        <f>IF(OR($R35="",$R35="T"),"",IF($R35="B",$Q35,IF($Q35+1&gt;$K$3,"",$Q35+1)))</f>
        <v/>
      </c>
      <c r="R36">
        <f>IF(OR($R35="",$R35="T"),"",IF($R35="B","S",IF($Q35+1&gt;$K$3,"T",IF(INDEX($M$4:$M$2003,MATCH($Q35+1,$P$4:$P$2003,0))&lt;&gt;INDEX($M$4:$M$2003,MATCH($Q35,$P$4:$P$2003,0)),"B","S"))))</f>
        <v/>
      </c>
      <c r="S36">
        <f>IF(Q36="","",IFERROR(MATCH(Q36,$P$4:$P$2003,0),""))</f>
        <v/>
      </c>
    </row>
    <row r="37">
      <c r="A37" s="4">
        <f>IF($R37="","",IF($R37="T","Gesamtergebnis",IF($R37="B",INDEX($M$4:$M$2003,$S37),INDEX($L$4:$L$2003,$S37))))</f>
        <v/>
      </c>
      <c r="B37" s="4">
        <f>IF($R37="","",IF($R37="T",$K$3,IF($R37="B",COUNTIFS($M$4:$M$2003,INDEX($M$4:$M$2003,$S37),$N$4:$N$2003,1),1)))</f>
        <v/>
      </c>
      <c r="L37">
        <f>IF($K$1="","",IFERROR(INDEX(Lines!$A:$AA,ROW()-2,$K$1),""))</f>
        <v/>
      </c>
      <c r="M37">
        <f>IF($K$2="","",IFERROR(INDEX(Lines!$A:$AA,ROW()-2,$K$2),""))</f>
        <v/>
      </c>
      <c r="N37">
        <f>IF(AND(L37&lt;&gt;"",LEFT(L37,1)="N",M37&lt;&gt;"PICKING",M37&lt;&gt;""),1,0)</f>
        <v/>
      </c>
      <c r="O37">
        <f>IF(N37=1,M37&amp;"|"&amp;L37,REPT("z",40))</f>
        <v/>
      </c>
      <c r="P37">
        <f>IF(N37=1,COUNTIF($O$4:$O$2003,"&lt;"&amp;O37)+1,"")</f>
        <v/>
      </c>
      <c r="Q37">
        <f>IF(OR($R36="",$R36="T"),"",IF($R36="B",$Q36,IF($Q36+1&gt;$K$3,"",$Q36+1)))</f>
        <v/>
      </c>
      <c r="R37">
        <f>IF(OR($R36="",$R36="T"),"",IF($R36="B","S",IF($Q36+1&gt;$K$3,"T",IF(INDEX($M$4:$M$2003,MATCH($Q36+1,$P$4:$P$2003,0))&lt;&gt;INDEX($M$4:$M$2003,MATCH($Q36,$P$4:$P$2003,0)),"B","S"))))</f>
        <v/>
      </c>
      <c r="S37">
        <f>IF(Q37="","",IFERROR(MATCH(Q37,$P$4:$P$2003,0),""))</f>
        <v/>
      </c>
    </row>
    <row r="38">
      <c r="A38" s="4">
        <f>IF($R38="","",IF($R38="T","Gesamtergebnis",IF($R38="B",INDEX($M$4:$M$2003,$S38),INDEX($L$4:$L$2003,$S38))))</f>
        <v/>
      </c>
      <c r="B38" s="4">
        <f>IF($R38="","",IF($R38="T",$K$3,IF($R38="B",COUNTIFS($M$4:$M$2003,INDEX($M$4:$M$2003,$S38),$N$4:$N$2003,1),1)))</f>
        <v/>
      </c>
      <c r="L38">
        <f>IF($K$1="","",IFERROR(INDEX(Lines!$A:$AA,ROW()-2,$K$1),""))</f>
        <v/>
      </c>
      <c r="M38">
        <f>IF($K$2="","",IFERROR(INDEX(Lines!$A:$AA,ROW()-2,$K$2),""))</f>
        <v/>
      </c>
      <c r="N38">
        <f>IF(AND(L38&lt;&gt;"",LEFT(L38,1)="N",M38&lt;&gt;"PICKING",M38&lt;&gt;""),1,0)</f>
        <v/>
      </c>
      <c r="O38">
        <f>IF(N38=1,M38&amp;"|"&amp;L38,REPT("z",40))</f>
        <v/>
      </c>
      <c r="P38">
        <f>IF(N38=1,COUNTIF($O$4:$O$2003,"&lt;"&amp;O38)+1,"")</f>
        <v/>
      </c>
      <c r="Q38">
        <f>IF(OR($R37="",$R37="T"),"",IF($R37="B",$Q37,IF($Q37+1&gt;$K$3,"",$Q37+1)))</f>
        <v/>
      </c>
      <c r="R38">
        <f>IF(OR($R37="",$R37="T"),"",IF($R37="B","S",IF($Q37+1&gt;$K$3,"T",IF(INDEX($M$4:$M$2003,MATCH($Q37+1,$P$4:$P$2003,0))&lt;&gt;INDEX($M$4:$M$2003,MATCH($Q37,$P$4:$P$2003,0)),"B","S"))))</f>
        <v/>
      </c>
      <c r="S38">
        <f>IF(Q38="","",IFERROR(MATCH(Q38,$P$4:$P$2003,0),""))</f>
        <v/>
      </c>
    </row>
    <row r="39">
      <c r="A39" s="4">
        <f>IF($R39="","",IF($R39="T","Gesamtergebnis",IF($R39="B",INDEX($M$4:$M$2003,$S39),INDEX($L$4:$L$2003,$S39))))</f>
        <v/>
      </c>
      <c r="B39" s="4">
        <f>IF($R39="","",IF($R39="T",$K$3,IF($R39="B",COUNTIFS($M$4:$M$2003,INDEX($M$4:$M$2003,$S39),$N$4:$N$2003,1),1)))</f>
        <v/>
      </c>
      <c r="L39">
        <f>IF($K$1="","",IFERROR(INDEX(Lines!$A:$AA,ROW()-2,$K$1),""))</f>
        <v/>
      </c>
      <c r="M39">
        <f>IF($K$2="","",IFERROR(INDEX(Lines!$A:$AA,ROW()-2,$K$2),""))</f>
        <v/>
      </c>
      <c r="N39">
        <f>IF(AND(L39&lt;&gt;"",LEFT(L39,1)="N",M39&lt;&gt;"PICKING",M39&lt;&gt;""),1,0)</f>
        <v/>
      </c>
      <c r="O39">
        <f>IF(N39=1,M39&amp;"|"&amp;L39,REPT("z",40))</f>
        <v/>
      </c>
      <c r="P39">
        <f>IF(N39=1,COUNTIF($O$4:$O$2003,"&lt;"&amp;O39)+1,"")</f>
        <v/>
      </c>
      <c r="Q39">
        <f>IF(OR($R38="",$R38="T"),"",IF($R38="B",$Q38,IF($Q38+1&gt;$K$3,"",$Q38+1)))</f>
        <v/>
      </c>
      <c r="R39">
        <f>IF(OR($R38="",$R38="T"),"",IF($R38="B","S",IF($Q38+1&gt;$K$3,"T",IF(INDEX($M$4:$M$2003,MATCH($Q38+1,$P$4:$P$2003,0))&lt;&gt;INDEX($M$4:$M$2003,MATCH($Q38,$P$4:$P$2003,0)),"B","S"))))</f>
        <v/>
      </c>
      <c r="S39">
        <f>IF(Q39="","",IFERROR(MATCH(Q39,$P$4:$P$2003,0),""))</f>
        <v/>
      </c>
    </row>
    <row r="40">
      <c r="A40" s="4">
        <f>IF($R40="","",IF($R40="T","Gesamtergebnis",IF($R40="B",INDEX($M$4:$M$2003,$S40),INDEX($L$4:$L$2003,$S40))))</f>
        <v/>
      </c>
      <c r="B40" s="4">
        <f>IF($R40="","",IF($R40="T",$K$3,IF($R40="B",COUNTIFS($M$4:$M$2003,INDEX($M$4:$M$2003,$S40),$N$4:$N$2003,1),1)))</f>
        <v/>
      </c>
      <c r="L40">
        <f>IF($K$1="","",IFERROR(INDEX(Lines!$A:$AA,ROW()-2,$K$1),""))</f>
        <v/>
      </c>
      <c r="M40">
        <f>IF($K$2="","",IFERROR(INDEX(Lines!$A:$AA,ROW()-2,$K$2),""))</f>
        <v/>
      </c>
      <c r="N40">
        <f>IF(AND(L40&lt;&gt;"",LEFT(L40,1)="N",M40&lt;&gt;"PICKING",M40&lt;&gt;""),1,0)</f>
        <v/>
      </c>
      <c r="O40">
        <f>IF(N40=1,M40&amp;"|"&amp;L40,REPT("z",40))</f>
        <v/>
      </c>
      <c r="P40">
        <f>IF(N40=1,COUNTIF($O$4:$O$2003,"&lt;"&amp;O40)+1,"")</f>
        <v/>
      </c>
      <c r="Q40">
        <f>IF(OR($R39="",$R39="T"),"",IF($R39="B",$Q39,IF($Q39+1&gt;$K$3,"",$Q39+1)))</f>
        <v/>
      </c>
      <c r="R40">
        <f>IF(OR($R39="",$R39="T"),"",IF($R39="B","S",IF($Q39+1&gt;$K$3,"T",IF(INDEX($M$4:$M$2003,MATCH($Q39+1,$P$4:$P$2003,0))&lt;&gt;INDEX($M$4:$M$2003,MATCH($Q39,$P$4:$P$2003,0)),"B","S"))))</f>
        <v/>
      </c>
      <c r="S40">
        <f>IF(Q40="","",IFERROR(MATCH(Q40,$P$4:$P$2003,0),""))</f>
        <v/>
      </c>
    </row>
    <row r="41">
      <c r="A41" s="4">
        <f>IF($R41="","",IF($R41="T","Gesamtergebnis",IF($R41="B",INDEX($M$4:$M$2003,$S41),INDEX($L$4:$L$2003,$S41))))</f>
        <v/>
      </c>
      <c r="B41" s="4">
        <f>IF($R41="","",IF($R41="T",$K$3,IF($R41="B",COUNTIFS($M$4:$M$2003,INDEX($M$4:$M$2003,$S41),$N$4:$N$2003,1),1)))</f>
        <v/>
      </c>
      <c r="L41">
        <f>IF($K$1="","",IFERROR(INDEX(Lines!$A:$AA,ROW()-2,$K$1),""))</f>
        <v/>
      </c>
      <c r="M41">
        <f>IF($K$2="","",IFERROR(INDEX(Lines!$A:$AA,ROW()-2,$K$2),""))</f>
        <v/>
      </c>
      <c r="N41">
        <f>IF(AND(L41&lt;&gt;"",LEFT(L41,1)="N",M41&lt;&gt;"PICKING",M41&lt;&gt;""),1,0)</f>
        <v/>
      </c>
      <c r="O41">
        <f>IF(N41=1,M41&amp;"|"&amp;L41,REPT("z",40))</f>
        <v/>
      </c>
      <c r="P41">
        <f>IF(N41=1,COUNTIF($O$4:$O$2003,"&lt;"&amp;O41)+1,"")</f>
        <v/>
      </c>
      <c r="Q41">
        <f>IF(OR($R40="",$R40="T"),"",IF($R40="B",$Q40,IF($Q40+1&gt;$K$3,"",$Q40+1)))</f>
        <v/>
      </c>
      <c r="R41">
        <f>IF(OR($R40="",$R40="T"),"",IF($R40="B","S",IF($Q40+1&gt;$K$3,"T",IF(INDEX($M$4:$M$2003,MATCH($Q40+1,$P$4:$P$2003,0))&lt;&gt;INDEX($M$4:$M$2003,MATCH($Q40,$P$4:$P$2003,0)),"B","S"))))</f>
        <v/>
      </c>
      <c r="S41">
        <f>IF(Q41="","",IFERROR(MATCH(Q41,$P$4:$P$2003,0),""))</f>
        <v/>
      </c>
    </row>
    <row r="42">
      <c r="A42" s="4">
        <f>IF($R42="","",IF($R42="T","Gesamtergebnis",IF($R42="B",INDEX($M$4:$M$2003,$S42),INDEX($L$4:$L$2003,$S42))))</f>
        <v/>
      </c>
      <c r="B42" s="4">
        <f>IF($R42="","",IF($R42="T",$K$3,IF($R42="B",COUNTIFS($M$4:$M$2003,INDEX($M$4:$M$2003,$S42),$N$4:$N$2003,1),1)))</f>
        <v/>
      </c>
      <c r="L42">
        <f>IF($K$1="","",IFERROR(INDEX(Lines!$A:$AA,ROW()-2,$K$1),""))</f>
        <v/>
      </c>
      <c r="M42">
        <f>IF($K$2="","",IFERROR(INDEX(Lines!$A:$AA,ROW()-2,$K$2),""))</f>
        <v/>
      </c>
      <c r="N42">
        <f>IF(AND(L42&lt;&gt;"",LEFT(L42,1)="N",M42&lt;&gt;"PICKING",M42&lt;&gt;""),1,0)</f>
        <v/>
      </c>
      <c r="O42">
        <f>IF(N42=1,M42&amp;"|"&amp;L42,REPT("z",40))</f>
        <v/>
      </c>
      <c r="P42">
        <f>IF(N42=1,COUNTIF($O$4:$O$2003,"&lt;"&amp;O42)+1,"")</f>
        <v/>
      </c>
      <c r="Q42">
        <f>IF(OR($R41="",$R41="T"),"",IF($R41="B",$Q41,IF($Q41+1&gt;$K$3,"",$Q41+1)))</f>
        <v/>
      </c>
      <c r="R42">
        <f>IF(OR($R41="",$R41="T"),"",IF($R41="B","S",IF($Q41+1&gt;$K$3,"T",IF(INDEX($M$4:$M$2003,MATCH($Q41+1,$P$4:$P$2003,0))&lt;&gt;INDEX($M$4:$M$2003,MATCH($Q41,$P$4:$P$2003,0)),"B","S"))))</f>
        <v/>
      </c>
      <c r="S42">
        <f>IF(Q42="","",IFERROR(MATCH(Q42,$P$4:$P$2003,0),""))</f>
        <v/>
      </c>
    </row>
    <row r="43">
      <c r="A43" s="4">
        <f>IF($R43="","",IF($R43="T","Gesamtergebnis",IF($R43="B",INDEX($M$4:$M$2003,$S43),INDEX($L$4:$L$2003,$S43))))</f>
        <v/>
      </c>
      <c r="B43" s="4">
        <f>IF($R43="","",IF($R43="T",$K$3,IF($R43="B",COUNTIFS($M$4:$M$2003,INDEX($M$4:$M$2003,$S43),$N$4:$N$2003,1),1)))</f>
        <v/>
      </c>
      <c r="L43">
        <f>IF($K$1="","",IFERROR(INDEX(Lines!$A:$AA,ROW()-2,$K$1),""))</f>
        <v/>
      </c>
      <c r="M43">
        <f>IF($K$2="","",IFERROR(INDEX(Lines!$A:$AA,ROW()-2,$K$2),""))</f>
        <v/>
      </c>
      <c r="N43">
        <f>IF(AND(L43&lt;&gt;"",LEFT(L43,1)="N",M43&lt;&gt;"PICKING",M43&lt;&gt;""),1,0)</f>
        <v/>
      </c>
      <c r="O43">
        <f>IF(N43=1,M43&amp;"|"&amp;L43,REPT("z",40))</f>
        <v/>
      </c>
      <c r="P43">
        <f>IF(N43=1,COUNTIF($O$4:$O$2003,"&lt;"&amp;O43)+1,"")</f>
        <v/>
      </c>
      <c r="Q43">
        <f>IF(OR($R42="",$R42="T"),"",IF($R42="B",$Q42,IF($Q42+1&gt;$K$3,"",$Q42+1)))</f>
        <v/>
      </c>
      <c r="R43">
        <f>IF(OR($R42="",$R42="T"),"",IF($R42="B","S",IF($Q42+1&gt;$K$3,"T",IF(INDEX($M$4:$M$2003,MATCH($Q42+1,$P$4:$P$2003,0))&lt;&gt;INDEX($M$4:$M$2003,MATCH($Q42,$P$4:$P$2003,0)),"B","S"))))</f>
        <v/>
      </c>
      <c r="S43">
        <f>IF(Q43="","",IFERROR(MATCH(Q43,$P$4:$P$2003,0),""))</f>
        <v/>
      </c>
    </row>
    <row r="44">
      <c r="A44" s="4">
        <f>IF($R44="","",IF($R44="T","Gesamtergebnis",IF($R44="B",INDEX($M$4:$M$2003,$S44),INDEX($L$4:$L$2003,$S44))))</f>
        <v/>
      </c>
      <c r="B44" s="4">
        <f>IF($R44="","",IF($R44="T",$K$3,IF($R44="B",COUNTIFS($M$4:$M$2003,INDEX($M$4:$M$2003,$S44),$N$4:$N$2003,1),1)))</f>
        <v/>
      </c>
      <c r="L44">
        <f>IF($K$1="","",IFERROR(INDEX(Lines!$A:$AA,ROW()-2,$K$1),""))</f>
        <v/>
      </c>
      <c r="M44">
        <f>IF($K$2="","",IFERROR(INDEX(Lines!$A:$AA,ROW()-2,$K$2),""))</f>
        <v/>
      </c>
      <c r="N44">
        <f>IF(AND(L44&lt;&gt;"",LEFT(L44,1)="N",M44&lt;&gt;"PICKING",M44&lt;&gt;""),1,0)</f>
        <v/>
      </c>
      <c r="O44">
        <f>IF(N44=1,M44&amp;"|"&amp;L44,REPT("z",40))</f>
        <v/>
      </c>
      <c r="P44">
        <f>IF(N44=1,COUNTIF($O$4:$O$2003,"&lt;"&amp;O44)+1,"")</f>
        <v/>
      </c>
      <c r="Q44">
        <f>IF(OR($R43="",$R43="T"),"",IF($R43="B",$Q43,IF($Q43+1&gt;$K$3,"",$Q43+1)))</f>
        <v/>
      </c>
      <c r="R44">
        <f>IF(OR($R43="",$R43="T"),"",IF($R43="B","S",IF($Q43+1&gt;$K$3,"T",IF(INDEX($M$4:$M$2003,MATCH($Q43+1,$P$4:$P$2003,0))&lt;&gt;INDEX($M$4:$M$2003,MATCH($Q43,$P$4:$P$2003,0)),"B","S"))))</f>
        <v/>
      </c>
      <c r="S44">
        <f>IF(Q44="","",IFERROR(MATCH(Q44,$P$4:$P$2003,0),""))</f>
        <v/>
      </c>
    </row>
    <row r="45">
      <c r="A45" s="4">
        <f>IF($R45="","",IF($R45="T","Gesamtergebnis",IF($R45="B",INDEX($M$4:$M$2003,$S45),INDEX($L$4:$L$2003,$S45))))</f>
        <v/>
      </c>
      <c r="B45" s="4">
        <f>IF($R45="","",IF($R45="T",$K$3,IF($R45="B",COUNTIFS($M$4:$M$2003,INDEX($M$4:$M$2003,$S45),$N$4:$N$2003,1),1)))</f>
        <v/>
      </c>
      <c r="L45">
        <f>IF($K$1="","",IFERROR(INDEX(Lines!$A:$AA,ROW()-2,$K$1),""))</f>
        <v/>
      </c>
      <c r="M45">
        <f>IF($K$2="","",IFERROR(INDEX(Lines!$A:$AA,ROW()-2,$K$2),""))</f>
        <v/>
      </c>
      <c r="N45">
        <f>IF(AND(L45&lt;&gt;"",LEFT(L45,1)="N",M45&lt;&gt;"PICKING",M45&lt;&gt;""),1,0)</f>
        <v/>
      </c>
      <c r="O45">
        <f>IF(N45=1,M45&amp;"|"&amp;L45,REPT("z",40))</f>
        <v/>
      </c>
      <c r="P45">
        <f>IF(N45=1,COUNTIF($O$4:$O$2003,"&lt;"&amp;O45)+1,"")</f>
        <v/>
      </c>
      <c r="Q45">
        <f>IF(OR($R44="",$R44="T"),"",IF($R44="B",$Q44,IF($Q44+1&gt;$K$3,"",$Q44+1)))</f>
        <v/>
      </c>
      <c r="R45">
        <f>IF(OR($R44="",$R44="T"),"",IF($R44="B","S",IF($Q44+1&gt;$K$3,"T",IF(INDEX($M$4:$M$2003,MATCH($Q44+1,$P$4:$P$2003,0))&lt;&gt;INDEX($M$4:$M$2003,MATCH($Q44,$P$4:$P$2003,0)),"B","S"))))</f>
        <v/>
      </c>
      <c r="S45">
        <f>IF(Q45="","",IFERROR(MATCH(Q45,$P$4:$P$2003,0),""))</f>
        <v/>
      </c>
    </row>
    <row r="46">
      <c r="A46" s="4">
        <f>IF($R46="","",IF($R46="T","Gesamtergebnis",IF($R46="B",INDEX($M$4:$M$2003,$S46),INDEX($L$4:$L$2003,$S46))))</f>
        <v/>
      </c>
      <c r="B46" s="4">
        <f>IF($R46="","",IF($R46="T",$K$3,IF($R46="B",COUNTIFS($M$4:$M$2003,INDEX($M$4:$M$2003,$S46),$N$4:$N$2003,1),1)))</f>
        <v/>
      </c>
      <c r="L46">
        <f>IF($K$1="","",IFERROR(INDEX(Lines!$A:$AA,ROW()-2,$K$1),""))</f>
        <v/>
      </c>
      <c r="M46">
        <f>IF($K$2="","",IFERROR(INDEX(Lines!$A:$AA,ROW()-2,$K$2),""))</f>
        <v/>
      </c>
      <c r="N46">
        <f>IF(AND(L46&lt;&gt;"",LEFT(L46,1)="N",M46&lt;&gt;"PICKING",M46&lt;&gt;""),1,0)</f>
        <v/>
      </c>
      <c r="O46">
        <f>IF(N46=1,M46&amp;"|"&amp;L46,REPT("z",40))</f>
        <v/>
      </c>
      <c r="P46">
        <f>IF(N46=1,COUNTIF($O$4:$O$2003,"&lt;"&amp;O46)+1,"")</f>
        <v/>
      </c>
      <c r="Q46">
        <f>IF(OR($R45="",$R45="T"),"",IF($R45="B",$Q45,IF($Q45+1&gt;$K$3,"",$Q45+1)))</f>
        <v/>
      </c>
      <c r="R46">
        <f>IF(OR($R45="",$R45="T"),"",IF($R45="B","S",IF($Q45+1&gt;$K$3,"T",IF(INDEX($M$4:$M$2003,MATCH($Q45+1,$P$4:$P$2003,0))&lt;&gt;INDEX($M$4:$M$2003,MATCH($Q45,$P$4:$P$2003,0)),"B","S"))))</f>
        <v/>
      </c>
      <c r="S46">
        <f>IF(Q46="","",IFERROR(MATCH(Q46,$P$4:$P$2003,0),""))</f>
        <v/>
      </c>
    </row>
    <row r="47">
      <c r="A47" s="4">
        <f>IF($R47="","",IF($R47="T","Gesamtergebnis",IF($R47="B",INDEX($M$4:$M$2003,$S47),INDEX($L$4:$L$2003,$S47))))</f>
        <v/>
      </c>
      <c r="B47" s="4">
        <f>IF($R47="","",IF($R47="T",$K$3,IF($R47="B",COUNTIFS($M$4:$M$2003,INDEX($M$4:$M$2003,$S47),$N$4:$N$2003,1),1)))</f>
        <v/>
      </c>
      <c r="L47">
        <f>IF($K$1="","",IFERROR(INDEX(Lines!$A:$AA,ROW()-2,$K$1),""))</f>
        <v/>
      </c>
      <c r="M47">
        <f>IF($K$2="","",IFERROR(INDEX(Lines!$A:$AA,ROW()-2,$K$2),""))</f>
        <v/>
      </c>
      <c r="N47">
        <f>IF(AND(L47&lt;&gt;"",LEFT(L47,1)="N",M47&lt;&gt;"PICKING",M47&lt;&gt;""),1,0)</f>
        <v/>
      </c>
      <c r="O47">
        <f>IF(N47=1,M47&amp;"|"&amp;L47,REPT("z",40))</f>
        <v/>
      </c>
      <c r="P47">
        <f>IF(N47=1,COUNTIF($O$4:$O$2003,"&lt;"&amp;O47)+1,"")</f>
        <v/>
      </c>
      <c r="Q47">
        <f>IF(OR($R46="",$R46="T"),"",IF($R46="B",$Q46,IF($Q46+1&gt;$K$3,"",$Q46+1)))</f>
        <v/>
      </c>
      <c r="R47">
        <f>IF(OR($R46="",$R46="T"),"",IF($R46="B","S",IF($Q46+1&gt;$K$3,"T",IF(INDEX($M$4:$M$2003,MATCH($Q46+1,$P$4:$P$2003,0))&lt;&gt;INDEX($M$4:$M$2003,MATCH($Q46,$P$4:$P$2003,0)),"B","S"))))</f>
        <v/>
      </c>
      <c r="S47">
        <f>IF(Q47="","",IFERROR(MATCH(Q47,$P$4:$P$2003,0),""))</f>
        <v/>
      </c>
    </row>
    <row r="48">
      <c r="A48" s="4">
        <f>IF($R48="","",IF($R48="T","Gesamtergebnis",IF($R48="B",INDEX($M$4:$M$2003,$S48),INDEX($L$4:$L$2003,$S48))))</f>
        <v/>
      </c>
      <c r="B48" s="4">
        <f>IF($R48="","",IF($R48="T",$K$3,IF($R48="B",COUNTIFS($M$4:$M$2003,INDEX($M$4:$M$2003,$S48),$N$4:$N$2003,1),1)))</f>
        <v/>
      </c>
      <c r="L48">
        <f>IF($K$1="","",IFERROR(INDEX(Lines!$A:$AA,ROW()-2,$K$1),""))</f>
        <v/>
      </c>
      <c r="M48">
        <f>IF($K$2="","",IFERROR(INDEX(Lines!$A:$AA,ROW()-2,$K$2),""))</f>
        <v/>
      </c>
      <c r="N48">
        <f>IF(AND(L48&lt;&gt;"",LEFT(L48,1)="N",M48&lt;&gt;"PICKING",M48&lt;&gt;""),1,0)</f>
        <v/>
      </c>
      <c r="O48">
        <f>IF(N48=1,M48&amp;"|"&amp;L48,REPT("z",40))</f>
        <v/>
      </c>
      <c r="P48">
        <f>IF(N48=1,COUNTIF($O$4:$O$2003,"&lt;"&amp;O48)+1,"")</f>
        <v/>
      </c>
      <c r="Q48">
        <f>IF(OR($R47="",$R47="T"),"",IF($R47="B",$Q47,IF($Q47+1&gt;$K$3,"",$Q47+1)))</f>
        <v/>
      </c>
      <c r="R48">
        <f>IF(OR($R47="",$R47="T"),"",IF($R47="B","S",IF($Q47+1&gt;$K$3,"T",IF(INDEX($M$4:$M$2003,MATCH($Q47+1,$P$4:$P$2003,0))&lt;&gt;INDEX($M$4:$M$2003,MATCH($Q47,$P$4:$P$2003,0)),"B","S"))))</f>
        <v/>
      </c>
      <c r="S48">
        <f>IF(Q48="","",IFERROR(MATCH(Q48,$P$4:$P$2003,0),""))</f>
        <v/>
      </c>
    </row>
    <row r="49">
      <c r="A49" s="4">
        <f>IF($R49="","",IF($R49="T","Gesamtergebnis",IF($R49="B",INDEX($M$4:$M$2003,$S49),INDEX($L$4:$L$2003,$S49))))</f>
        <v/>
      </c>
      <c r="B49" s="4">
        <f>IF($R49="","",IF($R49="T",$K$3,IF($R49="B",COUNTIFS($M$4:$M$2003,INDEX($M$4:$M$2003,$S49),$N$4:$N$2003,1),1)))</f>
        <v/>
      </c>
      <c r="L49">
        <f>IF($K$1="","",IFERROR(INDEX(Lines!$A:$AA,ROW()-2,$K$1),""))</f>
        <v/>
      </c>
      <c r="M49">
        <f>IF($K$2="","",IFERROR(INDEX(Lines!$A:$AA,ROW()-2,$K$2),""))</f>
        <v/>
      </c>
      <c r="N49">
        <f>IF(AND(L49&lt;&gt;"",LEFT(L49,1)="N",M49&lt;&gt;"PICKING",M49&lt;&gt;""),1,0)</f>
        <v/>
      </c>
      <c r="O49">
        <f>IF(N49=1,M49&amp;"|"&amp;L49,REPT("z",40))</f>
        <v/>
      </c>
      <c r="P49">
        <f>IF(N49=1,COUNTIF($O$4:$O$2003,"&lt;"&amp;O49)+1,"")</f>
        <v/>
      </c>
      <c r="Q49">
        <f>IF(OR($R48="",$R48="T"),"",IF($R48="B",$Q48,IF($Q48+1&gt;$K$3,"",$Q48+1)))</f>
        <v/>
      </c>
      <c r="R49">
        <f>IF(OR($R48="",$R48="T"),"",IF($R48="B","S",IF($Q48+1&gt;$K$3,"T",IF(INDEX($M$4:$M$2003,MATCH($Q48+1,$P$4:$P$2003,0))&lt;&gt;INDEX($M$4:$M$2003,MATCH($Q48,$P$4:$P$2003,0)),"B","S"))))</f>
        <v/>
      </c>
      <c r="S49">
        <f>IF(Q49="","",IFERROR(MATCH(Q49,$P$4:$P$2003,0),""))</f>
        <v/>
      </c>
    </row>
    <row r="50">
      <c r="A50" s="4">
        <f>IF($R50="","",IF($R50="T","Gesamtergebnis",IF($R50="B",INDEX($M$4:$M$2003,$S50),INDEX($L$4:$L$2003,$S50))))</f>
        <v/>
      </c>
      <c r="B50" s="4">
        <f>IF($R50="","",IF($R50="T",$K$3,IF($R50="B",COUNTIFS($M$4:$M$2003,INDEX($M$4:$M$2003,$S50),$N$4:$N$2003,1),1)))</f>
        <v/>
      </c>
      <c r="L50">
        <f>IF($K$1="","",IFERROR(INDEX(Lines!$A:$AA,ROW()-2,$K$1),""))</f>
        <v/>
      </c>
      <c r="M50">
        <f>IF($K$2="","",IFERROR(INDEX(Lines!$A:$AA,ROW()-2,$K$2),""))</f>
        <v/>
      </c>
      <c r="N50">
        <f>IF(AND(L50&lt;&gt;"",LEFT(L50,1)="N",M50&lt;&gt;"PICKING",M50&lt;&gt;""),1,0)</f>
        <v/>
      </c>
      <c r="O50">
        <f>IF(N50=1,M50&amp;"|"&amp;L50,REPT("z",40))</f>
        <v/>
      </c>
      <c r="P50">
        <f>IF(N50=1,COUNTIF($O$4:$O$2003,"&lt;"&amp;O50)+1,"")</f>
        <v/>
      </c>
      <c r="Q50">
        <f>IF(OR($R49="",$R49="T"),"",IF($R49="B",$Q49,IF($Q49+1&gt;$K$3,"",$Q49+1)))</f>
        <v/>
      </c>
      <c r="R50">
        <f>IF(OR($R49="",$R49="T"),"",IF($R49="B","S",IF($Q49+1&gt;$K$3,"T",IF(INDEX($M$4:$M$2003,MATCH($Q49+1,$P$4:$P$2003,0))&lt;&gt;INDEX($M$4:$M$2003,MATCH($Q49,$P$4:$P$2003,0)),"B","S"))))</f>
        <v/>
      </c>
      <c r="S50">
        <f>IF(Q50="","",IFERROR(MATCH(Q50,$P$4:$P$2003,0),""))</f>
        <v/>
      </c>
    </row>
    <row r="51">
      <c r="A51" s="4">
        <f>IF($R51="","",IF($R51="T","Gesamtergebnis",IF($R51="B",INDEX($M$4:$M$2003,$S51),INDEX($L$4:$L$2003,$S51))))</f>
        <v/>
      </c>
      <c r="B51" s="4">
        <f>IF($R51="","",IF($R51="T",$K$3,IF($R51="B",COUNTIFS($M$4:$M$2003,INDEX($M$4:$M$2003,$S51),$N$4:$N$2003,1),1)))</f>
        <v/>
      </c>
      <c r="L51">
        <f>IF($K$1="","",IFERROR(INDEX(Lines!$A:$AA,ROW()-2,$K$1),""))</f>
        <v/>
      </c>
      <c r="M51">
        <f>IF($K$2="","",IFERROR(INDEX(Lines!$A:$AA,ROW()-2,$K$2),""))</f>
        <v/>
      </c>
      <c r="N51">
        <f>IF(AND(L51&lt;&gt;"",LEFT(L51,1)="N",M51&lt;&gt;"PICKING",M51&lt;&gt;""),1,0)</f>
        <v/>
      </c>
      <c r="O51">
        <f>IF(N51=1,M51&amp;"|"&amp;L51,REPT("z",40))</f>
        <v/>
      </c>
      <c r="P51">
        <f>IF(N51=1,COUNTIF($O$4:$O$2003,"&lt;"&amp;O51)+1,"")</f>
        <v/>
      </c>
      <c r="Q51">
        <f>IF(OR($R50="",$R50="T"),"",IF($R50="B",$Q50,IF($Q50+1&gt;$K$3,"",$Q50+1)))</f>
        <v/>
      </c>
      <c r="R51">
        <f>IF(OR($R50="",$R50="T"),"",IF($R50="B","S",IF($Q50+1&gt;$K$3,"T",IF(INDEX($M$4:$M$2003,MATCH($Q50+1,$P$4:$P$2003,0))&lt;&gt;INDEX($M$4:$M$2003,MATCH($Q50,$P$4:$P$2003,0)),"B","S"))))</f>
        <v/>
      </c>
      <c r="S51">
        <f>IF(Q51="","",IFERROR(MATCH(Q51,$P$4:$P$2003,0),""))</f>
        <v/>
      </c>
    </row>
    <row r="52">
      <c r="A52" s="4">
        <f>IF($R52="","",IF($R52="T","Gesamtergebnis",IF($R52="B",INDEX($M$4:$M$2003,$S52),INDEX($L$4:$L$2003,$S52))))</f>
        <v/>
      </c>
      <c r="B52" s="4">
        <f>IF($R52="","",IF($R52="T",$K$3,IF($R52="B",COUNTIFS($M$4:$M$2003,INDEX($M$4:$M$2003,$S52),$N$4:$N$2003,1),1)))</f>
        <v/>
      </c>
      <c r="L52">
        <f>IF($K$1="","",IFERROR(INDEX(Lines!$A:$AA,ROW()-2,$K$1),""))</f>
        <v/>
      </c>
      <c r="M52">
        <f>IF($K$2="","",IFERROR(INDEX(Lines!$A:$AA,ROW()-2,$K$2),""))</f>
        <v/>
      </c>
      <c r="N52">
        <f>IF(AND(L52&lt;&gt;"",LEFT(L52,1)="N",M52&lt;&gt;"PICKING",M52&lt;&gt;""),1,0)</f>
        <v/>
      </c>
      <c r="O52">
        <f>IF(N52=1,M52&amp;"|"&amp;L52,REPT("z",40))</f>
        <v/>
      </c>
      <c r="P52">
        <f>IF(N52=1,COUNTIF($O$4:$O$2003,"&lt;"&amp;O52)+1,"")</f>
        <v/>
      </c>
      <c r="Q52">
        <f>IF(OR($R51="",$R51="T"),"",IF($R51="B",$Q51,IF($Q51+1&gt;$K$3,"",$Q51+1)))</f>
        <v/>
      </c>
      <c r="R52">
        <f>IF(OR($R51="",$R51="T"),"",IF($R51="B","S",IF($Q51+1&gt;$K$3,"T",IF(INDEX($M$4:$M$2003,MATCH($Q51+1,$P$4:$P$2003,0))&lt;&gt;INDEX($M$4:$M$2003,MATCH($Q51,$P$4:$P$2003,0)),"B","S"))))</f>
        <v/>
      </c>
      <c r="S52">
        <f>IF(Q52="","",IFERROR(MATCH(Q52,$P$4:$P$2003,0),""))</f>
        <v/>
      </c>
    </row>
    <row r="53">
      <c r="A53" s="4">
        <f>IF($R53="","",IF($R53="T","Gesamtergebnis",IF($R53="B",INDEX($M$4:$M$2003,$S53),INDEX($L$4:$L$2003,$S53))))</f>
        <v/>
      </c>
      <c r="B53" s="4">
        <f>IF($R53="","",IF($R53="T",$K$3,IF($R53="B",COUNTIFS($M$4:$M$2003,INDEX($M$4:$M$2003,$S53),$N$4:$N$2003,1),1)))</f>
        <v/>
      </c>
      <c r="L53">
        <f>IF($K$1="","",IFERROR(INDEX(Lines!$A:$AA,ROW()-2,$K$1),""))</f>
        <v/>
      </c>
      <c r="M53">
        <f>IF($K$2="","",IFERROR(INDEX(Lines!$A:$AA,ROW()-2,$K$2),""))</f>
        <v/>
      </c>
      <c r="N53">
        <f>IF(AND(L53&lt;&gt;"",LEFT(L53,1)="N",M53&lt;&gt;"PICKING",M53&lt;&gt;""),1,0)</f>
        <v/>
      </c>
      <c r="O53">
        <f>IF(N53=1,M53&amp;"|"&amp;L53,REPT("z",40))</f>
        <v/>
      </c>
      <c r="P53">
        <f>IF(N53=1,COUNTIF($O$4:$O$2003,"&lt;"&amp;O53)+1,"")</f>
        <v/>
      </c>
      <c r="Q53">
        <f>IF(OR($R52="",$R52="T"),"",IF($R52="B",$Q52,IF($Q52+1&gt;$K$3,"",$Q52+1)))</f>
        <v/>
      </c>
      <c r="R53">
        <f>IF(OR($R52="",$R52="T"),"",IF($R52="B","S",IF($Q52+1&gt;$K$3,"T",IF(INDEX($M$4:$M$2003,MATCH($Q52+1,$P$4:$P$2003,0))&lt;&gt;INDEX($M$4:$M$2003,MATCH($Q52,$P$4:$P$2003,0)),"B","S"))))</f>
        <v/>
      </c>
      <c r="S53">
        <f>IF(Q53="","",IFERROR(MATCH(Q53,$P$4:$P$2003,0),""))</f>
        <v/>
      </c>
    </row>
    <row r="54">
      <c r="A54" s="4">
        <f>IF($R54="","",IF($R54="T","Gesamtergebnis",IF($R54="B",INDEX($M$4:$M$2003,$S54),INDEX($L$4:$L$2003,$S54))))</f>
        <v/>
      </c>
      <c r="B54" s="4">
        <f>IF($R54="","",IF($R54="T",$K$3,IF($R54="B",COUNTIFS($M$4:$M$2003,INDEX($M$4:$M$2003,$S54),$N$4:$N$2003,1),1)))</f>
        <v/>
      </c>
      <c r="L54">
        <f>IF($K$1="","",IFERROR(INDEX(Lines!$A:$AA,ROW()-2,$K$1),""))</f>
        <v/>
      </c>
      <c r="M54">
        <f>IF($K$2="","",IFERROR(INDEX(Lines!$A:$AA,ROW()-2,$K$2),""))</f>
        <v/>
      </c>
      <c r="N54">
        <f>IF(AND(L54&lt;&gt;"",LEFT(L54,1)="N",M54&lt;&gt;"PICKING",M54&lt;&gt;""),1,0)</f>
        <v/>
      </c>
      <c r="O54">
        <f>IF(N54=1,M54&amp;"|"&amp;L54,REPT("z",40))</f>
        <v/>
      </c>
      <c r="P54">
        <f>IF(N54=1,COUNTIF($O$4:$O$2003,"&lt;"&amp;O54)+1,"")</f>
        <v/>
      </c>
      <c r="Q54">
        <f>IF(OR($R53="",$R53="T"),"",IF($R53="B",$Q53,IF($Q53+1&gt;$K$3,"",$Q53+1)))</f>
        <v/>
      </c>
      <c r="R54">
        <f>IF(OR($R53="",$R53="T"),"",IF($R53="B","S",IF($Q53+1&gt;$K$3,"T",IF(INDEX($M$4:$M$2003,MATCH($Q53+1,$P$4:$P$2003,0))&lt;&gt;INDEX($M$4:$M$2003,MATCH($Q53,$P$4:$P$2003,0)),"B","S"))))</f>
        <v/>
      </c>
      <c r="S54">
        <f>IF(Q54="","",IFERROR(MATCH(Q54,$P$4:$P$2003,0),""))</f>
        <v/>
      </c>
    </row>
    <row r="55">
      <c r="A55" s="4">
        <f>IF($R55="","",IF($R55="T","Gesamtergebnis",IF($R55="B",INDEX($M$4:$M$2003,$S55),INDEX($L$4:$L$2003,$S55))))</f>
        <v/>
      </c>
      <c r="B55" s="4">
        <f>IF($R55="","",IF($R55="T",$K$3,IF($R55="B",COUNTIFS($M$4:$M$2003,INDEX($M$4:$M$2003,$S55),$N$4:$N$2003,1),1)))</f>
        <v/>
      </c>
      <c r="L55">
        <f>IF($K$1="","",IFERROR(INDEX(Lines!$A:$AA,ROW()-2,$K$1),""))</f>
        <v/>
      </c>
      <c r="M55">
        <f>IF($K$2="","",IFERROR(INDEX(Lines!$A:$AA,ROW()-2,$K$2),""))</f>
        <v/>
      </c>
      <c r="N55">
        <f>IF(AND(L55&lt;&gt;"",LEFT(L55,1)="N",M55&lt;&gt;"PICKING",M55&lt;&gt;""),1,0)</f>
        <v/>
      </c>
      <c r="O55">
        <f>IF(N55=1,M55&amp;"|"&amp;L55,REPT("z",40))</f>
        <v/>
      </c>
      <c r="P55">
        <f>IF(N55=1,COUNTIF($O$4:$O$2003,"&lt;"&amp;O55)+1,"")</f>
        <v/>
      </c>
      <c r="Q55">
        <f>IF(OR($R54="",$R54="T"),"",IF($R54="B",$Q54,IF($Q54+1&gt;$K$3,"",$Q54+1)))</f>
        <v/>
      </c>
      <c r="R55">
        <f>IF(OR($R54="",$R54="T"),"",IF($R54="B","S",IF($Q54+1&gt;$K$3,"T",IF(INDEX($M$4:$M$2003,MATCH($Q54+1,$P$4:$P$2003,0))&lt;&gt;INDEX($M$4:$M$2003,MATCH($Q54,$P$4:$P$2003,0)),"B","S"))))</f>
        <v/>
      </c>
      <c r="S55">
        <f>IF(Q55="","",IFERROR(MATCH(Q55,$P$4:$P$2003,0),""))</f>
        <v/>
      </c>
    </row>
    <row r="56">
      <c r="A56" s="4">
        <f>IF($R56="","",IF($R56="T","Gesamtergebnis",IF($R56="B",INDEX($M$4:$M$2003,$S56),INDEX($L$4:$L$2003,$S56))))</f>
        <v/>
      </c>
      <c r="B56" s="4">
        <f>IF($R56="","",IF($R56="T",$K$3,IF($R56="B",COUNTIFS($M$4:$M$2003,INDEX($M$4:$M$2003,$S56),$N$4:$N$2003,1),1)))</f>
        <v/>
      </c>
      <c r="L56">
        <f>IF($K$1="","",IFERROR(INDEX(Lines!$A:$AA,ROW()-2,$K$1),""))</f>
        <v/>
      </c>
      <c r="M56">
        <f>IF($K$2="","",IFERROR(INDEX(Lines!$A:$AA,ROW()-2,$K$2),""))</f>
        <v/>
      </c>
      <c r="N56">
        <f>IF(AND(L56&lt;&gt;"",LEFT(L56,1)="N",M56&lt;&gt;"PICKING",M56&lt;&gt;""),1,0)</f>
        <v/>
      </c>
      <c r="O56">
        <f>IF(N56=1,M56&amp;"|"&amp;L56,REPT("z",40))</f>
        <v/>
      </c>
      <c r="P56">
        <f>IF(N56=1,COUNTIF($O$4:$O$2003,"&lt;"&amp;O56)+1,"")</f>
        <v/>
      </c>
      <c r="Q56">
        <f>IF(OR($R55="",$R55="T"),"",IF($R55="B",$Q55,IF($Q55+1&gt;$K$3,"",$Q55+1)))</f>
        <v/>
      </c>
      <c r="R56">
        <f>IF(OR($R55="",$R55="T"),"",IF($R55="B","S",IF($Q55+1&gt;$K$3,"T",IF(INDEX($M$4:$M$2003,MATCH($Q55+1,$P$4:$P$2003,0))&lt;&gt;INDEX($M$4:$M$2003,MATCH($Q55,$P$4:$P$2003,0)),"B","S"))))</f>
        <v/>
      </c>
      <c r="S56">
        <f>IF(Q56="","",IFERROR(MATCH(Q56,$P$4:$P$2003,0),""))</f>
        <v/>
      </c>
    </row>
    <row r="57">
      <c r="A57" s="4">
        <f>IF($R57="","",IF($R57="T","Gesamtergebnis",IF($R57="B",INDEX($M$4:$M$2003,$S57),INDEX($L$4:$L$2003,$S57))))</f>
        <v/>
      </c>
      <c r="B57" s="4">
        <f>IF($R57="","",IF($R57="T",$K$3,IF($R57="B",COUNTIFS($M$4:$M$2003,INDEX($M$4:$M$2003,$S57),$N$4:$N$2003,1),1)))</f>
        <v/>
      </c>
      <c r="L57">
        <f>IF($K$1="","",IFERROR(INDEX(Lines!$A:$AA,ROW()-2,$K$1),""))</f>
        <v/>
      </c>
      <c r="M57">
        <f>IF($K$2="","",IFERROR(INDEX(Lines!$A:$AA,ROW()-2,$K$2),""))</f>
        <v/>
      </c>
      <c r="N57">
        <f>IF(AND(L57&lt;&gt;"",LEFT(L57,1)="N",M57&lt;&gt;"PICKING",M57&lt;&gt;""),1,0)</f>
        <v/>
      </c>
      <c r="O57">
        <f>IF(N57=1,M57&amp;"|"&amp;L57,REPT("z",40))</f>
        <v/>
      </c>
      <c r="P57">
        <f>IF(N57=1,COUNTIF($O$4:$O$2003,"&lt;"&amp;O57)+1,"")</f>
        <v/>
      </c>
      <c r="Q57">
        <f>IF(OR($R56="",$R56="T"),"",IF($R56="B",$Q56,IF($Q56+1&gt;$K$3,"",$Q56+1)))</f>
        <v/>
      </c>
      <c r="R57">
        <f>IF(OR($R56="",$R56="T"),"",IF($R56="B","S",IF($Q56+1&gt;$K$3,"T",IF(INDEX($M$4:$M$2003,MATCH($Q56+1,$P$4:$P$2003,0))&lt;&gt;INDEX($M$4:$M$2003,MATCH($Q56,$P$4:$P$2003,0)),"B","S"))))</f>
        <v/>
      </c>
      <c r="S57">
        <f>IF(Q57="","",IFERROR(MATCH(Q57,$P$4:$P$2003,0),""))</f>
        <v/>
      </c>
    </row>
    <row r="58">
      <c r="A58" s="4">
        <f>IF($R58="","",IF($R58="T","Gesamtergebnis",IF($R58="B",INDEX($M$4:$M$2003,$S58),INDEX($L$4:$L$2003,$S58))))</f>
        <v/>
      </c>
      <c r="B58" s="4">
        <f>IF($R58="","",IF($R58="T",$K$3,IF($R58="B",COUNTIFS($M$4:$M$2003,INDEX($M$4:$M$2003,$S58),$N$4:$N$2003,1),1)))</f>
        <v/>
      </c>
      <c r="L58">
        <f>IF($K$1="","",IFERROR(INDEX(Lines!$A:$AA,ROW()-2,$K$1),""))</f>
        <v/>
      </c>
      <c r="M58">
        <f>IF($K$2="","",IFERROR(INDEX(Lines!$A:$AA,ROW()-2,$K$2),""))</f>
        <v/>
      </c>
      <c r="N58">
        <f>IF(AND(L58&lt;&gt;"",LEFT(L58,1)="N",M58&lt;&gt;"PICKING",M58&lt;&gt;""),1,0)</f>
        <v/>
      </c>
      <c r="O58">
        <f>IF(N58=1,M58&amp;"|"&amp;L58,REPT("z",40))</f>
        <v/>
      </c>
      <c r="P58">
        <f>IF(N58=1,COUNTIF($O$4:$O$2003,"&lt;"&amp;O58)+1,"")</f>
        <v/>
      </c>
      <c r="Q58">
        <f>IF(OR($R57="",$R57="T"),"",IF($R57="B",$Q57,IF($Q57+1&gt;$K$3,"",$Q57+1)))</f>
        <v/>
      </c>
      <c r="R58">
        <f>IF(OR($R57="",$R57="T"),"",IF($R57="B","S",IF($Q57+1&gt;$K$3,"T",IF(INDEX($M$4:$M$2003,MATCH($Q57+1,$P$4:$P$2003,0))&lt;&gt;INDEX($M$4:$M$2003,MATCH($Q57,$P$4:$P$2003,0)),"B","S"))))</f>
        <v/>
      </c>
      <c r="S58">
        <f>IF(Q58="","",IFERROR(MATCH(Q58,$P$4:$P$2003,0),""))</f>
        <v/>
      </c>
    </row>
    <row r="59">
      <c r="A59" s="4">
        <f>IF($R59="","",IF($R59="T","Gesamtergebnis",IF($R59="B",INDEX($M$4:$M$2003,$S59),INDEX($L$4:$L$2003,$S59))))</f>
        <v/>
      </c>
      <c r="B59" s="4">
        <f>IF($R59="","",IF($R59="T",$K$3,IF($R59="B",COUNTIFS($M$4:$M$2003,INDEX($M$4:$M$2003,$S59),$N$4:$N$2003,1),1)))</f>
        <v/>
      </c>
      <c r="L59">
        <f>IF($K$1="","",IFERROR(INDEX(Lines!$A:$AA,ROW()-2,$K$1),""))</f>
        <v/>
      </c>
      <c r="M59">
        <f>IF($K$2="","",IFERROR(INDEX(Lines!$A:$AA,ROW()-2,$K$2),""))</f>
        <v/>
      </c>
      <c r="N59">
        <f>IF(AND(L59&lt;&gt;"",LEFT(L59,1)="N",M59&lt;&gt;"PICKING",M59&lt;&gt;""),1,0)</f>
        <v/>
      </c>
      <c r="O59">
        <f>IF(N59=1,M59&amp;"|"&amp;L59,REPT("z",40))</f>
        <v/>
      </c>
      <c r="P59">
        <f>IF(N59=1,COUNTIF($O$4:$O$2003,"&lt;"&amp;O59)+1,"")</f>
        <v/>
      </c>
      <c r="Q59">
        <f>IF(OR($R58="",$R58="T"),"",IF($R58="B",$Q58,IF($Q58+1&gt;$K$3,"",$Q58+1)))</f>
        <v/>
      </c>
      <c r="R59">
        <f>IF(OR($R58="",$R58="T"),"",IF($R58="B","S",IF($Q58+1&gt;$K$3,"T",IF(INDEX($M$4:$M$2003,MATCH($Q58+1,$P$4:$P$2003,0))&lt;&gt;INDEX($M$4:$M$2003,MATCH($Q58,$P$4:$P$2003,0)),"B","S"))))</f>
        <v/>
      </c>
      <c r="S59">
        <f>IF(Q59="","",IFERROR(MATCH(Q59,$P$4:$P$2003,0),""))</f>
        <v/>
      </c>
    </row>
    <row r="60">
      <c r="A60" s="4">
        <f>IF($R60="","",IF($R60="T","Gesamtergebnis",IF($R60="B",INDEX($M$4:$M$2003,$S60),INDEX($L$4:$L$2003,$S60))))</f>
        <v/>
      </c>
      <c r="B60" s="4">
        <f>IF($R60="","",IF($R60="T",$K$3,IF($R60="B",COUNTIFS($M$4:$M$2003,INDEX($M$4:$M$2003,$S60),$N$4:$N$2003,1),1)))</f>
        <v/>
      </c>
      <c r="L60">
        <f>IF($K$1="","",IFERROR(INDEX(Lines!$A:$AA,ROW()-2,$K$1),""))</f>
        <v/>
      </c>
      <c r="M60">
        <f>IF($K$2="","",IFERROR(INDEX(Lines!$A:$AA,ROW()-2,$K$2),""))</f>
        <v/>
      </c>
      <c r="N60">
        <f>IF(AND(L60&lt;&gt;"",LEFT(L60,1)="N",M60&lt;&gt;"PICKING",M60&lt;&gt;""),1,0)</f>
        <v/>
      </c>
      <c r="O60">
        <f>IF(N60=1,M60&amp;"|"&amp;L60,REPT("z",40))</f>
        <v/>
      </c>
      <c r="P60">
        <f>IF(N60=1,COUNTIF($O$4:$O$2003,"&lt;"&amp;O60)+1,"")</f>
        <v/>
      </c>
      <c r="Q60">
        <f>IF(OR($R59="",$R59="T"),"",IF($R59="B",$Q59,IF($Q59+1&gt;$K$3,"",$Q59+1)))</f>
        <v/>
      </c>
      <c r="R60">
        <f>IF(OR($R59="",$R59="T"),"",IF($R59="B","S",IF($Q59+1&gt;$K$3,"T",IF(INDEX($M$4:$M$2003,MATCH($Q59+1,$P$4:$P$2003,0))&lt;&gt;INDEX($M$4:$M$2003,MATCH($Q59,$P$4:$P$2003,0)),"B","S"))))</f>
        <v/>
      </c>
      <c r="S60">
        <f>IF(Q60="","",IFERROR(MATCH(Q60,$P$4:$P$2003,0),""))</f>
        <v/>
      </c>
    </row>
    <row r="61">
      <c r="A61" s="4">
        <f>IF($R61="","",IF($R61="T","Gesamtergebnis",IF($R61="B",INDEX($M$4:$M$2003,$S61),INDEX($L$4:$L$2003,$S61))))</f>
        <v/>
      </c>
      <c r="B61" s="4">
        <f>IF($R61="","",IF($R61="T",$K$3,IF($R61="B",COUNTIFS($M$4:$M$2003,INDEX($M$4:$M$2003,$S61),$N$4:$N$2003,1),1)))</f>
        <v/>
      </c>
      <c r="L61">
        <f>IF($K$1="","",IFERROR(INDEX(Lines!$A:$AA,ROW()-2,$K$1),""))</f>
        <v/>
      </c>
      <c r="M61">
        <f>IF($K$2="","",IFERROR(INDEX(Lines!$A:$AA,ROW()-2,$K$2),""))</f>
        <v/>
      </c>
      <c r="N61">
        <f>IF(AND(L61&lt;&gt;"",LEFT(L61,1)="N",M61&lt;&gt;"PICKING",M61&lt;&gt;""),1,0)</f>
        <v/>
      </c>
      <c r="O61">
        <f>IF(N61=1,M61&amp;"|"&amp;L61,REPT("z",40))</f>
        <v/>
      </c>
      <c r="P61">
        <f>IF(N61=1,COUNTIF($O$4:$O$2003,"&lt;"&amp;O61)+1,"")</f>
        <v/>
      </c>
      <c r="Q61">
        <f>IF(OR($R60="",$R60="T"),"",IF($R60="B",$Q60,IF($Q60+1&gt;$K$3,"",$Q60+1)))</f>
        <v/>
      </c>
      <c r="R61">
        <f>IF(OR($R60="",$R60="T"),"",IF($R60="B","S",IF($Q60+1&gt;$K$3,"T",IF(INDEX($M$4:$M$2003,MATCH($Q60+1,$P$4:$P$2003,0))&lt;&gt;INDEX($M$4:$M$2003,MATCH($Q60,$P$4:$P$2003,0)),"B","S"))))</f>
        <v/>
      </c>
      <c r="S61">
        <f>IF(Q61="","",IFERROR(MATCH(Q61,$P$4:$P$2003,0),""))</f>
        <v/>
      </c>
    </row>
    <row r="62">
      <c r="A62" s="4">
        <f>IF($R62="","",IF($R62="T","Gesamtergebnis",IF($R62="B",INDEX($M$4:$M$2003,$S62),INDEX($L$4:$L$2003,$S62))))</f>
        <v/>
      </c>
      <c r="B62" s="4">
        <f>IF($R62="","",IF($R62="T",$K$3,IF($R62="B",COUNTIFS($M$4:$M$2003,INDEX($M$4:$M$2003,$S62),$N$4:$N$2003,1),1)))</f>
        <v/>
      </c>
      <c r="L62">
        <f>IF($K$1="","",IFERROR(INDEX(Lines!$A:$AA,ROW()-2,$K$1),""))</f>
        <v/>
      </c>
      <c r="M62">
        <f>IF($K$2="","",IFERROR(INDEX(Lines!$A:$AA,ROW()-2,$K$2),""))</f>
        <v/>
      </c>
      <c r="N62">
        <f>IF(AND(L62&lt;&gt;"",LEFT(L62,1)="N",M62&lt;&gt;"PICKING",M62&lt;&gt;""),1,0)</f>
        <v/>
      </c>
      <c r="O62">
        <f>IF(N62=1,M62&amp;"|"&amp;L62,REPT("z",40))</f>
        <v/>
      </c>
      <c r="P62">
        <f>IF(N62=1,COUNTIF($O$4:$O$2003,"&lt;"&amp;O62)+1,"")</f>
        <v/>
      </c>
      <c r="Q62">
        <f>IF(OR($R61="",$R61="T"),"",IF($R61="B",$Q61,IF($Q61+1&gt;$K$3,"",$Q61+1)))</f>
        <v/>
      </c>
      <c r="R62">
        <f>IF(OR($R61="",$R61="T"),"",IF($R61="B","S",IF($Q61+1&gt;$K$3,"T",IF(INDEX($M$4:$M$2003,MATCH($Q61+1,$P$4:$P$2003,0))&lt;&gt;INDEX($M$4:$M$2003,MATCH($Q61,$P$4:$P$2003,0)),"B","S"))))</f>
        <v/>
      </c>
      <c r="S62">
        <f>IF(Q62="","",IFERROR(MATCH(Q62,$P$4:$P$2003,0),""))</f>
        <v/>
      </c>
    </row>
    <row r="63">
      <c r="A63" s="4">
        <f>IF($R63="","",IF($R63="T","Gesamtergebnis",IF($R63="B",INDEX($M$4:$M$2003,$S63),INDEX($L$4:$L$2003,$S63))))</f>
        <v/>
      </c>
      <c r="B63" s="4">
        <f>IF($R63="","",IF($R63="T",$K$3,IF($R63="B",COUNTIFS($M$4:$M$2003,INDEX($M$4:$M$2003,$S63),$N$4:$N$2003,1),1)))</f>
        <v/>
      </c>
      <c r="L63">
        <f>IF($K$1="","",IFERROR(INDEX(Lines!$A:$AA,ROW()-2,$K$1),""))</f>
        <v/>
      </c>
      <c r="M63">
        <f>IF($K$2="","",IFERROR(INDEX(Lines!$A:$AA,ROW()-2,$K$2),""))</f>
        <v/>
      </c>
      <c r="N63">
        <f>IF(AND(L63&lt;&gt;"",LEFT(L63,1)="N",M63&lt;&gt;"PICKING",M63&lt;&gt;""),1,0)</f>
        <v/>
      </c>
      <c r="O63">
        <f>IF(N63=1,M63&amp;"|"&amp;L63,REPT("z",40))</f>
        <v/>
      </c>
      <c r="P63">
        <f>IF(N63=1,COUNTIF($O$4:$O$2003,"&lt;"&amp;O63)+1,"")</f>
        <v/>
      </c>
      <c r="Q63">
        <f>IF(OR($R62="",$R62="T"),"",IF($R62="B",$Q62,IF($Q62+1&gt;$K$3,"",$Q62+1)))</f>
        <v/>
      </c>
      <c r="R63">
        <f>IF(OR($R62="",$R62="T"),"",IF($R62="B","S",IF($Q62+1&gt;$K$3,"T",IF(INDEX($M$4:$M$2003,MATCH($Q62+1,$P$4:$P$2003,0))&lt;&gt;INDEX($M$4:$M$2003,MATCH($Q62,$P$4:$P$2003,0)),"B","S"))))</f>
        <v/>
      </c>
      <c r="S63">
        <f>IF(Q63="","",IFERROR(MATCH(Q63,$P$4:$P$2003,0),""))</f>
        <v/>
      </c>
    </row>
    <row r="64">
      <c r="A64" s="4">
        <f>IF($R64="","",IF($R64="T","Gesamtergebnis",IF($R64="B",INDEX($M$4:$M$2003,$S64),INDEX($L$4:$L$2003,$S64))))</f>
        <v/>
      </c>
      <c r="B64" s="4">
        <f>IF($R64="","",IF($R64="T",$K$3,IF($R64="B",COUNTIFS($M$4:$M$2003,INDEX($M$4:$M$2003,$S64),$N$4:$N$2003,1),1)))</f>
        <v/>
      </c>
      <c r="L64">
        <f>IF($K$1="","",IFERROR(INDEX(Lines!$A:$AA,ROW()-2,$K$1),""))</f>
        <v/>
      </c>
      <c r="M64">
        <f>IF($K$2="","",IFERROR(INDEX(Lines!$A:$AA,ROW()-2,$K$2),""))</f>
        <v/>
      </c>
      <c r="N64">
        <f>IF(AND(L64&lt;&gt;"",LEFT(L64,1)="N",M64&lt;&gt;"PICKING",M64&lt;&gt;""),1,0)</f>
        <v/>
      </c>
      <c r="O64">
        <f>IF(N64=1,M64&amp;"|"&amp;L64,REPT("z",40))</f>
        <v/>
      </c>
      <c r="P64">
        <f>IF(N64=1,COUNTIF($O$4:$O$2003,"&lt;"&amp;O64)+1,"")</f>
        <v/>
      </c>
      <c r="Q64">
        <f>IF(OR($R63="",$R63="T"),"",IF($R63="B",$Q63,IF($Q63+1&gt;$K$3,"",$Q63+1)))</f>
        <v/>
      </c>
      <c r="R64">
        <f>IF(OR($R63="",$R63="T"),"",IF($R63="B","S",IF($Q63+1&gt;$K$3,"T",IF(INDEX($M$4:$M$2003,MATCH($Q63+1,$P$4:$P$2003,0))&lt;&gt;INDEX($M$4:$M$2003,MATCH($Q63,$P$4:$P$2003,0)),"B","S"))))</f>
        <v/>
      </c>
      <c r="S64">
        <f>IF(Q64="","",IFERROR(MATCH(Q64,$P$4:$P$2003,0),""))</f>
        <v/>
      </c>
    </row>
    <row r="65">
      <c r="A65" s="4">
        <f>IF($R65="","",IF($R65="T","Gesamtergebnis",IF($R65="B",INDEX($M$4:$M$2003,$S65),INDEX($L$4:$L$2003,$S65))))</f>
        <v/>
      </c>
      <c r="B65" s="4">
        <f>IF($R65="","",IF($R65="T",$K$3,IF($R65="B",COUNTIFS($M$4:$M$2003,INDEX($M$4:$M$2003,$S65),$N$4:$N$2003,1),1)))</f>
        <v/>
      </c>
      <c r="L65">
        <f>IF($K$1="","",IFERROR(INDEX(Lines!$A:$AA,ROW()-2,$K$1),""))</f>
        <v/>
      </c>
      <c r="M65">
        <f>IF($K$2="","",IFERROR(INDEX(Lines!$A:$AA,ROW()-2,$K$2),""))</f>
        <v/>
      </c>
      <c r="N65">
        <f>IF(AND(L65&lt;&gt;"",LEFT(L65,1)="N",M65&lt;&gt;"PICKING",M65&lt;&gt;""),1,0)</f>
        <v/>
      </c>
      <c r="O65">
        <f>IF(N65=1,M65&amp;"|"&amp;L65,REPT("z",40))</f>
        <v/>
      </c>
      <c r="P65">
        <f>IF(N65=1,COUNTIF($O$4:$O$2003,"&lt;"&amp;O65)+1,"")</f>
        <v/>
      </c>
      <c r="Q65">
        <f>IF(OR($R64="",$R64="T"),"",IF($R64="B",$Q64,IF($Q64+1&gt;$K$3,"",$Q64+1)))</f>
        <v/>
      </c>
      <c r="R65">
        <f>IF(OR($R64="",$R64="T"),"",IF($R64="B","S",IF($Q64+1&gt;$K$3,"T",IF(INDEX($M$4:$M$2003,MATCH($Q64+1,$P$4:$P$2003,0))&lt;&gt;INDEX($M$4:$M$2003,MATCH($Q64,$P$4:$P$2003,0)),"B","S"))))</f>
        <v/>
      </c>
      <c r="S65">
        <f>IF(Q65="","",IFERROR(MATCH(Q65,$P$4:$P$2003,0),""))</f>
        <v/>
      </c>
    </row>
    <row r="66">
      <c r="A66" s="4">
        <f>IF($R66="","",IF($R66="T","Gesamtergebnis",IF($R66="B",INDEX($M$4:$M$2003,$S66),INDEX($L$4:$L$2003,$S66))))</f>
        <v/>
      </c>
      <c r="B66" s="4">
        <f>IF($R66="","",IF($R66="T",$K$3,IF($R66="B",COUNTIFS($M$4:$M$2003,INDEX($M$4:$M$2003,$S66),$N$4:$N$2003,1),1)))</f>
        <v/>
      </c>
      <c r="L66">
        <f>IF($K$1="","",IFERROR(INDEX(Lines!$A:$AA,ROW()-2,$K$1),""))</f>
        <v/>
      </c>
      <c r="M66">
        <f>IF($K$2="","",IFERROR(INDEX(Lines!$A:$AA,ROW()-2,$K$2),""))</f>
        <v/>
      </c>
      <c r="N66">
        <f>IF(AND(L66&lt;&gt;"",LEFT(L66,1)="N",M66&lt;&gt;"PICKING",M66&lt;&gt;""),1,0)</f>
        <v/>
      </c>
      <c r="O66">
        <f>IF(N66=1,M66&amp;"|"&amp;L66,REPT("z",40))</f>
        <v/>
      </c>
      <c r="P66">
        <f>IF(N66=1,COUNTIF($O$4:$O$2003,"&lt;"&amp;O66)+1,"")</f>
        <v/>
      </c>
      <c r="Q66">
        <f>IF(OR($R65="",$R65="T"),"",IF($R65="B",$Q65,IF($Q65+1&gt;$K$3,"",$Q65+1)))</f>
        <v/>
      </c>
      <c r="R66">
        <f>IF(OR($R65="",$R65="T"),"",IF($R65="B","S",IF($Q65+1&gt;$K$3,"T",IF(INDEX($M$4:$M$2003,MATCH($Q65+1,$P$4:$P$2003,0))&lt;&gt;INDEX($M$4:$M$2003,MATCH($Q65,$P$4:$P$2003,0)),"B","S"))))</f>
        <v/>
      </c>
      <c r="S66">
        <f>IF(Q66="","",IFERROR(MATCH(Q66,$P$4:$P$2003,0),""))</f>
        <v/>
      </c>
    </row>
    <row r="67">
      <c r="A67" s="4">
        <f>IF($R67="","",IF($R67="T","Gesamtergebnis",IF($R67="B",INDEX($M$4:$M$2003,$S67),INDEX($L$4:$L$2003,$S67))))</f>
        <v/>
      </c>
      <c r="B67" s="4">
        <f>IF($R67="","",IF($R67="T",$K$3,IF($R67="B",COUNTIFS($M$4:$M$2003,INDEX($M$4:$M$2003,$S67),$N$4:$N$2003,1),1)))</f>
        <v/>
      </c>
      <c r="L67">
        <f>IF($K$1="","",IFERROR(INDEX(Lines!$A:$AA,ROW()-2,$K$1),""))</f>
        <v/>
      </c>
      <c r="M67">
        <f>IF($K$2="","",IFERROR(INDEX(Lines!$A:$AA,ROW()-2,$K$2),""))</f>
        <v/>
      </c>
      <c r="N67">
        <f>IF(AND(L67&lt;&gt;"",LEFT(L67,1)="N",M67&lt;&gt;"PICKING",M67&lt;&gt;""),1,0)</f>
        <v/>
      </c>
      <c r="O67">
        <f>IF(N67=1,M67&amp;"|"&amp;L67,REPT("z",40))</f>
        <v/>
      </c>
      <c r="P67">
        <f>IF(N67=1,COUNTIF($O$4:$O$2003,"&lt;"&amp;O67)+1,"")</f>
        <v/>
      </c>
      <c r="Q67">
        <f>IF(OR($R66="",$R66="T"),"",IF($R66="B",$Q66,IF($Q66+1&gt;$K$3,"",$Q66+1)))</f>
        <v/>
      </c>
      <c r="R67">
        <f>IF(OR($R66="",$R66="T"),"",IF($R66="B","S",IF($Q66+1&gt;$K$3,"T",IF(INDEX($M$4:$M$2003,MATCH($Q66+1,$P$4:$P$2003,0))&lt;&gt;INDEX($M$4:$M$2003,MATCH($Q66,$P$4:$P$2003,0)),"B","S"))))</f>
        <v/>
      </c>
      <c r="S67">
        <f>IF(Q67="","",IFERROR(MATCH(Q67,$P$4:$P$2003,0),""))</f>
        <v/>
      </c>
    </row>
    <row r="68">
      <c r="A68" s="4">
        <f>IF($R68="","",IF($R68="T","Gesamtergebnis",IF($R68="B",INDEX($M$4:$M$2003,$S68),INDEX($L$4:$L$2003,$S68))))</f>
        <v/>
      </c>
      <c r="B68" s="4">
        <f>IF($R68="","",IF($R68="T",$K$3,IF($R68="B",COUNTIFS($M$4:$M$2003,INDEX($M$4:$M$2003,$S68),$N$4:$N$2003,1),1)))</f>
        <v/>
      </c>
      <c r="L68">
        <f>IF($K$1="","",IFERROR(INDEX(Lines!$A:$AA,ROW()-2,$K$1),""))</f>
        <v/>
      </c>
      <c r="M68">
        <f>IF($K$2="","",IFERROR(INDEX(Lines!$A:$AA,ROW()-2,$K$2),""))</f>
        <v/>
      </c>
      <c r="N68">
        <f>IF(AND(L68&lt;&gt;"",LEFT(L68,1)="N",M68&lt;&gt;"PICKING",M68&lt;&gt;""),1,0)</f>
        <v/>
      </c>
      <c r="O68">
        <f>IF(N68=1,M68&amp;"|"&amp;L68,REPT("z",40))</f>
        <v/>
      </c>
      <c r="P68">
        <f>IF(N68=1,COUNTIF($O$4:$O$2003,"&lt;"&amp;O68)+1,"")</f>
        <v/>
      </c>
      <c r="Q68">
        <f>IF(OR($R67="",$R67="T"),"",IF($R67="B",$Q67,IF($Q67+1&gt;$K$3,"",$Q67+1)))</f>
        <v/>
      </c>
      <c r="R68">
        <f>IF(OR($R67="",$R67="T"),"",IF($R67="B","S",IF($Q67+1&gt;$K$3,"T",IF(INDEX($M$4:$M$2003,MATCH($Q67+1,$P$4:$P$2003,0))&lt;&gt;INDEX($M$4:$M$2003,MATCH($Q67,$P$4:$P$2003,0)),"B","S"))))</f>
        <v/>
      </c>
      <c r="S68">
        <f>IF(Q68="","",IFERROR(MATCH(Q68,$P$4:$P$2003,0),""))</f>
        <v/>
      </c>
    </row>
    <row r="69">
      <c r="A69" s="4">
        <f>IF($R69="","",IF($R69="T","Gesamtergebnis",IF($R69="B",INDEX($M$4:$M$2003,$S69),INDEX($L$4:$L$2003,$S69))))</f>
        <v/>
      </c>
      <c r="B69" s="4">
        <f>IF($R69="","",IF($R69="T",$K$3,IF($R69="B",COUNTIFS($M$4:$M$2003,INDEX($M$4:$M$2003,$S69),$N$4:$N$2003,1),1)))</f>
        <v/>
      </c>
      <c r="L69">
        <f>IF($K$1="","",IFERROR(INDEX(Lines!$A:$AA,ROW()-2,$K$1),""))</f>
        <v/>
      </c>
      <c r="M69">
        <f>IF($K$2="","",IFERROR(INDEX(Lines!$A:$AA,ROW()-2,$K$2),""))</f>
        <v/>
      </c>
      <c r="N69">
        <f>IF(AND(L69&lt;&gt;"",LEFT(L69,1)="N",M69&lt;&gt;"PICKING",M69&lt;&gt;""),1,0)</f>
        <v/>
      </c>
      <c r="O69">
        <f>IF(N69=1,M69&amp;"|"&amp;L69,REPT("z",40))</f>
        <v/>
      </c>
      <c r="P69">
        <f>IF(N69=1,COUNTIF($O$4:$O$2003,"&lt;"&amp;O69)+1,"")</f>
        <v/>
      </c>
      <c r="Q69">
        <f>IF(OR($R68="",$R68="T"),"",IF($R68="B",$Q68,IF($Q68+1&gt;$K$3,"",$Q68+1)))</f>
        <v/>
      </c>
      <c r="R69">
        <f>IF(OR($R68="",$R68="T"),"",IF($R68="B","S",IF($Q68+1&gt;$K$3,"T",IF(INDEX($M$4:$M$2003,MATCH($Q68+1,$P$4:$P$2003,0))&lt;&gt;INDEX($M$4:$M$2003,MATCH($Q68,$P$4:$P$2003,0)),"B","S"))))</f>
        <v/>
      </c>
      <c r="S69">
        <f>IF(Q69="","",IFERROR(MATCH(Q69,$P$4:$P$2003,0),""))</f>
        <v/>
      </c>
    </row>
    <row r="70">
      <c r="A70" s="4">
        <f>IF($R70="","",IF($R70="T","Gesamtergebnis",IF($R70="B",INDEX($M$4:$M$2003,$S70),INDEX($L$4:$L$2003,$S70))))</f>
        <v/>
      </c>
      <c r="B70" s="4">
        <f>IF($R70="","",IF($R70="T",$K$3,IF($R70="B",COUNTIFS($M$4:$M$2003,INDEX($M$4:$M$2003,$S70),$N$4:$N$2003,1),1)))</f>
        <v/>
      </c>
      <c r="L70">
        <f>IF($K$1="","",IFERROR(INDEX(Lines!$A:$AA,ROW()-2,$K$1),""))</f>
        <v/>
      </c>
      <c r="M70">
        <f>IF($K$2="","",IFERROR(INDEX(Lines!$A:$AA,ROW()-2,$K$2),""))</f>
        <v/>
      </c>
      <c r="N70">
        <f>IF(AND(L70&lt;&gt;"",LEFT(L70,1)="N",M70&lt;&gt;"PICKING",M70&lt;&gt;""),1,0)</f>
        <v/>
      </c>
      <c r="O70">
        <f>IF(N70=1,M70&amp;"|"&amp;L70,REPT("z",40))</f>
        <v/>
      </c>
      <c r="P70">
        <f>IF(N70=1,COUNTIF($O$4:$O$2003,"&lt;"&amp;O70)+1,"")</f>
        <v/>
      </c>
      <c r="Q70">
        <f>IF(OR($R69="",$R69="T"),"",IF($R69="B",$Q69,IF($Q69+1&gt;$K$3,"",$Q69+1)))</f>
        <v/>
      </c>
      <c r="R70">
        <f>IF(OR($R69="",$R69="T"),"",IF($R69="B","S",IF($Q69+1&gt;$K$3,"T",IF(INDEX($M$4:$M$2003,MATCH($Q69+1,$P$4:$P$2003,0))&lt;&gt;INDEX($M$4:$M$2003,MATCH($Q69,$P$4:$P$2003,0)),"B","S"))))</f>
        <v/>
      </c>
      <c r="S70">
        <f>IF(Q70="","",IFERROR(MATCH(Q70,$P$4:$P$2003,0),""))</f>
        <v/>
      </c>
    </row>
    <row r="71">
      <c r="A71" s="4">
        <f>IF($R71="","",IF($R71="T","Gesamtergebnis",IF($R71="B",INDEX($M$4:$M$2003,$S71),INDEX($L$4:$L$2003,$S71))))</f>
        <v/>
      </c>
      <c r="B71" s="4">
        <f>IF($R71="","",IF($R71="T",$K$3,IF($R71="B",COUNTIFS($M$4:$M$2003,INDEX($M$4:$M$2003,$S71),$N$4:$N$2003,1),1)))</f>
        <v/>
      </c>
      <c r="L71">
        <f>IF($K$1="","",IFERROR(INDEX(Lines!$A:$AA,ROW()-2,$K$1),""))</f>
        <v/>
      </c>
      <c r="M71">
        <f>IF($K$2="","",IFERROR(INDEX(Lines!$A:$AA,ROW()-2,$K$2),""))</f>
        <v/>
      </c>
      <c r="N71">
        <f>IF(AND(L71&lt;&gt;"",LEFT(L71,1)="N",M71&lt;&gt;"PICKING",M71&lt;&gt;""),1,0)</f>
        <v/>
      </c>
      <c r="O71">
        <f>IF(N71=1,M71&amp;"|"&amp;L71,REPT("z",40))</f>
        <v/>
      </c>
      <c r="P71">
        <f>IF(N71=1,COUNTIF($O$4:$O$2003,"&lt;"&amp;O71)+1,"")</f>
        <v/>
      </c>
      <c r="Q71">
        <f>IF(OR($R70="",$R70="T"),"",IF($R70="B",$Q70,IF($Q70+1&gt;$K$3,"",$Q70+1)))</f>
        <v/>
      </c>
      <c r="R71">
        <f>IF(OR($R70="",$R70="T"),"",IF($R70="B","S",IF($Q70+1&gt;$K$3,"T",IF(INDEX($M$4:$M$2003,MATCH($Q70+1,$P$4:$P$2003,0))&lt;&gt;INDEX($M$4:$M$2003,MATCH($Q70,$P$4:$P$2003,0)),"B","S"))))</f>
        <v/>
      </c>
      <c r="S71">
        <f>IF(Q71="","",IFERROR(MATCH(Q71,$P$4:$P$2003,0),""))</f>
        <v/>
      </c>
    </row>
    <row r="72">
      <c r="A72" s="4">
        <f>IF($R72="","",IF($R72="T","Gesamtergebnis",IF($R72="B",INDEX($M$4:$M$2003,$S72),INDEX($L$4:$L$2003,$S72))))</f>
        <v/>
      </c>
      <c r="B72" s="4">
        <f>IF($R72="","",IF($R72="T",$K$3,IF($R72="B",COUNTIFS($M$4:$M$2003,INDEX($M$4:$M$2003,$S72),$N$4:$N$2003,1),1)))</f>
        <v/>
      </c>
      <c r="L72">
        <f>IF($K$1="","",IFERROR(INDEX(Lines!$A:$AA,ROW()-2,$K$1),""))</f>
        <v/>
      </c>
      <c r="M72">
        <f>IF($K$2="","",IFERROR(INDEX(Lines!$A:$AA,ROW()-2,$K$2),""))</f>
        <v/>
      </c>
      <c r="N72">
        <f>IF(AND(L72&lt;&gt;"",LEFT(L72,1)="N",M72&lt;&gt;"PICKING",M72&lt;&gt;""),1,0)</f>
        <v/>
      </c>
      <c r="O72">
        <f>IF(N72=1,M72&amp;"|"&amp;L72,REPT("z",40))</f>
        <v/>
      </c>
      <c r="P72">
        <f>IF(N72=1,COUNTIF($O$4:$O$2003,"&lt;"&amp;O72)+1,"")</f>
        <v/>
      </c>
      <c r="Q72">
        <f>IF(OR($R71="",$R71="T"),"",IF($R71="B",$Q71,IF($Q71+1&gt;$K$3,"",$Q71+1)))</f>
        <v/>
      </c>
      <c r="R72">
        <f>IF(OR($R71="",$R71="T"),"",IF($R71="B","S",IF($Q71+1&gt;$K$3,"T",IF(INDEX($M$4:$M$2003,MATCH($Q71+1,$P$4:$P$2003,0))&lt;&gt;INDEX($M$4:$M$2003,MATCH($Q71,$P$4:$P$2003,0)),"B","S"))))</f>
        <v/>
      </c>
      <c r="S72">
        <f>IF(Q72="","",IFERROR(MATCH(Q72,$P$4:$P$2003,0),""))</f>
        <v/>
      </c>
    </row>
    <row r="73">
      <c r="A73" s="4">
        <f>IF($R73="","",IF($R73="T","Gesamtergebnis",IF($R73="B",INDEX($M$4:$M$2003,$S73),INDEX($L$4:$L$2003,$S73))))</f>
        <v/>
      </c>
      <c r="B73" s="4">
        <f>IF($R73="","",IF($R73="T",$K$3,IF($R73="B",COUNTIFS($M$4:$M$2003,INDEX($M$4:$M$2003,$S73),$N$4:$N$2003,1),1)))</f>
        <v/>
      </c>
      <c r="L73">
        <f>IF($K$1="","",IFERROR(INDEX(Lines!$A:$AA,ROW()-2,$K$1),""))</f>
        <v/>
      </c>
      <c r="M73">
        <f>IF($K$2="","",IFERROR(INDEX(Lines!$A:$AA,ROW()-2,$K$2),""))</f>
        <v/>
      </c>
      <c r="N73">
        <f>IF(AND(L73&lt;&gt;"",LEFT(L73,1)="N",M73&lt;&gt;"PICKING",M73&lt;&gt;""),1,0)</f>
        <v/>
      </c>
      <c r="O73">
        <f>IF(N73=1,M73&amp;"|"&amp;L73,REPT("z",40))</f>
        <v/>
      </c>
      <c r="P73">
        <f>IF(N73=1,COUNTIF($O$4:$O$2003,"&lt;"&amp;O73)+1,"")</f>
        <v/>
      </c>
      <c r="Q73">
        <f>IF(OR($R72="",$R72="T"),"",IF($R72="B",$Q72,IF($Q72+1&gt;$K$3,"",$Q72+1)))</f>
        <v/>
      </c>
      <c r="R73">
        <f>IF(OR($R72="",$R72="T"),"",IF($R72="B","S",IF($Q72+1&gt;$K$3,"T",IF(INDEX($M$4:$M$2003,MATCH($Q72+1,$P$4:$P$2003,0))&lt;&gt;INDEX($M$4:$M$2003,MATCH($Q72,$P$4:$P$2003,0)),"B","S"))))</f>
        <v/>
      </c>
      <c r="S73">
        <f>IF(Q73="","",IFERROR(MATCH(Q73,$P$4:$P$2003,0),""))</f>
        <v/>
      </c>
    </row>
    <row r="74">
      <c r="A74" s="4">
        <f>IF($R74="","",IF($R74="T","Gesamtergebnis",IF($R74="B",INDEX($M$4:$M$2003,$S74),INDEX($L$4:$L$2003,$S74))))</f>
        <v/>
      </c>
      <c r="B74" s="4">
        <f>IF($R74="","",IF($R74="T",$K$3,IF($R74="B",COUNTIFS($M$4:$M$2003,INDEX($M$4:$M$2003,$S74),$N$4:$N$2003,1),1)))</f>
        <v/>
      </c>
      <c r="L74">
        <f>IF($K$1="","",IFERROR(INDEX(Lines!$A:$AA,ROW()-2,$K$1),""))</f>
        <v/>
      </c>
      <c r="M74">
        <f>IF($K$2="","",IFERROR(INDEX(Lines!$A:$AA,ROW()-2,$K$2),""))</f>
        <v/>
      </c>
      <c r="N74">
        <f>IF(AND(L74&lt;&gt;"",LEFT(L74,1)="N",M74&lt;&gt;"PICKING",M74&lt;&gt;""),1,0)</f>
        <v/>
      </c>
      <c r="O74">
        <f>IF(N74=1,M74&amp;"|"&amp;L74,REPT("z",40))</f>
        <v/>
      </c>
      <c r="P74">
        <f>IF(N74=1,COUNTIF($O$4:$O$2003,"&lt;"&amp;O74)+1,"")</f>
        <v/>
      </c>
      <c r="Q74">
        <f>IF(OR($R73="",$R73="T"),"",IF($R73="B",$Q73,IF($Q73+1&gt;$K$3,"",$Q73+1)))</f>
        <v/>
      </c>
      <c r="R74">
        <f>IF(OR($R73="",$R73="T"),"",IF($R73="B","S",IF($Q73+1&gt;$K$3,"T",IF(INDEX($M$4:$M$2003,MATCH($Q73+1,$P$4:$P$2003,0))&lt;&gt;INDEX($M$4:$M$2003,MATCH($Q73,$P$4:$P$2003,0)),"B","S"))))</f>
        <v/>
      </c>
      <c r="S74">
        <f>IF(Q74="","",IFERROR(MATCH(Q74,$P$4:$P$2003,0),""))</f>
        <v/>
      </c>
    </row>
    <row r="75">
      <c r="A75" s="4">
        <f>IF($R75="","",IF($R75="T","Gesamtergebnis",IF($R75="B",INDEX($M$4:$M$2003,$S75),INDEX($L$4:$L$2003,$S75))))</f>
        <v/>
      </c>
      <c r="B75" s="4">
        <f>IF($R75="","",IF($R75="T",$K$3,IF($R75="B",COUNTIFS($M$4:$M$2003,INDEX($M$4:$M$2003,$S75),$N$4:$N$2003,1),1)))</f>
        <v/>
      </c>
      <c r="L75">
        <f>IF($K$1="","",IFERROR(INDEX(Lines!$A:$AA,ROW()-2,$K$1),""))</f>
        <v/>
      </c>
      <c r="M75">
        <f>IF($K$2="","",IFERROR(INDEX(Lines!$A:$AA,ROW()-2,$K$2),""))</f>
        <v/>
      </c>
      <c r="N75">
        <f>IF(AND(L75&lt;&gt;"",LEFT(L75,1)="N",M75&lt;&gt;"PICKING",M75&lt;&gt;""),1,0)</f>
        <v/>
      </c>
      <c r="O75">
        <f>IF(N75=1,M75&amp;"|"&amp;L75,REPT("z",40))</f>
        <v/>
      </c>
      <c r="P75">
        <f>IF(N75=1,COUNTIF($O$4:$O$2003,"&lt;"&amp;O75)+1,"")</f>
        <v/>
      </c>
      <c r="Q75">
        <f>IF(OR($R74="",$R74="T"),"",IF($R74="B",$Q74,IF($Q74+1&gt;$K$3,"",$Q74+1)))</f>
        <v/>
      </c>
      <c r="R75">
        <f>IF(OR($R74="",$R74="T"),"",IF($R74="B","S",IF($Q74+1&gt;$K$3,"T",IF(INDEX($M$4:$M$2003,MATCH($Q74+1,$P$4:$P$2003,0))&lt;&gt;INDEX($M$4:$M$2003,MATCH($Q74,$P$4:$P$2003,0)),"B","S"))))</f>
        <v/>
      </c>
      <c r="S75">
        <f>IF(Q75="","",IFERROR(MATCH(Q75,$P$4:$P$2003,0),""))</f>
        <v/>
      </c>
    </row>
    <row r="76">
      <c r="A76" s="4">
        <f>IF($R76="","",IF($R76="T","Gesamtergebnis",IF($R76="B",INDEX($M$4:$M$2003,$S76),INDEX($L$4:$L$2003,$S76))))</f>
        <v/>
      </c>
      <c r="B76" s="4">
        <f>IF($R76="","",IF($R76="T",$K$3,IF($R76="B",COUNTIFS($M$4:$M$2003,INDEX($M$4:$M$2003,$S76),$N$4:$N$2003,1),1)))</f>
        <v/>
      </c>
      <c r="L76">
        <f>IF($K$1="","",IFERROR(INDEX(Lines!$A:$AA,ROW()-2,$K$1),""))</f>
        <v/>
      </c>
      <c r="M76">
        <f>IF($K$2="","",IFERROR(INDEX(Lines!$A:$AA,ROW()-2,$K$2),""))</f>
        <v/>
      </c>
      <c r="N76">
        <f>IF(AND(L76&lt;&gt;"",LEFT(L76,1)="N",M76&lt;&gt;"PICKING",M76&lt;&gt;""),1,0)</f>
        <v/>
      </c>
      <c r="O76">
        <f>IF(N76=1,M76&amp;"|"&amp;L76,REPT("z",40))</f>
        <v/>
      </c>
      <c r="P76">
        <f>IF(N76=1,COUNTIF($O$4:$O$2003,"&lt;"&amp;O76)+1,"")</f>
        <v/>
      </c>
      <c r="Q76">
        <f>IF(OR($R75="",$R75="T"),"",IF($R75="B",$Q75,IF($Q75+1&gt;$K$3,"",$Q75+1)))</f>
        <v/>
      </c>
      <c r="R76">
        <f>IF(OR($R75="",$R75="T"),"",IF($R75="B","S",IF($Q75+1&gt;$K$3,"T",IF(INDEX($M$4:$M$2003,MATCH($Q75+1,$P$4:$P$2003,0))&lt;&gt;INDEX($M$4:$M$2003,MATCH($Q75,$P$4:$P$2003,0)),"B","S"))))</f>
        <v/>
      </c>
      <c r="S76">
        <f>IF(Q76="","",IFERROR(MATCH(Q76,$P$4:$P$2003,0),""))</f>
        <v/>
      </c>
    </row>
    <row r="77">
      <c r="A77" s="4">
        <f>IF($R77="","",IF($R77="T","Gesamtergebnis",IF($R77="B",INDEX($M$4:$M$2003,$S77),INDEX($L$4:$L$2003,$S77))))</f>
        <v/>
      </c>
      <c r="B77" s="4">
        <f>IF($R77="","",IF($R77="T",$K$3,IF($R77="B",COUNTIFS($M$4:$M$2003,INDEX($M$4:$M$2003,$S77),$N$4:$N$2003,1),1)))</f>
        <v/>
      </c>
      <c r="L77">
        <f>IF($K$1="","",IFERROR(INDEX(Lines!$A:$AA,ROW()-2,$K$1),""))</f>
        <v/>
      </c>
      <c r="M77">
        <f>IF($K$2="","",IFERROR(INDEX(Lines!$A:$AA,ROW()-2,$K$2),""))</f>
        <v/>
      </c>
      <c r="N77">
        <f>IF(AND(L77&lt;&gt;"",LEFT(L77,1)="N",M77&lt;&gt;"PICKING",M77&lt;&gt;""),1,0)</f>
        <v/>
      </c>
      <c r="O77">
        <f>IF(N77=1,M77&amp;"|"&amp;L77,REPT("z",40))</f>
        <v/>
      </c>
      <c r="P77">
        <f>IF(N77=1,COUNTIF($O$4:$O$2003,"&lt;"&amp;O77)+1,"")</f>
        <v/>
      </c>
      <c r="Q77">
        <f>IF(OR($R76="",$R76="T"),"",IF($R76="B",$Q76,IF($Q76+1&gt;$K$3,"",$Q76+1)))</f>
        <v/>
      </c>
      <c r="R77">
        <f>IF(OR($R76="",$R76="T"),"",IF($R76="B","S",IF($Q76+1&gt;$K$3,"T",IF(INDEX($M$4:$M$2003,MATCH($Q76+1,$P$4:$P$2003,0))&lt;&gt;INDEX($M$4:$M$2003,MATCH($Q76,$P$4:$P$2003,0)),"B","S"))))</f>
        <v/>
      </c>
      <c r="S77">
        <f>IF(Q77="","",IFERROR(MATCH(Q77,$P$4:$P$2003,0),""))</f>
        <v/>
      </c>
    </row>
    <row r="78">
      <c r="A78" s="4">
        <f>IF($R78="","",IF($R78="T","Gesamtergebnis",IF($R78="B",INDEX($M$4:$M$2003,$S78),INDEX($L$4:$L$2003,$S78))))</f>
        <v/>
      </c>
      <c r="B78" s="4">
        <f>IF($R78="","",IF($R78="T",$K$3,IF($R78="B",COUNTIFS($M$4:$M$2003,INDEX($M$4:$M$2003,$S78),$N$4:$N$2003,1),1)))</f>
        <v/>
      </c>
      <c r="L78">
        <f>IF($K$1="","",IFERROR(INDEX(Lines!$A:$AA,ROW()-2,$K$1),""))</f>
        <v/>
      </c>
      <c r="M78">
        <f>IF($K$2="","",IFERROR(INDEX(Lines!$A:$AA,ROW()-2,$K$2),""))</f>
        <v/>
      </c>
      <c r="N78">
        <f>IF(AND(L78&lt;&gt;"",LEFT(L78,1)="N",M78&lt;&gt;"PICKING",M78&lt;&gt;""),1,0)</f>
        <v/>
      </c>
      <c r="O78">
        <f>IF(N78=1,M78&amp;"|"&amp;L78,REPT("z",40))</f>
        <v/>
      </c>
      <c r="P78">
        <f>IF(N78=1,COUNTIF($O$4:$O$2003,"&lt;"&amp;O78)+1,"")</f>
        <v/>
      </c>
      <c r="Q78">
        <f>IF(OR($R77="",$R77="T"),"",IF($R77="B",$Q77,IF($Q77+1&gt;$K$3,"",$Q77+1)))</f>
        <v/>
      </c>
      <c r="R78">
        <f>IF(OR($R77="",$R77="T"),"",IF($R77="B","S",IF($Q77+1&gt;$K$3,"T",IF(INDEX($M$4:$M$2003,MATCH($Q77+1,$P$4:$P$2003,0))&lt;&gt;INDEX($M$4:$M$2003,MATCH($Q77,$P$4:$P$2003,0)),"B","S"))))</f>
        <v/>
      </c>
      <c r="S78">
        <f>IF(Q78="","",IFERROR(MATCH(Q78,$P$4:$P$2003,0),""))</f>
        <v/>
      </c>
    </row>
    <row r="79">
      <c r="A79" s="4">
        <f>IF($R79="","",IF($R79="T","Gesamtergebnis",IF($R79="B",INDEX($M$4:$M$2003,$S79),INDEX($L$4:$L$2003,$S79))))</f>
        <v/>
      </c>
      <c r="B79" s="4">
        <f>IF($R79="","",IF($R79="T",$K$3,IF($R79="B",COUNTIFS($M$4:$M$2003,INDEX($M$4:$M$2003,$S79),$N$4:$N$2003,1),1)))</f>
        <v/>
      </c>
      <c r="L79">
        <f>IF($K$1="","",IFERROR(INDEX(Lines!$A:$AA,ROW()-2,$K$1),""))</f>
        <v/>
      </c>
      <c r="M79">
        <f>IF($K$2="","",IFERROR(INDEX(Lines!$A:$AA,ROW()-2,$K$2),""))</f>
        <v/>
      </c>
      <c r="N79">
        <f>IF(AND(L79&lt;&gt;"",LEFT(L79,1)="N",M79&lt;&gt;"PICKING",M79&lt;&gt;""),1,0)</f>
        <v/>
      </c>
      <c r="O79">
        <f>IF(N79=1,M79&amp;"|"&amp;L79,REPT("z",40))</f>
        <v/>
      </c>
      <c r="P79">
        <f>IF(N79=1,COUNTIF($O$4:$O$2003,"&lt;"&amp;O79)+1,"")</f>
        <v/>
      </c>
      <c r="Q79">
        <f>IF(OR($R78="",$R78="T"),"",IF($R78="B",$Q78,IF($Q78+1&gt;$K$3,"",$Q78+1)))</f>
        <v/>
      </c>
      <c r="R79">
        <f>IF(OR($R78="",$R78="T"),"",IF($R78="B","S",IF($Q78+1&gt;$K$3,"T",IF(INDEX($M$4:$M$2003,MATCH($Q78+1,$P$4:$P$2003,0))&lt;&gt;INDEX($M$4:$M$2003,MATCH($Q78,$P$4:$P$2003,0)),"B","S"))))</f>
        <v/>
      </c>
      <c r="S79">
        <f>IF(Q79="","",IFERROR(MATCH(Q79,$P$4:$P$2003,0),""))</f>
        <v/>
      </c>
    </row>
    <row r="80">
      <c r="A80" s="4">
        <f>IF($R80="","",IF($R80="T","Gesamtergebnis",IF($R80="B",INDEX($M$4:$M$2003,$S80),INDEX($L$4:$L$2003,$S80))))</f>
        <v/>
      </c>
      <c r="B80" s="4">
        <f>IF($R80="","",IF($R80="T",$K$3,IF($R80="B",COUNTIFS($M$4:$M$2003,INDEX($M$4:$M$2003,$S80),$N$4:$N$2003,1),1)))</f>
        <v/>
      </c>
      <c r="L80">
        <f>IF($K$1="","",IFERROR(INDEX(Lines!$A:$AA,ROW()-2,$K$1),""))</f>
        <v/>
      </c>
      <c r="M80">
        <f>IF($K$2="","",IFERROR(INDEX(Lines!$A:$AA,ROW()-2,$K$2),""))</f>
        <v/>
      </c>
      <c r="N80">
        <f>IF(AND(L80&lt;&gt;"",LEFT(L80,1)="N",M80&lt;&gt;"PICKING",M80&lt;&gt;""),1,0)</f>
        <v/>
      </c>
      <c r="O80">
        <f>IF(N80=1,M80&amp;"|"&amp;L80,REPT("z",40))</f>
        <v/>
      </c>
      <c r="P80">
        <f>IF(N80=1,COUNTIF($O$4:$O$2003,"&lt;"&amp;O80)+1,"")</f>
        <v/>
      </c>
      <c r="Q80">
        <f>IF(OR($R79="",$R79="T"),"",IF($R79="B",$Q79,IF($Q79+1&gt;$K$3,"",$Q79+1)))</f>
        <v/>
      </c>
      <c r="R80">
        <f>IF(OR($R79="",$R79="T"),"",IF($R79="B","S",IF($Q79+1&gt;$K$3,"T",IF(INDEX($M$4:$M$2003,MATCH($Q79+1,$P$4:$P$2003,0))&lt;&gt;INDEX($M$4:$M$2003,MATCH($Q79,$P$4:$P$2003,0)),"B","S"))))</f>
        <v/>
      </c>
      <c r="S80">
        <f>IF(Q80="","",IFERROR(MATCH(Q80,$P$4:$P$2003,0),""))</f>
        <v/>
      </c>
    </row>
    <row r="81">
      <c r="A81" s="4">
        <f>IF($R81="","",IF($R81="T","Gesamtergebnis",IF($R81="B",INDEX($M$4:$M$2003,$S81),INDEX($L$4:$L$2003,$S81))))</f>
        <v/>
      </c>
      <c r="B81" s="4">
        <f>IF($R81="","",IF($R81="T",$K$3,IF($R81="B",COUNTIFS($M$4:$M$2003,INDEX($M$4:$M$2003,$S81),$N$4:$N$2003,1),1)))</f>
        <v/>
      </c>
      <c r="L81">
        <f>IF($K$1="","",IFERROR(INDEX(Lines!$A:$AA,ROW()-2,$K$1),""))</f>
        <v/>
      </c>
      <c r="M81">
        <f>IF($K$2="","",IFERROR(INDEX(Lines!$A:$AA,ROW()-2,$K$2),""))</f>
        <v/>
      </c>
      <c r="N81">
        <f>IF(AND(L81&lt;&gt;"",LEFT(L81,1)="N",M81&lt;&gt;"PICKING",M81&lt;&gt;""),1,0)</f>
        <v/>
      </c>
      <c r="O81">
        <f>IF(N81=1,M81&amp;"|"&amp;L81,REPT("z",40))</f>
        <v/>
      </c>
      <c r="P81">
        <f>IF(N81=1,COUNTIF($O$4:$O$2003,"&lt;"&amp;O81)+1,"")</f>
        <v/>
      </c>
      <c r="Q81">
        <f>IF(OR($R80="",$R80="T"),"",IF($R80="B",$Q80,IF($Q80+1&gt;$K$3,"",$Q80+1)))</f>
        <v/>
      </c>
      <c r="R81">
        <f>IF(OR($R80="",$R80="T"),"",IF($R80="B","S",IF($Q80+1&gt;$K$3,"T",IF(INDEX($M$4:$M$2003,MATCH($Q80+1,$P$4:$P$2003,0))&lt;&gt;INDEX($M$4:$M$2003,MATCH($Q80,$P$4:$P$2003,0)),"B","S"))))</f>
        <v/>
      </c>
      <c r="S81">
        <f>IF(Q81="","",IFERROR(MATCH(Q81,$P$4:$P$2003,0),""))</f>
        <v/>
      </c>
    </row>
    <row r="82">
      <c r="A82" s="4">
        <f>IF($R82="","",IF($R82="T","Gesamtergebnis",IF($R82="B",INDEX($M$4:$M$2003,$S82),INDEX($L$4:$L$2003,$S82))))</f>
        <v/>
      </c>
      <c r="B82" s="4">
        <f>IF($R82="","",IF($R82="T",$K$3,IF($R82="B",COUNTIFS($M$4:$M$2003,INDEX($M$4:$M$2003,$S82),$N$4:$N$2003,1),1)))</f>
        <v/>
      </c>
      <c r="L82">
        <f>IF($K$1="","",IFERROR(INDEX(Lines!$A:$AA,ROW()-2,$K$1),""))</f>
        <v/>
      </c>
      <c r="M82">
        <f>IF($K$2="","",IFERROR(INDEX(Lines!$A:$AA,ROW()-2,$K$2),""))</f>
        <v/>
      </c>
      <c r="N82">
        <f>IF(AND(L82&lt;&gt;"",LEFT(L82,1)="N",M82&lt;&gt;"PICKING",M82&lt;&gt;""),1,0)</f>
        <v/>
      </c>
      <c r="O82">
        <f>IF(N82=1,M82&amp;"|"&amp;L82,REPT("z",40))</f>
        <v/>
      </c>
      <c r="P82">
        <f>IF(N82=1,COUNTIF($O$4:$O$2003,"&lt;"&amp;O82)+1,"")</f>
        <v/>
      </c>
      <c r="Q82">
        <f>IF(OR($R81="",$R81="T"),"",IF($R81="B",$Q81,IF($Q81+1&gt;$K$3,"",$Q81+1)))</f>
        <v/>
      </c>
      <c r="R82">
        <f>IF(OR($R81="",$R81="T"),"",IF($R81="B","S",IF($Q81+1&gt;$K$3,"T",IF(INDEX($M$4:$M$2003,MATCH($Q81+1,$P$4:$P$2003,0))&lt;&gt;INDEX($M$4:$M$2003,MATCH($Q81,$P$4:$P$2003,0)),"B","S"))))</f>
        <v/>
      </c>
      <c r="S82">
        <f>IF(Q82="","",IFERROR(MATCH(Q82,$P$4:$P$2003,0),""))</f>
        <v/>
      </c>
    </row>
    <row r="83">
      <c r="A83" s="4">
        <f>IF($R83="","",IF($R83="T","Gesamtergebnis",IF($R83="B",INDEX($M$4:$M$2003,$S83),INDEX($L$4:$L$2003,$S83))))</f>
        <v/>
      </c>
      <c r="B83" s="4">
        <f>IF($R83="","",IF($R83="T",$K$3,IF($R83="B",COUNTIFS($M$4:$M$2003,INDEX($M$4:$M$2003,$S83),$N$4:$N$2003,1),1)))</f>
        <v/>
      </c>
      <c r="L83">
        <f>IF($K$1="","",IFERROR(INDEX(Lines!$A:$AA,ROW()-2,$K$1),""))</f>
        <v/>
      </c>
      <c r="M83">
        <f>IF($K$2="","",IFERROR(INDEX(Lines!$A:$AA,ROW()-2,$K$2),""))</f>
        <v/>
      </c>
      <c r="N83">
        <f>IF(AND(L83&lt;&gt;"",LEFT(L83,1)="N",M83&lt;&gt;"PICKING",M83&lt;&gt;""),1,0)</f>
        <v/>
      </c>
      <c r="O83">
        <f>IF(N83=1,M83&amp;"|"&amp;L83,REPT("z",40))</f>
        <v/>
      </c>
      <c r="P83">
        <f>IF(N83=1,COUNTIF($O$4:$O$2003,"&lt;"&amp;O83)+1,"")</f>
        <v/>
      </c>
      <c r="Q83">
        <f>IF(OR($R82="",$R82="T"),"",IF($R82="B",$Q82,IF($Q82+1&gt;$K$3,"",$Q82+1)))</f>
        <v/>
      </c>
      <c r="R83">
        <f>IF(OR($R82="",$R82="T"),"",IF($R82="B","S",IF($Q82+1&gt;$K$3,"T",IF(INDEX($M$4:$M$2003,MATCH($Q82+1,$P$4:$P$2003,0))&lt;&gt;INDEX($M$4:$M$2003,MATCH($Q82,$P$4:$P$2003,0)),"B","S"))))</f>
        <v/>
      </c>
      <c r="S83">
        <f>IF(Q83="","",IFERROR(MATCH(Q83,$P$4:$P$2003,0),""))</f>
        <v/>
      </c>
    </row>
    <row r="84">
      <c r="A84" s="4">
        <f>IF($R84="","",IF($R84="T","Gesamtergebnis",IF($R84="B",INDEX($M$4:$M$2003,$S84),INDEX($L$4:$L$2003,$S84))))</f>
        <v/>
      </c>
      <c r="B84" s="4">
        <f>IF($R84="","",IF($R84="T",$K$3,IF($R84="B",COUNTIFS($M$4:$M$2003,INDEX($M$4:$M$2003,$S84),$N$4:$N$2003,1),1)))</f>
        <v/>
      </c>
      <c r="L84">
        <f>IF($K$1="","",IFERROR(INDEX(Lines!$A:$AA,ROW()-2,$K$1),""))</f>
        <v/>
      </c>
      <c r="M84">
        <f>IF($K$2="","",IFERROR(INDEX(Lines!$A:$AA,ROW()-2,$K$2),""))</f>
        <v/>
      </c>
      <c r="N84">
        <f>IF(AND(L84&lt;&gt;"",LEFT(L84,1)="N",M84&lt;&gt;"PICKING",M84&lt;&gt;""),1,0)</f>
        <v/>
      </c>
      <c r="O84">
        <f>IF(N84=1,M84&amp;"|"&amp;L84,REPT("z",40))</f>
        <v/>
      </c>
      <c r="P84">
        <f>IF(N84=1,COUNTIF($O$4:$O$2003,"&lt;"&amp;O84)+1,"")</f>
        <v/>
      </c>
      <c r="Q84">
        <f>IF(OR($R83="",$R83="T"),"",IF($R83="B",$Q83,IF($Q83+1&gt;$K$3,"",$Q83+1)))</f>
        <v/>
      </c>
      <c r="R84">
        <f>IF(OR($R83="",$R83="T"),"",IF($R83="B","S",IF($Q83+1&gt;$K$3,"T",IF(INDEX($M$4:$M$2003,MATCH($Q83+1,$P$4:$P$2003,0))&lt;&gt;INDEX($M$4:$M$2003,MATCH($Q83,$P$4:$P$2003,0)),"B","S"))))</f>
        <v/>
      </c>
      <c r="S84">
        <f>IF(Q84="","",IFERROR(MATCH(Q84,$P$4:$P$2003,0),""))</f>
        <v/>
      </c>
    </row>
    <row r="85">
      <c r="A85" s="4">
        <f>IF($R85="","",IF($R85="T","Gesamtergebnis",IF($R85="B",INDEX($M$4:$M$2003,$S85),INDEX($L$4:$L$2003,$S85))))</f>
        <v/>
      </c>
      <c r="B85" s="4">
        <f>IF($R85="","",IF($R85="T",$K$3,IF($R85="B",COUNTIFS($M$4:$M$2003,INDEX($M$4:$M$2003,$S85),$N$4:$N$2003,1),1)))</f>
        <v/>
      </c>
      <c r="L85">
        <f>IF($K$1="","",IFERROR(INDEX(Lines!$A:$AA,ROW()-2,$K$1),""))</f>
        <v/>
      </c>
      <c r="M85">
        <f>IF($K$2="","",IFERROR(INDEX(Lines!$A:$AA,ROW()-2,$K$2),""))</f>
        <v/>
      </c>
      <c r="N85">
        <f>IF(AND(L85&lt;&gt;"",LEFT(L85,1)="N",M85&lt;&gt;"PICKING",M85&lt;&gt;""),1,0)</f>
        <v/>
      </c>
      <c r="O85">
        <f>IF(N85=1,M85&amp;"|"&amp;L85,REPT("z",40))</f>
        <v/>
      </c>
      <c r="P85">
        <f>IF(N85=1,COUNTIF($O$4:$O$2003,"&lt;"&amp;O85)+1,"")</f>
        <v/>
      </c>
      <c r="Q85">
        <f>IF(OR($R84="",$R84="T"),"",IF($R84="B",$Q84,IF($Q84+1&gt;$K$3,"",$Q84+1)))</f>
        <v/>
      </c>
      <c r="R85">
        <f>IF(OR($R84="",$R84="T"),"",IF($R84="B","S",IF($Q84+1&gt;$K$3,"T",IF(INDEX($M$4:$M$2003,MATCH($Q84+1,$P$4:$P$2003,0))&lt;&gt;INDEX($M$4:$M$2003,MATCH($Q84,$P$4:$P$2003,0)),"B","S"))))</f>
        <v/>
      </c>
      <c r="S85">
        <f>IF(Q85="","",IFERROR(MATCH(Q85,$P$4:$P$2003,0),""))</f>
        <v/>
      </c>
    </row>
    <row r="86">
      <c r="A86" s="4">
        <f>IF($R86="","",IF($R86="T","Gesamtergebnis",IF($R86="B",INDEX($M$4:$M$2003,$S86),INDEX($L$4:$L$2003,$S86))))</f>
        <v/>
      </c>
      <c r="B86" s="4">
        <f>IF($R86="","",IF($R86="T",$K$3,IF($R86="B",COUNTIFS($M$4:$M$2003,INDEX($M$4:$M$2003,$S86),$N$4:$N$2003,1),1)))</f>
        <v/>
      </c>
      <c r="L86">
        <f>IF($K$1="","",IFERROR(INDEX(Lines!$A:$AA,ROW()-2,$K$1),""))</f>
        <v/>
      </c>
      <c r="M86">
        <f>IF($K$2="","",IFERROR(INDEX(Lines!$A:$AA,ROW()-2,$K$2),""))</f>
        <v/>
      </c>
      <c r="N86">
        <f>IF(AND(L86&lt;&gt;"",LEFT(L86,1)="N",M86&lt;&gt;"PICKING",M86&lt;&gt;""),1,0)</f>
        <v/>
      </c>
      <c r="O86">
        <f>IF(N86=1,M86&amp;"|"&amp;L86,REPT("z",40))</f>
        <v/>
      </c>
      <c r="P86">
        <f>IF(N86=1,COUNTIF($O$4:$O$2003,"&lt;"&amp;O86)+1,"")</f>
        <v/>
      </c>
      <c r="Q86">
        <f>IF(OR($R85="",$R85="T"),"",IF($R85="B",$Q85,IF($Q85+1&gt;$K$3,"",$Q85+1)))</f>
        <v/>
      </c>
      <c r="R86">
        <f>IF(OR($R85="",$R85="T"),"",IF($R85="B","S",IF($Q85+1&gt;$K$3,"T",IF(INDEX($M$4:$M$2003,MATCH($Q85+1,$P$4:$P$2003,0))&lt;&gt;INDEX($M$4:$M$2003,MATCH($Q85,$P$4:$P$2003,0)),"B","S"))))</f>
        <v/>
      </c>
      <c r="S86">
        <f>IF(Q86="","",IFERROR(MATCH(Q86,$P$4:$P$2003,0),""))</f>
        <v/>
      </c>
    </row>
    <row r="87">
      <c r="A87" s="4">
        <f>IF($R87="","",IF($R87="T","Gesamtergebnis",IF($R87="B",INDEX($M$4:$M$2003,$S87),INDEX($L$4:$L$2003,$S87))))</f>
        <v/>
      </c>
      <c r="B87" s="4">
        <f>IF($R87="","",IF($R87="T",$K$3,IF($R87="B",COUNTIFS($M$4:$M$2003,INDEX($M$4:$M$2003,$S87),$N$4:$N$2003,1),1)))</f>
        <v/>
      </c>
      <c r="L87">
        <f>IF($K$1="","",IFERROR(INDEX(Lines!$A:$AA,ROW()-2,$K$1),""))</f>
        <v/>
      </c>
      <c r="M87">
        <f>IF($K$2="","",IFERROR(INDEX(Lines!$A:$AA,ROW()-2,$K$2),""))</f>
        <v/>
      </c>
      <c r="N87">
        <f>IF(AND(L87&lt;&gt;"",LEFT(L87,1)="N",M87&lt;&gt;"PICKING",M87&lt;&gt;""),1,0)</f>
        <v/>
      </c>
      <c r="O87">
        <f>IF(N87=1,M87&amp;"|"&amp;L87,REPT("z",40))</f>
        <v/>
      </c>
      <c r="P87">
        <f>IF(N87=1,COUNTIF($O$4:$O$2003,"&lt;"&amp;O87)+1,"")</f>
        <v/>
      </c>
      <c r="Q87">
        <f>IF(OR($R86="",$R86="T"),"",IF($R86="B",$Q86,IF($Q86+1&gt;$K$3,"",$Q86+1)))</f>
        <v/>
      </c>
      <c r="R87">
        <f>IF(OR($R86="",$R86="T"),"",IF($R86="B","S",IF($Q86+1&gt;$K$3,"T",IF(INDEX($M$4:$M$2003,MATCH($Q86+1,$P$4:$P$2003,0))&lt;&gt;INDEX($M$4:$M$2003,MATCH($Q86,$P$4:$P$2003,0)),"B","S"))))</f>
        <v/>
      </c>
      <c r="S87">
        <f>IF(Q87="","",IFERROR(MATCH(Q87,$P$4:$P$2003,0),""))</f>
        <v/>
      </c>
    </row>
    <row r="88">
      <c r="A88" s="4">
        <f>IF($R88="","",IF($R88="T","Gesamtergebnis",IF($R88="B",INDEX($M$4:$M$2003,$S88),INDEX($L$4:$L$2003,$S88))))</f>
        <v/>
      </c>
      <c r="B88" s="4">
        <f>IF($R88="","",IF($R88="T",$K$3,IF($R88="B",COUNTIFS($M$4:$M$2003,INDEX($M$4:$M$2003,$S88),$N$4:$N$2003,1),1)))</f>
        <v/>
      </c>
      <c r="L88">
        <f>IF($K$1="","",IFERROR(INDEX(Lines!$A:$AA,ROW()-2,$K$1),""))</f>
        <v/>
      </c>
      <c r="M88">
        <f>IF($K$2="","",IFERROR(INDEX(Lines!$A:$AA,ROW()-2,$K$2),""))</f>
        <v/>
      </c>
      <c r="N88">
        <f>IF(AND(L88&lt;&gt;"",LEFT(L88,1)="N",M88&lt;&gt;"PICKING",M88&lt;&gt;""),1,0)</f>
        <v/>
      </c>
      <c r="O88">
        <f>IF(N88=1,M88&amp;"|"&amp;L88,REPT("z",40))</f>
        <v/>
      </c>
      <c r="P88">
        <f>IF(N88=1,COUNTIF($O$4:$O$2003,"&lt;"&amp;O88)+1,"")</f>
        <v/>
      </c>
      <c r="Q88">
        <f>IF(OR($R87="",$R87="T"),"",IF($R87="B",$Q87,IF($Q87+1&gt;$K$3,"",$Q87+1)))</f>
        <v/>
      </c>
      <c r="R88">
        <f>IF(OR($R87="",$R87="T"),"",IF($R87="B","S",IF($Q87+1&gt;$K$3,"T",IF(INDEX($M$4:$M$2003,MATCH($Q87+1,$P$4:$P$2003,0))&lt;&gt;INDEX($M$4:$M$2003,MATCH($Q87,$P$4:$P$2003,0)),"B","S"))))</f>
        <v/>
      </c>
      <c r="S88">
        <f>IF(Q88="","",IFERROR(MATCH(Q88,$P$4:$P$2003,0),""))</f>
        <v/>
      </c>
    </row>
    <row r="89">
      <c r="A89" s="4">
        <f>IF($R89="","",IF($R89="T","Gesamtergebnis",IF($R89="B",INDEX($M$4:$M$2003,$S89),INDEX($L$4:$L$2003,$S89))))</f>
        <v/>
      </c>
      <c r="B89" s="4">
        <f>IF($R89="","",IF($R89="T",$K$3,IF($R89="B",COUNTIFS($M$4:$M$2003,INDEX($M$4:$M$2003,$S89),$N$4:$N$2003,1),1)))</f>
        <v/>
      </c>
      <c r="L89">
        <f>IF($K$1="","",IFERROR(INDEX(Lines!$A:$AA,ROW()-2,$K$1),""))</f>
        <v/>
      </c>
      <c r="M89">
        <f>IF($K$2="","",IFERROR(INDEX(Lines!$A:$AA,ROW()-2,$K$2),""))</f>
        <v/>
      </c>
      <c r="N89">
        <f>IF(AND(L89&lt;&gt;"",LEFT(L89,1)="N",M89&lt;&gt;"PICKING",M89&lt;&gt;""),1,0)</f>
        <v/>
      </c>
      <c r="O89">
        <f>IF(N89=1,M89&amp;"|"&amp;L89,REPT("z",40))</f>
        <v/>
      </c>
      <c r="P89">
        <f>IF(N89=1,COUNTIF($O$4:$O$2003,"&lt;"&amp;O89)+1,"")</f>
        <v/>
      </c>
      <c r="Q89">
        <f>IF(OR($R88="",$R88="T"),"",IF($R88="B",$Q88,IF($Q88+1&gt;$K$3,"",$Q88+1)))</f>
        <v/>
      </c>
      <c r="R89">
        <f>IF(OR($R88="",$R88="T"),"",IF($R88="B","S",IF($Q88+1&gt;$K$3,"T",IF(INDEX($M$4:$M$2003,MATCH($Q88+1,$P$4:$P$2003,0))&lt;&gt;INDEX($M$4:$M$2003,MATCH($Q88,$P$4:$P$2003,0)),"B","S"))))</f>
        <v/>
      </c>
      <c r="S89">
        <f>IF(Q89="","",IFERROR(MATCH(Q89,$P$4:$P$2003,0),""))</f>
        <v/>
      </c>
    </row>
    <row r="90">
      <c r="A90" s="4">
        <f>IF($R90="","",IF($R90="T","Gesamtergebnis",IF($R90="B",INDEX($M$4:$M$2003,$S90),INDEX($L$4:$L$2003,$S90))))</f>
        <v/>
      </c>
      <c r="B90" s="4">
        <f>IF($R90="","",IF($R90="T",$K$3,IF($R90="B",COUNTIFS($M$4:$M$2003,INDEX($M$4:$M$2003,$S90),$N$4:$N$2003,1),1)))</f>
        <v/>
      </c>
      <c r="L90">
        <f>IF($K$1="","",IFERROR(INDEX(Lines!$A:$AA,ROW()-2,$K$1),""))</f>
        <v/>
      </c>
      <c r="M90">
        <f>IF($K$2="","",IFERROR(INDEX(Lines!$A:$AA,ROW()-2,$K$2),""))</f>
        <v/>
      </c>
      <c r="N90">
        <f>IF(AND(L90&lt;&gt;"",LEFT(L90,1)="N",M90&lt;&gt;"PICKING",M90&lt;&gt;""),1,0)</f>
        <v/>
      </c>
      <c r="O90">
        <f>IF(N90=1,M90&amp;"|"&amp;L90,REPT("z",40))</f>
        <v/>
      </c>
      <c r="P90">
        <f>IF(N90=1,COUNTIF($O$4:$O$2003,"&lt;"&amp;O90)+1,"")</f>
        <v/>
      </c>
      <c r="Q90">
        <f>IF(OR($R89="",$R89="T"),"",IF($R89="B",$Q89,IF($Q89+1&gt;$K$3,"",$Q89+1)))</f>
        <v/>
      </c>
      <c r="R90">
        <f>IF(OR($R89="",$R89="T"),"",IF($R89="B","S",IF($Q89+1&gt;$K$3,"T",IF(INDEX($M$4:$M$2003,MATCH($Q89+1,$P$4:$P$2003,0))&lt;&gt;INDEX($M$4:$M$2003,MATCH($Q89,$P$4:$P$2003,0)),"B","S"))))</f>
        <v/>
      </c>
      <c r="S90">
        <f>IF(Q90="","",IFERROR(MATCH(Q90,$P$4:$P$2003,0),""))</f>
        <v/>
      </c>
    </row>
    <row r="91">
      <c r="A91" s="4">
        <f>IF($R91="","",IF($R91="T","Gesamtergebnis",IF($R91="B",INDEX($M$4:$M$2003,$S91),INDEX($L$4:$L$2003,$S91))))</f>
        <v/>
      </c>
      <c r="B91" s="4">
        <f>IF($R91="","",IF($R91="T",$K$3,IF($R91="B",COUNTIFS($M$4:$M$2003,INDEX($M$4:$M$2003,$S91),$N$4:$N$2003,1),1)))</f>
        <v/>
      </c>
      <c r="L91">
        <f>IF($K$1="","",IFERROR(INDEX(Lines!$A:$AA,ROW()-2,$K$1),""))</f>
        <v/>
      </c>
      <c r="M91">
        <f>IF($K$2="","",IFERROR(INDEX(Lines!$A:$AA,ROW()-2,$K$2),""))</f>
        <v/>
      </c>
      <c r="N91">
        <f>IF(AND(L91&lt;&gt;"",LEFT(L91,1)="N",M91&lt;&gt;"PICKING",M91&lt;&gt;""),1,0)</f>
        <v/>
      </c>
      <c r="O91">
        <f>IF(N91=1,M91&amp;"|"&amp;L91,REPT("z",40))</f>
        <v/>
      </c>
      <c r="P91">
        <f>IF(N91=1,COUNTIF($O$4:$O$2003,"&lt;"&amp;O91)+1,"")</f>
        <v/>
      </c>
      <c r="Q91">
        <f>IF(OR($R90="",$R90="T"),"",IF($R90="B",$Q90,IF($Q90+1&gt;$K$3,"",$Q90+1)))</f>
        <v/>
      </c>
      <c r="R91">
        <f>IF(OR($R90="",$R90="T"),"",IF($R90="B","S",IF($Q90+1&gt;$K$3,"T",IF(INDEX($M$4:$M$2003,MATCH($Q90+1,$P$4:$P$2003,0))&lt;&gt;INDEX($M$4:$M$2003,MATCH($Q90,$P$4:$P$2003,0)),"B","S"))))</f>
        <v/>
      </c>
      <c r="S91">
        <f>IF(Q91="","",IFERROR(MATCH(Q91,$P$4:$P$2003,0),""))</f>
        <v/>
      </c>
    </row>
    <row r="92">
      <c r="A92" s="4">
        <f>IF($R92="","",IF($R92="T","Gesamtergebnis",IF($R92="B",INDEX($M$4:$M$2003,$S92),INDEX($L$4:$L$2003,$S92))))</f>
        <v/>
      </c>
      <c r="B92" s="4">
        <f>IF($R92="","",IF($R92="T",$K$3,IF($R92="B",COUNTIFS($M$4:$M$2003,INDEX($M$4:$M$2003,$S92),$N$4:$N$2003,1),1)))</f>
        <v/>
      </c>
      <c r="L92">
        <f>IF($K$1="","",IFERROR(INDEX(Lines!$A:$AA,ROW()-2,$K$1),""))</f>
        <v/>
      </c>
      <c r="M92">
        <f>IF($K$2="","",IFERROR(INDEX(Lines!$A:$AA,ROW()-2,$K$2),""))</f>
        <v/>
      </c>
      <c r="N92">
        <f>IF(AND(L92&lt;&gt;"",LEFT(L92,1)="N",M92&lt;&gt;"PICKING",M92&lt;&gt;""),1,0)</f>
        <v/>
      </c>
      <c r="O92">
        <f>IF(N92=1,M92&amp;"|"&amp;L92,REPT("z",40))</f>
        <v/>
      </c>
      <c r="P92">
        <f>IF(N92=1,COUNTIF($O$4:$O$2003,"&lt;"&amp;O92)+1,"")</f>
        <v/>
      </c>
      <c r="Q92">
        <f>IF(OR($R91="",$R91="T"),"",IF($R91="B",$Q91,IF($Q91+1&gt;$K$3,"",$Q91+1)))</f>
        <v/>
      </c>
      <c r="R92">
        <f>IF(OR($R91="",$R91="T"),"",IF($R91="B","S",IF($Q91+1&gt;$K$3,"T",IF(INDEX($M$4:$M$2003,MATCH($Q91+1,$P$4:$P$2003,0))&lt;&gt;INDEX($M$4:$M$2003,MATCH($Q91,$P$4:$P$2003,0)),"B","S"))))</f>
        <v/>
      </c>
      <c r="S92">
        <f>IF(Q92="","",IFERROR(MATCH(Q92,$P$4:$P$2003,0),""))</f>
        <v/>
      </c>
    </row>
    <row r="93">
      <c r="A93" s="4">
        <f>IF($R93="","",IF($R93="T","Gesamtergebnis",IF($R93="B",INDEX($M$4:$M$2003,$S93),INDEX($L$4:$L$2003,$S93))))</f>
        <v/>
      </c>
      <c r="B93" s="4">
        <f>IF($R93="","",IF($R93="T",$K$3,IF($R93="B",COUNTIFS($M$4:$M$2003,INDEX($M$4:$M$2003,$S93),$N$4:$N$2003,1),1)))</f>
        <v/>
      </c>
      <c r="L93">
        <f>IF($K$1="","",IFERROR(INDEX(Lines!$A:$AA,ROW()-2,$K$1),""))</f>
        <v/>
      </c>
      <c r="M93">
        <f>IF($K$2="","",IFERROR(INDEX(Lines!$A:$AA,ROW()-2,$K$2),""))</f>
        <v/>
      </c>
      <c r="N93">
        <f>IF(AND(L93&lt;&gt;"",LEFT(L93,1)="N",M93&lt;&gt;"PICKING",M93&lt;&gt;""),1,0)</f>
        <v/>
      </c>
      <c r="O93">
        <f>IF(N93=1,M93&amp;"|"&amp;L93,REPT("z",40))</f>
        <v/>
      </c>
      <c r="P93">
        <f>IF(N93=1,COUNTIF($O$4:$O$2003,"&lt;"&amp;O93)+1,"")</f>
        <v/>
      </c>
      <c r="Q93">
        <f>IF(OR($R92="",$R92="T"),"",IF($R92="B",$Q92,IF($Q92+1&gt;$K$3,"",$Q92+1)))</f>
        <v/>
      </c>
      <c r="R93">
        <f>IF(OR($R92="",$R92="T"),"",IF($R92="B","S",IF($Q92+1&gt;$K$3,"T",IF(INDEX($M$4:$M$2003,MATCH($Q92+1,$P$4:$P$2003,0))&lt;&gt;INDEX($M$4:$M$2003,MATCH($Q92,$P$4:$P$2003,0)),"B","S"))))</f>
        <v/>
      </c>
      <c r="S93">
        <f>IF(Q93="","",IFERROR(MATCH(Q93,$P$4:$P$2003,0),""))</f>
        <v/>
      </c>
    </row>
    <row r="94">
      <c r="A94" s="4">
        <f>IF($R94="","",IF($R94="T","Gesamtergebnis",IF($R94="B",INDEX($M$4:$M$2003,$S94),INDEX($L$4:$L$2003,$S94))))</f>
        <v/>
      </c>
      <c r="B94" s="4">
        <f>IF($R94="","",IF($R94="T",$K$3,IF($R94="B",COUNTIFS($M$4:$M$2003,INDEX($M$4:$M$2003,$S94),$N$4:$N$2003,1),1)))</f>
        <v/>
      </c>
      <c r="L94">
        <f>IF($K$1="","",IFERROR(INDEX(Lines!$A:$AA,ROW()-2,$K$1),""))</f>
        <v/>
      </c>
      <c r="M94">
        <f>IF($K$2="","",IFERROR(INDEX(Lines!$A:$AA,ROW()-2,$K$2),""))</f>
        <v/>
      </c>
      <c r="N94">
        <f>IF(AND(L94&lt;&gt;"",LEFT(L94,1)="N",M94&lt;&gt;"PICKING",M94&lt;&gt;""),1,0)</f>
        <v/>
      </c>
      <c r="O94">
        <f>IF(N94=1,M94&amp;"|"&amp;L94,REPT("z",40))</f>
        <v/>
      </c>
      <c r="P94">
        <f>IF(N94=1,COUNTIF($O$4:$O$2003,"&lt;"&amp;O94)+1,"")</f>
        <v/>
      </c>
      <c r="Q94">
        <f>IF(OR($R93="",$R93="T"),"",IF($R93="B",$Q93,IF($Q93+1&gt;$K$3,"",$Q93+1)))</f>
        <v/>
      </c>
      <c r="R94">
        <f>IF(OR($R93="",$R93="T"),"",IF($R93="B","S",IF($Q93+1&gt;$K$3,"T",IF(INDEX($M$4:$M$2003,MATCH($Q93+1,$P$4:$P$2003,0))&lt;&gt;INDEX($M$4:$M$2003,MATCH($Q93,$P$4:$P$2003,0)),"B","S"))))</f>
        <v/>
      </c>
      <c r="S94">
        <f>IF(Q94="","",IFERROR(MATCH(Q94,$P$4:$P$2003,0),""))</f>
        <v/>
      </c>
    </row>
    <row r="95">
      <c r="A95" s="4">
        <f>IF($R95="","",IF($R95="T","Gesamtergebnis",IF($R95="B",INDEX($M$4:$M$2003,$S95),INDEX($L$4:$L$2003,$S95))))</f>
        <v/>
      </c>
      <c r="B95" s="4">
        <f>IF($R95="","",IF($R95="T",$K$3,IF($R95="B",COUNTIFS($M$4:$M$2003,INDEX($M$4:$M$2003,$S95),$N$4:$N$2003,1),1)))</f>
        <v/>
      </c>
      <c r="L95">
        <f>IF($K$1="","",IFERROR(INDEX(Lines!$A:$AA,ROW()-2,$K$1),""))</f>
        <v/>
      </c>
      <c r="M95">
        <f>IF($K$2="","",IFERROR(INDEX(Lines!$A:$AA,ROW()-2,$K$2),""))</f>
        <v/>
      </c>
      <c r="N95">
        <f>IF(AND(L95&lt;&gt;"",LEFT(L95,1)="N",M95&lt;&gt;"PICKING",M95&lt;&gt;""),1,0)</f>
        <v/>
      </c>
      <c r="O95">
        <f>IF(N95=1,M95&amp;"|"&amp;L95,REPT("z",40))</f>
        <v/>
      </c>
      <c r="P95">
        <f>IF(N95=1,COUNTIF($O$4:$O$2003,"&lt;"&amp;O95)+1,"")</f>
        <v/>
      </c>
      <c r="Q95">
        <f>IF(OR($R94="",$R94="T"),"",IF($R94="B",$Q94,IF($Q94+1&gt;$K$3,"",$Q94+1)))</f>
        <v/>
      </c>
      <c r="R95">
        <f>IF(OR($R94="",$R94="T"),"",IF($R94="B","S",IF($Q94+1&gt;$K$3,"T",IF(INDEX($M$4:$M$2003,MATCH($Q94+1,$P$4:$P$2003,0))&lt;&gt;INDEX($M$4:$M$2003,MATCH($Q94,$P$4:$P$2003,0)),"B","S"))))</f>
        <v/>
      </c>
      <c r="S95">
        <f>IF(Q95="","",IFERROR(MATCH(Q95,$P$4:$P$2003,0),""))</f>
        <v/>
      </c>
    </row>
    <row r="96">
      <c r="A96" s="4">
        <f>IF($R96="","",IF($R96="T","Gesamtergebnis",IF($R96="B",INDEX($M$4:$M$2003,$S96),INDEX($L$4:$L$2003,$S96))))</f>
        <v/>
      </c>
      <c r="B96" s="4">
        <f>IF($R96="","",IF($R96="T",$K$3,IF($R96="B",COUNTIFS($M$4:$M$2003,INDEX($M$4:$M$2003,$S96),$N$4:$N$2003,1),1)))</f>
        <v/>
      </c>
      <c r="L96">
        <f>IF($K$1="","",IFERROR(INDEX(Lines!$A:$AA,ROW()-2,$K$1),""))</f>
        <v/>
      </c>
      <c r="M96">
        <f>IF($K$2="","",IFERROR(INDEX(Lines!$A:$AA,ROW()-2,$K$2),""))</f>
        <v/>
      </c>
      <c r="N96">
        <f>IF(AND(L96&lt;&gt;"",LEFT(L96,1)="N",M96&lt;&gt;"PICKING",M96&lt;&gt;""),1,0)</f>
        <v/>
      </c>
      <c r="O96">
        <f>IF(N96=1,M96&amp;"|"&amp;L96,REPT("z",40))</f>
        <v/>
      </c>
      <c r="P96">
        <f>IF(N96=1,COUNTIF($O$4:$O$2003,"&lt;"&amp;O96)+1,"")</f>
        <v/>
      </c>
      <c r="Q96">
        <f>IF(OR($R95="",$R95="T"),"",IF($R95="B",$Q95,IF($Q95+1&gt;$K$3,"",$Q95+1)))</f>
        <v/>
      </c>
      <c r="R96">
        <f>IF(OR($R95="",$R95="T"),"",IF($R95="B","S",IF($Q95+1&gt;$K$3,"T",IF(INDEX($M$4:$M$2003,MATCH($Q95+1,$P$4:$P$2003,0))&lt;&gt;INDEX($M$4:$M$2003,MATCH($Q95,$P$4:$P$2003,0)),"B","S"))))</f>
        <v/>
      </c>
      <c r="S96">
        <f>IF(Q96="","",IFERROR(MATCH(Q96,$P$4:$P$2003,0),""))</f>
        <v/>
      </c>
    </row>
    <row r="97">
      <c r="A97" s="4">
        <f>IF($R97="","",IF($R97="T","Gesamtergebnis",IF($R97="B",INDEX($M$4:$M$2003,$S97),INDEX($L$4:$L$2003,$S97))))</f>
        <v/>
      </c>
      <c r="B97" s="4">
        <f>IF($R97="","",IF($R97="T",$K$3,IF($R97="B",COUNTIFS($M$4:$M$2003,INDEX($M$4:$M$2003,$S97),$N$4:$N$2003,1),1)))</f>
        <v/>
      </c>
      <c r="L97">
        <f>IF($K$1="","",IFERROR(INDEX(Lines!$A:$AA,ROW()-2,$K$1),""))</f>
        <v/>
      </c>
      <c r="M97">
        <f>IF($K$2="","",IFERROR(INDEX(Lines!$A:$AA,ROW()-2,$K$2),""))</f>
        <v/>
      </c>
      <c r="N97">
        <f>IF(AND(L97&lt;&gt;"",LEFT(L97,1)="N",M97&lt;&gt;"PICKING",M97&lt;&gt;""),1,0)</f>
        <v/>
      </c>
      <c r="O97">
        <f>IF(N97=1,M97&amp;"|"&amp;L97,REPT("z",40))</f>
        <v/>
      </c>
      <c r="P97">
        <f>IF(N97=1,COUNTIF($O$4:$O$2003,"&lt;"&amp;O97)+1,"")</f>
        <v/>
      </c>
      <c r="Q97">
        <f>IF(OR($R96="",$R96="T"),"",IF($R96="B",$Q96,IF($Q96+1&gt;$K$3,"",$Q96+1)))</f>
        <v/>
      </c>
      <c r="R97">
        <f>IF(OR($R96="",$R96="T"),"",IF($R96="B","S",IF($Q96+1&gt;$K$3,"T",IF(INDEX($M$4:$M$2003,MATCH($Q96+1,$P$4:$P$2003,0))&lt;&gt;INDEX($M$4:$M$2003,MATCH($Q96,$P$4:$P$2003,0)),"B","S"))))</f>
        <v/>
      </c>
      <c r="S97">
        <f>IF(Q97="","",IFERROR(MATCH(Q97,$P$4:$P$2003,0),""))</f>
        <v/>
      </c>
    </row>
    <row r="98">
      <c r="A98" s="4">
        <f>IF($R98="","",IF($R98="T","Gesamtergebnis",IF($R98="B",INDEX($M$4:$M$2003,$S98),INDEX($L$4:$L$2003,$S98))))</f>
        <v/>
      </c>
      <c r="B98" s="4">
        <f>IF($R98="","",IF($R98="T",$K$3,IF($R98="B",COUNTIFS($M$4:$M$2003,INDEX($M$4:$M$2003,$S98),$N$4:$N$2003,1),1)))</f>
        <v/>
      </c>
      <c r="L98">
        <f>IF($K$1="","",IFERROR(INDEX(Lines!$A:$AA,ROW()-2,$K$1),""))</f>
        <v/>
      </c>
      <c r="M98">
        <f>IF($K$2="","",IFERROR(INDEX(Lines!$A:$AA,ROW()-2,$K$2),""))</f>
        <v/>
      </c>
      <c r="N98">
        <f>IF(AND(L98&lt;&gt;"",LEFT(L98,1)="N",M98&lt;&gt;"PICKING",M98&lt;&gt;""),1,0)</f>
        <v/>
      </c>
      <c r="O98">
        <f>IF(N98=1,M98&amp;"|"&amp;L98,REPT("z",40))</f>
        <v/>
      </c>
      <c r="P98">
        <f>IF(N98=1,COUNTIF($O$4:$O$2003,"&lt;"&amp;O98)+1,"")</f>
        <v/>
      </c>
      <c r="Q98">
        <f>IF(OR($R97="",$R97="T"),"",IF($R97="B",$Q97,IF($Q97+1&gt;$K$3,"",$Q97+1)))</f>
        <v/>
      </c>
      <c r="R98">
        <f>IF(OR($R97="",$R97="T"),"",IF($R97="B","S",IF($Q97+1&gt;$K$3,"T",IF(INDEX($M$4:$M$2003,MATCH($Q97+1,$P$4:$P$2003,0))&lt;&gt;INDEX($M$4:$M$2003,MATCH($Q97,$P$4:$P$2003,0)),"B","S"))))</f>
        <v/>
      </c>
      <c r="S98">
        <f>IF(Q98="","",IFERROR(MATCH(Q98,$P$4:$P$2003,0),""))</f>
        <v/>
      </c>
    </row>
    <row r="99">
      <c r="A99" s="4">
        <f>IF($R99="","",IF($R99="T","Gesamtergebnis",IF($R99="B",INDEX($M$4:$M$2003,$S99),INDEX($L$4:$L$2003,$S99))))</f>
        <v/>
      </c>
      <c r="B99" s="4">
        <f>IF($R99="","",IF($R99="T",$K$3,IF($R99="B",COUNTIFS($M$4:$M$2003,INDEX($M$4:$M$2003,$S99),$N$4:$N$2003,1),1)))</f>
        <v/>
      </c>
      <c r="L99">
        <f>IF($K$1="","",IFERROR(INDEX(Lines!$A:$AA,ROW()-2,$K$1),""))</f>
        <v/>
      </c>
      <c r="M99">
        <f>IF($K$2="","",IFERROR(INDEX(Lines!$A:$AA,ROW()-2,$K$2),""))</f>
        <v/>
      </c>
      <c r="N99">
        <f>IF(AND(L99&lt;&gt;"",LEFT(L99,1)="N",M99&lt;&gt;"PICKING",M99&lt;&gt;""),1,0)</f>
        <v/>
      </c>
      <c r="O99">
        <f>IF(N99=1,M99&amp;"|"&amp;L99,REPT("z",40))</f>
        <v/>
      </c>
      <c r="P99">
        <f>IF(N99=1,COUNTIF($O$4:$O$2003,"&lt;"&amp;O99)+1,"")</f>
        <v/>
      </c>
      <c r="Q99">
        <f>IF(OR($R98="",$R98="T"),"",IF($R98="B",$Q98,IF($Q98+1&gt;$K$3,"",$Q98+1)))</f>
        <v/>
      </c>
      <c r="R99">
        <f>IF(OR($R98="",$R98="T"),"",IF($R98="B","S",IF($Q98+1&gt;$K$3,"T",IF(INDEX($M$4:$M$2003,MATCH($Q98+1,$P$4:$P$2003,0))&lt;&gt;INDEX($M$4:$M$2003,MATCH($Q98,$P$4:$P$2003,0)),"B","S"))))</f>
        <v/>
      </c>
      <c r="S99">
        <f>IF(Q99="","",IFERROR(MATCH(Q99,$P$4:$P$2003,0),""))</f>
        <v/>
      </c>
    </row>
    <row r="100">
      <c r="A100" s="4">
        <f>IF($R100="","",IF($R100="T","Gesamtergebnis",IF($R100="B",INDEX($M$4:$M$2003,$S100),INDEX($L$4:$L$2003,$S100))))</f>
        <v/>
      </c>
      <c r="B100" s="4">
        <f>IF($R100="","",IF($R100="T",$K$3,IF($R100="B",COUNTIFS($M$4:$M$2003,INDEX($M$4:$M$2003,$S100),$N$4:$N$2003,1),1)))</f>
        <v/>
      </c>
      <c r="L100">
        <f>IF($K$1="","",IFERROR(INDEX(Lines!$A:$AA,ROW()-2,$K$1),""))</f>
        <v/>
      </c>
      <c r="M100">
        <f>IF($K$2="","",IFERROR(INDEX(Lines!$A:$AA,ROW()-2,$K$2),""))</f>
        <v/>
      </c>
      <c r="N100">
        <f>IF(AND(L100&lt;&gt;"",LEFT(L100,1)="N",M100&lt;&gt;"PICKING",M100&lt;&gt;""),1,0)</f>
        <v/>
      </c>
      <c r="O100">
        <f>IF(N100=1,M100&amp;"|"&amp;L100,REPT("z",40))</f>
        <v/>
      </c>
      <c r="P100">
        <f>IF(N100=1,COUNTIF($O$4:$O$2003,"&lt;"&amp;O100)+1,"")</f>
        <v/>
      </c>
      <c r="Q100">
        <f>IF(OR($R99="",$R99="T"),"",IF($R99="B",$Q99,IF($Q99+1&gt;$K$3,"",$Q99+1)))</f>
        <v/>
      </c>
      <c r="R100">
        <f>IF(OR($R99="",$R99="T"),"",IF($R99="B","S",IF($Q99+1&gt;$K$3,"T",IF(INDEX($M$4:$M$2003,MATCH($Q99+1,$P$4:$P$2003,0))&lt;&gt;INDEX($M$4:$M$2003,MATCH($Q99,$P$4:$P$2003,0)),"B","S"))))</f>
        <v/>
      </c>
      <c r="S100">
        <f>IF(Q100="","",IFERROR(MATCH(Q100,$P$4:$P$2003,0),""))</f>
        <v/>
      </c>
    </row>
    <row r="101">
      <c r="A101" s="4">
        <f>IF($R101="","",IF($R101="T","Gesamtergebnis",IF($R101="B",INDEX($M$4:$M$2003,$S101),INDEX($L$4:$L$2003,$S101))))</f>
        <v/>
      </c>
      <c r="B101" s="4">
        <f>IF($R101="","",IF($R101="T",$K$3,IF($R101="B",COUNTIFS($M$4:$M$2003,INDEX($M$4:$M$2003,$S101),$N$4:$N$2003,1),1)))</f>
        <v/>
      </c>
      <c r="L101">
        <f>IF($K$1="","",IFERROR(INDEX(Lines!$A:$AA,ROW()-2,$K$1),""))</f>
        <v/>
      </c>
      <c r="M101">
        <f>IF($K$2="","",IFERROR(INDEX(Lines!$A:$AA,ROW()-2,$K$2),""))</f>
        <v/>
      </c>
      <c r="N101">
        <f>IF(AND(L101&lt;&gt;"",LEFT(L101,1)="N",M101&lt;&gt;"PICKING",M101&lt;&gt;""),1,0)</f>
        <v/>
      </c>
      <c r="O101">
        <f>IF(N101=1,M101&amp;"|"&amp;L101,REPT("z",40))</f>
        <v/>
      </c>
      <c r="P101">
        <f>IF(N101=1,COUNTIF($O$4:$O$2003,"&lt;"&amp;O101)+1,"")</f>
        <v/>
      </c>
      <c r="Q101">
        <f>IF(OR($R100="",$R100="T"),"",IF($R100="B",$Q100,IF($Q100+1&gt;$K$3,"",$Q100+1)))</f>
        <v/>
      </c>
      <c r="R101">
        <f>IF(OR($R100="",$R100="T"),"",IF($R100="B","S",IF($Q100+1&gt;$K$3,"T",IF(INDEX($M$4:$M$2003,MATCH($Q100+1,$P$4:$P$2003,0))&lt;&gt;INDEX($M$4:$M$2003,MATCH($Q100,$P$4:$P$2003,0)),"B","S"))))</f>
        <v/>
      </c>
      <c r="S101">
        <f>IF(Q101="","",IFERROR(MATCH(Q101,$P$4:$P$2003,0),""))</f>
        <v/>
      </c>
    </row>
    <row r="102">
      <c r="A102" s="4">
        <f>IF($R102="","",IF($R102="T","Gesamtergebnis",IF($R102="B",INDEX($M$4:$M$2003,$S102),INDEX($L$4:$L$2003,$S102))))</f>
        <v/>
      </c>
      <c r="B102" s="4">
        <f>IF($R102="","",IF($R102="T",$K$3,IF($R102="B",COUNTIFS($M$4:$M$2003,INDEX($M$4:$M$2003,$S102),$N$4:$N$2003,1),1)))</f>
        <v/>
      </c>
      <c r="L102">
        <f>IF($K$1="","",IFERROR(INDEX(Lines!$A:$AA,ROW()-2,$K$1),""))</f>
        <v/>
      </c>
      <c r="M102">
        <f>IF($K$2="","",IFERROR(INDEX(Lines!$A:$AA,ROW()-2,$K$2),""))</f>
        <v/>
      </c>
      <c r="N102">
        <f>IF(AND(L102&lt;&gt;"",LEFT(L102,1)="N",M102&lt;&gt;"PICKING",M102&lt;&gt;""),1,0)</f>
        <v/>
      </c>
      <c r="O102">
        <f>IF(N102=1,M102&amp;"|"&amp;L102,REPT("z",40))</f>
        <v/>
      </c>
      <c r="P102">
        <f>IF(N102=1,COUNTIF($O$4:$O$2003,"&lt;"&amp;O102)+1,"")</f>
        <v/>
      </c>
      <c r="Q102">
        <f>IF(OR($R101="",$R101="T"),"",IF($R101="B",$Q101,IF($Q101+1&gt;$K$3,"",$Q101+1)))</f>
        <v/>
      </c>
      <c r="R102">
        <f>IF(OR($R101="",$R101="T"),"",IF($R101="B","S",IF($Q101+1&gt;$K$3,"T",IF(INDEX($M$4:$M$2003,MATCH($Q101+1,$P$4:$P$2003,0))&lt;&gt;INDEX($M$4:$M$2003,MATCH($Q101,$P$4:$P$2003,0)),"B","S"))))</f>
        <v/>
      </c>
      <c r="S102">
        <f>IF(Q102="","",IFERROR(MATCH(Q102,$P$4:$P$2003,0),""))</f>
        <v/>
      </c>
    </row>
    <row r="103">
      <c r="A103" s="4">
        <f>IF($R103="","",IF($R103="T","Gesamtergebnis",IF($R103="B",INDEX($M$4:$M$2003,$S103),INDEX($L$4:$L$2003,$S103))))</f>
        <v/>
      </c>
      <c r="B103" s="4">
        <f>IF($R103="","",IF($R103="T",$K$3,IF($R103="B",COUNTIFS($M$4:$M$2003,INDEX($M$4:$M$2003,$S103),$N$4:$N$2003,1),1)))</f>
        <v/>
      </c>
      <c r="L103">
        <f>IF($K$1="","",IFERROR(INDEX(Lines!$A:$AA,ROW()-2,$K$1),""))</f>
        <v/>
      </c>
      <c r="M103">
        <f>IF($K$2="","",IFERROR(INDEX(Lines!$A:$AA,ROW()-2,$K$2),""))</f>
        <v/>
      </c>
      <c r="N103">
        <f>IF(AND(L103&lt;&gt;"",LEFT(L103,1)="N",M103&lt;&gt;"PICKING",M103&lt;&gt;""),1,0)</f>
        <v/>
      </c>
      <c r="O103">
        <f>IF(N103=1,M103&amp;"|"&amp;L103,REPT("z",40))</f>
        <v/>
      </c>
      <c r="P103">
        <f>IF(N103=1,COUNTIF($O$4:$O$2003,"&lt;"&amp;O103)+1,"")</f>
        <v/>
      </c>
      <c r="Q103">
        <f>IF(OR($R102="",$R102="T"),"",IF($R102="B",$Q102,IF($Q102+1&gt;$K$3,"",$Q102+1)))</f>
        <v/>
      </c>
      <c r="R103">
        <f>IF(OR($R102="",$R102="T"),"",IF($R102="B","S",IF($Q102+1&gt;$K$3,"T",IF(INDEX($M$4:$M$2003,MATCH($Q102+1,$P$4:$P$2003,0))&lt;&gt;INDEX($M$4:$M$2003,MATCH($Q102,$P$4:$P$2003,0)),"B","S"))))</f>
        <v/>
      </c>
      <c r="S103">
        <f>IF(Q103="","",IFERROR(MATCH(Q103,$P$4:$P$2003,0),""))</f>
        <v/>
      </c>
    </row>
    <row r="104">
      <c r="A104" s="4">
        <f>IF($R104="","",IF($R104="T","Gesamtergebnis",IF($R104="B",INDEX($M$4:$M$2003,$S104),INDEX($L$4:$L$2003,$S104))))</f>
        <v/>
      </c>
      <c r="B104" s="4">
        <f>IF($R104="","",IF($R104="T",$K$3,IF($R104="B",COUNTIFS($M$4:$M$2003,INDEX($M$4:$M$2003,$S104),$N$4:$N$2003,1),1)))</f>
        <v/>
      </c>
      <c r="L104">
        <f>IF($K$1="","",IFERROR(INDEX(Lines!$A:$AA,ROW()-2,$K$1),""))</f>
        <v/>
      </c>
      <c r="M104">
        <f>IF($K$2="","",IFERROR(INDEX(Lines!$A:$AA,ROW()-2,$K$2),""))</f>
        <v/>
      </c>
      <c r="N104">
        <f>IF(AND(L104&lt;&gt;"",LEFT(L104,1)="N",M104&lt;&gt;"PICKING",M104&lt;&gt;""),1,0)</f>
        <v/>
      </c>
      <c r="O104">
        <f>IF(N104=1,M104&amp;"|"&amp;L104,REPT("z",40))</f>
        <v/>
      </c>
      <c r="P104">
        <f>IF(N104=1,COUNTIF($O$4:$O$2003,"&lt;"&amp;O104)+1,"")</f>
        <v/>
      </c>
      <c r="Q104">
        <f>IF(OR($R103="",$R103="T"),"",IF($R103="B",$Q103,IF($Q103+1&gt;$K$3,"",$Q103+1)))</f>
        <v/>
      </c>
      <c r="R104">
        <f>IF(OR($R103="",$R103="T"),"",IF($R103="B","S",IF($Q103+1&gt;$K$3,"T",IF(INDEX($M$4:$M$2003,MATCH($Q103+1,$P$4:$P$2003,0))&lt;&gt;INDEX($M$4:$M$2003,MATCH($Q103,$P$4:$P$2003,0)),"B","S"))))</f>
        <v/>
      </c>
      <c r="S104">
        <f>IF(Q104="","",IFERROR(MATCH(Q104,$P$4:$P$2003,0),""))</f>
        <v/>
      </c>
    </row>
    <row r="105">
      <c r="A105" s="4">
        <f>IF($R105="","",IF($R105="T","Gesamtergebnis",IF($R105="B",INDEX($M$4:$M$2003,$S105),INDEX($L$4:$L$2003,$S105))))</f>
        <v/>
      </c>
      <c r="B105" s="4">
        <f>IF($R105="","",IF($R105="T",$K$3,IF($R105="B",COUNTIFS($M$4:$M$2003,INDEX($M$4:$M$2003,$S105),$N$4:$N$2003,1),1)))</f>
        <v/>
      </c>
      <c r="L105">
        <f>IF($K$1="","",IFERROR(INDEX(Lines!$A:$AA,ROW()-2,$K$1),""))</f>
        <v/>
      </c>
      <c r="M105">
        <f>IF($K$2="","",IFERROR(INDEX(Lines!$A:$AA,ROW()-2,$K$2),""))</f>
        <v/>
      </c>
      <c r="N105">
        <f>IF(AND(L105&lt;&gt;"",LEFT(L105,1)="N",M105&lt;&gt;"PICKING",M105&lt;&gt;""),1,0)</f>
        <v/>
      </c>
      <c r="O105">
        <f>IF(N105=1,M105&amp;"|"&amp;L105,REPT("z",40))</f>
        <v/>
      </c>
      <c r="P105">
        <f>IF(N105=1,COUNTIF($O$4:$O$2003,"&lt;"&amp;O105)+1,"")</f>
        <v/>
      </c>
      <c r="Q105">
        <f>IF(OR($R104="",$R104="T"),"",IF($R104="B",$Q104,IF($Q104+1&gt;$K$3,"",$Q104+1)))</f>
        <v/>
      </c>
      <c r="R105">
        <f>IF(OR($R104="",$R104="T"),"",IF($R104="B","S",IF($Q104+1&gt;$K$3,"T",IF(INDEX($M$4:$M$2003,MATCH($Q104+1,$P$4:$P$2003,0))&lt;&gt;INDEX($M$4:$M$2003,MATCH($Q104,$P$4:$P$2003,0)),"B","S"))))</f>
        <v/>
      </c>
      <c r="S105">
        <f>IF(Q105="","",IFERROR(MATCH(Q105,$P$4:$P$2003,0),""))</f>
        <v/>
      </c>
    </row>
    <row r="106">
      <c r="A106" s="4">
        <f>IF($R106="","",IF($R106="T","Gesamtergebnis",IF($R106="B",INDEX($M$4:$M$2003,$S106),INDEX($L$4:$L$2003,$S106))))</f>
        <v/>
      </c>
      <c r="B106" s="4">
        <f>IF($R106="","",IF($R106="T",$K$3,IF($R106="B",COUNTIFS($M$4:$M$2003,INDEX($M$4:$M$2003,$S106),$N$4:$N$2003,1),1)))</f>
        <v/>
      </c>
      <c r="L106">
        <f>IF($K$1="","",IFERROR(INDEX(Lines!$A:$AA,ROW()-2,$K$1),""))</f>
        <v/>
      </c>
      <c r="M106">
        <f>IF($K$2="","",IFERROR(INDEX(Lines!$A:$AA,ROW()-2,$K$2),""))</f>
        <v/>
      </c>
      <c r="N106">
        <f>IF(AND(L106&lt;&gt;"",LEFT(L106,1)="N",M106&lt;&gt;"PICKING",M106&lt;&gt;""),1,0)</f>
        <v/>
      </c>
      <c r="O106">
        <f>IF(N106=1,M106&amp;"|"&amp;L106,REPT("z",40))</f>
        <v/>
      </c>
      <c r="P106">
        <f>IF(N106=1,COUNTIF($O$4:$O$2003,"&lt;"&amp;O106)+1,"")</f>
        <v/>
      </c>
      <c r="Q106">
        <f>IF(OR($R105="",$R105="T"),"",IF($R105="B",$Q105,IF($Q105+1&gt;$K$3,"",$Q105+1)))</f>
        <v/>
      </c>
      <c r="R106">
        <f>IF(OR($R105="",$R105="T"),"",IF($R105="B","S",IF($Q105+1&gt;$K$3,"T",IF(INDEX($M$4:$M$2003,MATCH($Q105+1,$P$4:$P$2003,0))&lt;&gt;INDEX($M$4:$M$2003,MATCH($Q105,$P$4:$P$2003,0)),"B","S"))))</f>
        <v/>
      </c>
      <c r="S106">
        <f>IF(Q106="","",IFERROR(MATCH(Q106,$P$4:$P$2003,0),""))</f>
        <v/>
      </c>
    </row>
    <row r="107">
      <c r="A107" s="4">
        <f>IF($R107="","",IF($R107="T","Gesamtergebnis",IF($R107="B",INDEX($M$4:$M$2003,$S107),INDEX($L$4:$L$2003,$S107))))</f>
        <v/>
      </c>
      <c r="B107" s="4">
        <f>IF($R107="","",IF($R107="T",$K$3,IF($R107="B",COUNTIFS($M$4:$M$2003,INDEX($M$4:$M$2003,$S107),$N$4:$N$2003,1),1)))</f>
        <v/>
      </c>
      <c r="L107">
        <f>IF($K$1="","",IFERROR(INDEX(Lines!$A:$AA,ROW()-2,$K$1),""))</f>
        <v/>
      </c>
      <c r="M107">
        <f>IF($K$2="","",IFERROR(INDEX(Lines!$A:$AA,ROW()-2,$K$2),""))</f>
        <v/>
      </c>
      <c r="N107">
        <f>IF(AND(L107&lt;&gt;"",LEFT(L107,1)="N",M107&lt;&gt;"PICKING",M107&lt;&gt;""),1,0)</f>
        <v/>
      </c>
      <c r="O107">
        <f>IF(N107=1,M107&amp;"|"&amp;L107,REPT("z",40))</f>
        <v/>
      </c>
      <c r="P107">
        <f>IF(N107=1,COUNTIF($O$4:$O$2003,"&lt;"&amp;O107)+1,"")</f>
        <v/>
      </c>
      <c r="Q107">
        <f>IF(OR($R106="",$R106="T"),"",IF($R106="B",$Q106,IF($Q106+1&gt;$K$3,"",$Q106+1)))</f>
        <v/>
      </c>
      <c r="R107">
        <f>IF(OR($R106="",$R106="T"),"",IF($R106="B","S",IF($Q106+1&gt;$K$3,"T",IF(INDEX($M$4:$M$2003,MATCH($Q106+1,$P$4:$P$2003,0))&lt;&gt;INDEX($M$4:$M$2003,MATCH($Q106,$P$4:$P$2003,0)),"B","S"))))</f>
        <v/>
      </c>
      <c r="S107">
        <f>IF(Q107="","",IFERROR(MATCH(Q107,$P$4:$P$2003,0),""))</f>
        <v/>
      </c>
    </row>
    <row r="108">
      <c r="A108" s="4">
        <f>IF($R108="","",IF($R108="T","Gesamtergebnis",IF($R108="B",INDEX($M$4:$M$2003,$S108),INDEX($L$4:$L$2003,$S108))))</f>
        <v/>
      </c>
      <c r="B108" s="4">
        <f>IF($R108="","",IF($R108="T",$K$3,IF($R108="B",COUNTIFS($M$4:$M$2003,INDEX($M$4:$M$2003,$S108),$N$4:$N$2003,1),1)))</f>
        <v/>
      </c>
      <c r="L108">
        <f>IF($K$1="","",IFERROR(INDEX(Lines!$A:$AA,ROW()-2,$K$1),""))</f>
        <v/>
      </c>
      <c r="M108">
        <f>IF($K$2="","",IFERROR(INDEX(Lines!$A:$AA,ROW()-2,$K$2),""))</f>
        <v/>
      </c>
      <c r="N108">
        <f>IF(AND(L108&lt;&gt;"",LEFT(L108,1)="N",M108&lt;&gt;"PICKING",M108&lt;&gt;""),1,0)</f>
        <v/>
      </c>
      <c r="O108">
        <f>IF(N108=1,M108&amp;"|"&amp;L108,REPT("z",40))</f>
        <v/>
      </c>
      <c r="P108">
        <f>IF(N108=1,COUNTIF($O$4:$O$2003,"&lt;"&amp;O108)+1,"")</f>
        <v/>
      </c>
      <c r="Q108">
        <f>IF(OR($R107="",$R107="T"),"",IF($R107="B",$Q107,IF($Q107+1&gt;$K$3,"",$Q107+1)))</f>
        <v/>
      </c>
      <c r="R108">
        <f>IF(OR($R107="",$R107="T"),"",IF($R107="B","S",IF($Q107+1&gt;$K$3,"T",IF(INDEX($M$4:$M$2003,MATCH($Q107+1,$P$4:$P$2003,0))&lt;&gt;INDEX($M$4:$M$2003,MATCH($Q107,$P$4:$P$2003,0)),"B","S"))))</f>
        <v/>
      </c>
      <c r="S108">
        <f>IF(Q108="","",IFERROR(MATCH(Q108,$P$4:$P$2003,0),""))</f>
        <v/>
      </c>
    </row>
    <row r="109">
      <c r="A109" s="4">
        <f>IF($R109="","",IF($R109="T","Gesamtergebnis",IF($R109="B",INDEX($M$4:$M$2003,$S109),INDEX($L$4:$L$2003,$S109))))</f>
        <v/>
      </c>
      <c r="B109" s="4">
        <f>IF($R109="","",IF($R109="T",$K$3,IF($R109="B",COUNTIFS($M$4:$M$2003,INDEX($M$4:$M$2003,$S109),$N$4:$N$2003,1),1)))</f>
        <v/>
      </c>
      <c r="L109">
        <f>IF($K$1="","",IFERROR(INDEX(Lines!$A:$AA,ROW()-2,$K$1),""))</f>
        <v/>
      </c>
      <c r="M109">
        <f>IF($K$2="","",IFERROR(INDEX(Lines!$A:$AA,ROW()-2,$K$2),""))</f>
        <v/>
      </c>
      <c r="N109">
        <f>IF(AND(L109&lt;&gt;"",LEFT(L109,1)="N",M109&lt;&gt;"PICKING",M109&lt;&gt;""),1,0)</f>
        <v/>
      </c>
      <c r="O109">
        <f>IF(N109=1,M109&amp;"|"&amp;L109,REPT("z",40))</f>
        <v/>
      </c>
      <c r="P109">
        <f>IF(N109=1,COUNTIF($O$4:$O$2003,"&lt;"&amp;O109)+1,"")</f>
        <v/>
      </c>
      <c r="Q109">
        <f>IF(OR($R108="",$R108="T"),"",IF($R108="B",$Q108,IF($Q108+1&gt;$K$3,"",$Q108+1)))</f>
        <v/>
      </c>
      <c r="R109">
        <f>IF(OR($R108="",$R108="T"),"",IF($R108="B","S",IF($Q108+1&gt;$K$3,"T",IF(INDEX($M$4:$M$2003,MATCH($Q108+1,$P$4:$P$2003,0))&lt;&gt;INDEX($M$4:$M$2003,MATCH($Q108,$P$4:$P$2003,0)),"B","S"))))</f>
        <v/>
      </c>
      <c r="S109">
        <f>IF(Q109="","",IFERROR(MATCH(Q109,$P$4:$P$2003,0),""))</f>
        <v/>
      </c>
    </row>
    <row r="110">
      <c r="A110" s="4">
        <f>IF($R110="","",IF($R110="T","Gesamtergebnis",IF($R110="B",INDEX($M$4:$M$2003,$S110),INDEX($L$4:$L$2003,$S110))))</f>
        <v/>
      </c>
      <c r="B110" s="4">
        <f>IF($R110="","",IF($R110="T",$K$3,IF($R110="B",COUNTIFS($M$4:$M$2003,INDEX($M$4:$M$2003,$S110),$N$4:$N$2003,1),1)))</f>
        <v/>
      </c>
      <c r="L110">
        <f>IF($K$1="","",IFERROR(INDEX(Lines!$A:$AA,ROW()-2,$K$1),""))</f>
        <v/>
      </c>
      <c r="M110">
        <f>IF($K$2="","",IFERROR(INDEX(Lines!$A:$AA,ROW()-2,$K$2),""))</f>
        <v/>
      </c>
      <c r="N110">
        <f>IF(AND(L110&lt;&gt;"",LEFT(L110,1)="N",M110&lt;&gt;"PICKING",M110&lt;&gt;""),1,0)</f>
        <v/>
      </c>
      <c r="O110">
        <f>IF(N110=1,M110&amp;"|"&amp;L110,REPT("z",40))</f>
        <v/>
      </c>
      <c r="P110">
        <f>IF(N110=1,COUNTIF($O$4:$O$2003,"&lt;"&amp;O110)+1,"")</f>
        <v/>
      </c>
      <c r="Q110">
        <f>IF(OR($R109="",$R109="T"),"",IF($R109="B",$Q109,IF($Q109+1&gt;$K$3,"",$Q109+1)))</f>
        <v/>
      </c>
      <c r="R110">
        <f>IF(OR($R109="",$R109="T"),"",IF($R109="B","S",IF($Q109+1&gt;$K$3,"T",IF(INDEX($M$4:$M$2003,MATCH($Q109+1,$P$4:$P$2003,0))&lt;&gt;INDEX($M$4:$M$2003,MATCH($Q109,$P$4:$P$2003,0)),"B","S"))))</f>
        <v/>
      </c>
      <c r="S110">
        <f>IF(Q110="","",IFERROR(MATCH(Q110,$P$4:$P$2003,0),""))</f>
        <v/>
      </c>
    </row>
    <row r="111">
      <c r="A111" s="4">
        <f>IF($R111="","",IF($R111="T","Gesamtergebnis",IF($R111="B",INDEX($M$4:$M$2003,$S111),INDEX($L$4:$L$2003,$S111))))</f>
        <v/>
      </c>
      <c r="B111" s="4">
        <f>IF($R111="","",IF($R111="T",$K$3,IF($R111="B",COUNTIFS($M$4:$M$2003,INDEX($M$4:$M$2003,$S111),$N$4:$N$2003,1),1)))</f>
        <v/>
      </c>
      <c r="L111">
        <f>IF($K$1="","",IFERROR(INDEX(Lines!$A:$AA,ROW()-2,$K$1),""))</f>
        <v/>
      </c>
      <c r="M111">
        <f>IF($K$2="","",IFERROR(INDEX(Lines!$A:$AA,ROW()-2,$K$2),""))</f>
        <v/>
      </c>
      <c r="N111">
        <f>IF(AND(L111&lt;&gt;"",LEFT(L111,1)="N",M111&lt;&gt;"PICKING",M111&lt;&gt;""),1,0)</f>
        <v/>
      </c>
      <c r="O111">
        <f>IF(N111=1,M111&amp;"|"&amp;L111,REPT("z",40))</f>
        <v/>
      </c>
      <c r="P111">
        <f>IF(N111=1,COUNTIF($O$4:$O$2003,"&lt;"&amp;O111)+1,"")</f>
        <v/>
      </c>
      <c r="Q111">
        <f>IF(OR($R110="",$R110="T"),"",IF($R110="B",$Q110,IF($Q110+1&gt;$K$3,"",$Q110+1)))</f>
        <v/>
      </c>
      <c r="R111">
        <f>IF(OR($R110="",$R110="T"),"",IF($R110="B","S",IF($Q110+1&gt;$K$3,"T",IF(INDEX($M$4:$M$2003,MATCH($Q110+1,$P$4:$P$2003,0))&lt;&gt;INDEX($M$4:$M$2003,MATCH($Q110,$P$4:$P$2003,0)),"B","S"))))</f>
        <v/>
      </c>
      <c r="S111">
        <f>IF(Q111="","",IFERROR(MATCH(Q111,$P$4:$P$2003,0),""))</f>
        <v/>
      </c>
    </row>
    <row r="112">
      <c r="A112" s="4">
        <f>IF($R112="","",IF($R112="T","Gesamtergebnis",IF($R112="B",INDEX($M$4:$M$2003,$S112),INDEX($L$4:$L$2003,$S112))))</f>
        <v/>
      </c>
      <c r="B112" s="4">
        <f>IF($R112="","",IF($R112="T",$K$3,IF($R112="B",COUNTIFS($M$4:$M$2003,INDEX($M$4:$M$2003,$S112),$N$4:$N$2003,1),1)))</f>
        <v/>
      </c>
      <c r="L112">
        <f>IF($K$1="","",IFERROR(INDEX(Lines!$A:$AA,ROW()-2,$K$1),""))</f>
        <v/>
      </c>
      <c r="M112">
        <f>IF($K$2="","",IFERROR(INDEX(Lines!$A:$AA,ROW()-2,$K$2),""))</f>
        <v/>
      </c>
      <c r="N112">
        <f>IF(AND(L112&lt;&gt;"",LEFT(L112,1)="N",M112&lt;&gt;"PICKING",M112&lt;&gt;""),1,0)</f>
        <v/>
      </c>
      <c r="O112">
        <f>IF(N112=1,M112&amp;"|"&amp;L112,REPT("z",40))</f>
        <v/>
      </c>
      <c r="P112">
        <f>IF(N112=1,COUNTIF($O$4:$O$2003,"&lt;"&amp;O112)+1,"")</f>
        <v/>
      </c>
      <c r="Q112">
        <f>IF(OR($R111="",$R111="T"),"",IF($R111="B",$Q111,IF($Q111+1&gt;$K$3,"",$Q111+1)))</f>
        <v/>
      </c>
      <c r="R112">
        <f>IF(OR($R111="",$R111="T"),"",IF($R111="B","S",IF($Q111+1&gt;$K$3,"T",IF(INDEX($M$4:$M$2003,MATCH($Q111+1,$P$4:$P$2003,0))&lt;&gt;INDEX($M$4:$M$2003,MATCH($Q111,$P$4:$P$2003,0)),"B","S"))))</f>
        <v/>
      </c>
      <c r="S112">
        <f>IF(Q112="","",IFERROR(MATCH(Q112,$P$4:$P$2003,0),""))</f>
        <v/>
      </c>
    </row>
    <row r="113">
      <c r="A113" s="4">
        <f>IF($R113="","",IF($R113="T","Gesamtergebnis",IF($R113="B",INDEX($M$4:$M$2003,$S113),INDEX($L$4:$L$2003,$S113))))</f>
        <v/>
      </c>
      <c r="B113" s="4">
        <f>IF($R113="","",IF($R113="T",$K$3,IF($R113="B",COUNTIFS($M$4:$M$2003,INDEX($M$4:$M$2003,$S113),$N$4:$N$2003,1),1)))</f>
        <v/>
      </c>
      <c r="L113">
        <f>IF($K$1="","",IFERROR(INDEX(Lines!$A:$AA,ROW()-2,$K$1),""))</f>
        <v/>
      </c>
      <c r="M113">
        <f>IF($K$2="","",IFERROR(INDEX(Lines!$A:$AA,ROW()-2,$K$2),""))</f>
        <v/>
      </c>
      <c r="N113">
        <f>IF(AND(L113&lt;&gt;"",LEFT(L113,1)="N",M113&lt;&gt;"PICKING",M113&lt;&gt;""),1,0)</f>
        <v/>
      </c>
      <c r="O113">
        <f>IF(N113=1,M113&amp;"|"&amp;L113,REPT("z",40))</f>
        <v/>
      </c>
      <c r="P113">
        <f>IF(N113=1,COUNTIF($O$4:$O$2003,"&lt;"&amp;O113)+1,"")</f>
        <v/>
      </c>
      <c r="Q113">
        <f>IF(OR($R112="",$R112="T"),"",IF($R112="B",$Q112,IF($Q112+1&gt;$K$3,"",$Q112+1)))</f>
        <v/>
      </c>
      <c r="R113">
        <f>IF(OR($R112="",$R112="T"),"",IF($R112="B","S",IF($Q112+1&gt;$K$3,"T",IF(INDEX($M$4:$M$2003,MATCH($Q112+1,$P$4:$P$2003,0))&lt;&gt;INDEX($M$4:$M$2003,MATCH($Q112,$P$4:$P$2003,0)),"B","S"))))</f>
        <v/>
      </c>
      <c r="S113">
        <f>IF(Q113="","",IFERROR(MATCH(Q113,$P$4:$P$2003,0),""))</f>
        <v/>
      </c>
    </row>
    <row r="114">
      <c r="A114" s="4">
        <f>IF($R114="","",IF($R114="T","Gesamtergebnis",IF($R114="B",INDEX($M$4:$M$2003,$S114),INDEX($L$4:$L$2003,$S114))))</f>
        <v/>
      </c>
      <c r="B114" s="4">
        <f>IF($R114="","",IF($R114="T",$K$3,IF($R114="B",COUNTIFS($M$4:$M$2003,INDEX($M$4:$M$2003,$S114),$N$4:$N$2003,1),1)))</f>
        <v/>
      </c>
      <c r="L114">
        <f>IF($K$1="","",IFERROR(INDEX(Lines!$A:$AA,ROW()-2,$K$1),""))</f>
        <v/>
      </c>
      <c r="M114">
        <f>IF($K$2="","",IFERROR(INDEX(Lines!$A:$AA,ROW()-2,$K$2),""))</f>
        <v/>
      </c>
      <c r="N114">
        <f>IF(AND(L114&lt;&gt;"",LEFT(L114,1)="N",M114&lt;&gt;"PICKING",M114&lt;&gt;""),1,0)</f>
        <v/>
      </c>
      <c r="O114">
        <f>IF(N114=1,M114&amp;"|"&amp;L114,REPT("z",40))</f>
        <v/>
      </c>
      <c r="P114">
        <f>IF(N114=1,COUNTIF($O$4:$O$2003,"&lt;"&amp;O114)+1,"")</f>
        <v/>
      </c>
      <c r="Q114">
        <f>IF(OR($R113="",$R113="T"),"",IF($R113="B",$Q113,IF($Q113+1&gt;$K$3,"",$Q113+1)))</f>
        <v/>
      </c>
      <c r="R114">
        <f>IF(OR($R113="",$R113="T"),"",IF($R113="B","S",IF($Q113+1&gt;$K$3,"T",IF(INDEX($M$4:$M$2003,MATCH($Q113+1,$P$4:$P$2003,0))&lt;&gt;INDEX($M$4:$M$2003,MATCH($Q113,$P$4:$P$2003,0)),"B","S"))))</f>
        <v/>
      </c>
      <c r="S114">
        <f>IF(Q114="","",IFERROR(MATCH(Q114,$P$4:$P$2003,0),""))</f>
        <v/>
      </c>
    </row>
    <row r="115">
      <c r="A115" s="4">
        <f>IF($R115="","",IF($R115="T","Gesamtergebnis",IF($R115="B",INDEX($M$4:$M$2003,$S115),INDEX($L$4:$L$2003,$S115))))</f>
        <v/>
      </c>
      <c r="B115" s="4">
        <f>IF($R115="","",IF($R115="T",$K$3,IF($R115="B",COUNTIFS($M$4:$M$2003,INDEX($M$4:$M$2003,$S115),$N$4:$N$2003,1),1)))</f>
        <v/>
      </c>
      <c r="L115">
        <f>IF($K$1="","",IFERROR(INDEX(Lines!$A:$AA,ROW()-2,$K$1),""))</f>
        <v/>
      </c>
      <c r="M115">
        <f>IF($K$2="","",IFERROR(INDEX(Lines!$A:$AA,ROW()-2,$K$2),""))</f>
        <v/>
      </c>
      <c r="N115">
        <f>IF(AND(L115&lt;&gt;"",LEFT(L115,1)="N",M115&lt;&gt;"PICKING",M115&lt;&gt;""),1,0)</f>
        <v/>
      </c>
      <c r="O115">
        <f>IF(N115=1,M115&amp;"|"&amp;L115,REPT("z",40))</f>
        <v/>
      </c>
      <c r="P115">
        <f>IF(N115=1,COUNTIF($O$4:$O$2003,"&lt;"&amp;O115)+1,"")</f>
        <v/>
      </c>
      <c r="Q115">
        <f>IF(OR($R114="",$R114="T"),"",IF($R114="B",$Q114,IF($Q114+1&gt;$K$3,"",$Q114+1)))</f>
        <v/>
      </c>
      <c r="R115">
        <f>IF(OR($R114="",$R114="T"),"",IF($R114="B","S",IF($Q114+1&gt;$K$3,"T",IF(INDEX($M$4:$M$2003,MATCH($Q114+1,$P$4:$P$2003,0))&lt;&gt;INDEX($M$4:$M$2003,MATCH($Q114,$P$4:$P$2003,0)),"B","S"))))</f>
        <v/>
      </c>
      <c r="S115">
        <f>IF(Q115="","",IFERROR(MATCH(Q115,$P$4:$P$2003,0),""))</f>
        <v/>
      </c>
    </row>
    <row r="116">
      <c r="A116" s="4">
        <f>IF($R116="","",IF($R116="T","Gesamtergebnis",IF($R116="B",INDEX($M$4:$M$2003,$S116),INDEX($L$4:$L$2003,$S116))))</f>
        <v/>
      </c>
      <c r="B116" s="4">
        <f>IF($R116="","",IF($R116="T",$K$3,IF($R116="B",COUNTIFS($M$4:$M$2003,INDEX($M$4:$M$2003,$S116),$N$4:$N$2003,1),1)))</f>
        <v/>
      </c>
      <c r="L116">
        <f>IF($K$1="","",IFERROR(INDEX(Lines!$A:$AA,ROW()-2,$K$1),""))</f>
        <v/>
      </c>
      <c r="M116">
        <f>IF($K$2="","",IFERROR(INDEX(Lines!$A:$AA,ROW()-2,$K$2),""))</f>
        <v/>
      </c>
      <c r="N116">
        <f>IF(AND(L116&lt;&gt;"",LEFT(L116,1)="N",M116&lt;&gt;"PICKING",M116&lt;&gt;""),1,0)</f>
        <v/>
      </c>
      <c r="O116">
        <f>IF(N116=1,M116&amp;"|"&amp;L116,REPT("z",40))</f>
        <v/>
      </c>
      <c r="P116">
        <f>IF(N116=1,COUNTIF($O$4:$O$2003,"&lt;"&amp;O116)+1,"")</f>
        <v/>
      </c>
      <c r="Q116">
        <f>IF(OR($R115="",$R115="T"),"",IF($R115="B",$Q115,IF($Q115+1&gt;$K$3,"",$Q115+1)))</f>
        <v/>
      </c>
      <c r="R116">
        <f>IF(OR($R115="",$R115="T"),"",IF($R115="B","S",IF($Q115+1&gt;$K$3,"T",IF(INDEX($M$4:$M$2003,MATCH($Q115+1,$P$4:$P$2003,0))&lt;&gt;INDEX($M$4:$M$2003,MATCH($Q115,$P$4:$P$2003,0)),"B","S"))))</f>
        <v/>
      </c>
      <c r="S116">
        <f>IF(Q116="","",IFERROR(MATCH(Q116,$P$4:$P$2003,0),""))</f>
        <v/>
      </c>
    </row>
    <row r="117">
      <c r="A117" s="4">
        <f>IF($R117="","",IF($R117="T","Gesamtergebnis",IF($R117="B",INDEX($M$4:$M$2003,$S117),INDEX($L$4:$L$2003,$S117))))</f>
        <v/>
      </c>
      <c r="B117" s="4">
        <f>IF($R117="","",IF($R117="T",$K$3,IF($R117="B",COUNTIFS($M$4:$M$2003,INDEX($M$4:$M$2003,$S117),$N$4:$N$2003,1),1)))</f>
        <v/>
      </c>
      <c r="L117">
        <f>IF($K$1="","",IFERROR(INDEX(Lines!$A:$AA,ROW()-2,$K$1),""))</f>
        <v/>
      </c>
      <c r="M117">
        <f>IF($K$2="","",IFERROR(INDEX(Lines!$A:$AA,ROW()-2,$K$2),""))</f>
        <v/>
      </c>
      <c r="N117">
        <f>IF(AND(L117&lt;&gt;"",LEFT(L117,1)="N",M117&lt;&gt;"PICKING",M117&lt;&gt;""),1,0)</f>
        <v/>
      </c>
      <c r="O117">
        <f>IF(N117=1,M117&amp;"|"&amp;L117,REPT("z",40))</f>
        <v/>
      </c>
      <c r="P117">
        <f>IF(N117=1,COUNTIF($O$4:$O$2003,"&lt;"&amp;O117)+1,"")</f>
        <v/>
      </c>
      <c r="Q117">
        <f>IF(OR($R116="",$R116="T"),"",IF($R116="B",$Q116,IF($Q116+1&gt;$K$3,"",$Q116+1)))</f>
        <v/>
      </c>
      <c r="R117">
        <f>IF(OR($R116="",$R116="T"),"",IF($R116="B","S",IF($Q116+1&gt;$K$3,"T",IF(INDEX($M$4:$M$2003,MATCH($Q116+1,$P$4:$P$2003,0))&lt;&gt;INDEX($M$4:$M$2003,MATCH($Q116,$P$4:$P$2003,0)),"B","S"))))</f>
        <v/>
      </c>
      <c r="S117">
        <f>IF(Q117="","",IFERROR(MATCH(Q117,$P$4:$P$2003,0),""))</f>
        <v/>
      </c>
    </row>
    <row r="118">
      <c r="A118" s="4">
        <f>IF($R118="","",IF($R118="T","Gesamtergebnis",IF($R118="B",INDEX($M$4:$M$2003,$S118),INDEX($L$4:$L$2003,$S118))))</f>
        <v/>
      </c>
      <c r="B118" s="4">
        <f>IF($R118="","",IF($R118="T",$K$3,IF($R118="B",COUNTIFS($M$4:$M$2003,INDEX($M$4:$M$2003,$S118),$N$4:$N$2003,1),1)))</f>
        <v/>
      </c>
      <c r="L118">
        <f>IF($K$1="","",IFERROR(INDEX(Lines!$A:$AA,ROW()-2,$K$1),""))</f>
        <v/>
      </c>
      <c r="M118">
        <f>IF($K$2="","",IFERROR(INDEX(Lines!$A:$AA,ROW()-2,$K$2),""))</f>
        <v/>
      </c>
      <c r="N118">
        <f>IF(AND(L118&lt;&gt;"",LEFT(L118,1)="N",M118&lt;&gt;"PICKING",M118&lt;&gt;""),1,0)</f>
        <v/>
      </c>
      <c r="O118">
        <f>IF(N118=1,M118&amp;"|"&amp;L118,REPT("z",40))</f>
        <v/>
      </c>
      <c r="P118">
        <f>IF(N118=1,COUNTIF($O$4:$O$2003,"&lt;"&amp;O118)+1,"")</f>
        <v/>
      </c>
      <c r="Q118">
        <f>IF(OR($R117="",$R117="T"),"",IF($R117="B",$Q117,IF($Q117+1&gt;$K$3,"",$Q117+1)))</f>
        <v/>
      </c>
      <c r="R118">
        <f>IF(OR($R117="",$R117="T"),"",IF($R117="B","S",IF($Q117+1&gt;$K$3,"T",IF(INDEX($M$4:$M$2003,MATCH($Q117+1,$P$4:$P$2003,0))&lt;&gt;INDEX($M$4:$M$2003,MATCH($Q117,$P$4:$P$2003,0)),"B","S"))))</f>
        <v/>
      </c>
      <c r="S118">
        <f>IF(Q118="","",IFERROR(MATCH(Q118,$P$4:$P$2003,0),""))</f>
        <v/>
      </c>
    </row>
    <row r="119">
      <c r="A119" s="4">
        <f>IF($R119="","",IF($R119="T","Gesamtergebnis",IF($R119="B",INDEX($M$4:$M$2003,$S119),INDEX($L$4:$L$2003,$S119))))</f>
        <v/>
      </c>
      <c r="B119" s="4">
        <f>IF($R119="","",IF($R119="T",$K$3,IF($R119="B",COUNTIFS($M$4:$M$2003,INDEX($M$4:$M$2003,$S119),$N$4:$N$2003,1),1)))</f>
        <v/>
      </c>
      <c r="L119">
        <f>IF($K$1="","",IFERROR(INDEX(Lines!$A:$AA,ROW()-2,$K$1),""))</f>
        <v/>
      </c>
      <c r="M119">
        <f>IF($K$2="","",IFERROR(INDEX(Lines!$A:$AA,ROW()-2,$K$2),""))</f>
        <v/>
      </c>
      <c r="N119">
        <f>IF(AND(L119&lt;&gt;"",LEFT(L119,1)="N",M119&lt;&gt;"PICKING",M119&lt;&gt;""),1,0)</f>
        <v/>
      </c>
      <c r="O119">
        <f>IF(N119=1,M119&amp;"|"&amp;L119,REPT("z",40))</f>
        <v/>
      </c>
      <c r="P119">
        <f>IF(N119=1,COUNTIF($O$4:$O$2003,"&lt;"&amp;O119)+1,"")</f>
        <v/>
      </c>
      <c r="Q119">
        <f>IF(OR($R118="",$R118="T"),"",IF($R118="B",$Q118,IF($Q118+1&gt;$K$3,"",$Q118+1)))</f>
        <v/>
      </c>
      <c r="R119">
        <f>IF(OR($R118="",$R118="T"),"",IF($R118="B","S",IF($Q118+1&gt;$K$3,"T",IF(INDEX($M$4:$M$2003,MATCH($Q118+1,$P$4:$P$2003,0))&lt;&gt;INDEX($M$4:$M$2003,MATCH($Q118,$P$4:$P$2003,0)),"B","S"))))</f>
        <v/>
      </c>
      <c r="S119">
        <f>IF(Q119="","",IFERROR(MATCH(Q119,$P$4:$P$2003,0),""))</f>
        <v/>
      </c>
    </row>
    <row r="120">
      <c r="A120" s="4">
        <f>IF($R120="","",IF($R120="T","Gesamtergebnis",IF($R120="B",INDEX($M$4:$M$2003,$S120),INDEX($L$4:$L$2003,$S120))))</f>
        <v/>
      </c>
      <c r="B120" s="4">
        <f>IF($R120="","",IF($R120="T",$K$3,IF($R120="B",COUNTIFS($M$4:$M$2003,INDEX($M$4:$M$2003,$S120),$N$4:$N$2003,1),1)))</f>
        <v/>
      </c>
      <c r="L120">
        <f>IF($K$1="","",IFERROR(INDEX(Lines!$A:$AA,ROW()-2,$K$1),""))</f>
        <v/>
      </c>
      <c r="M120">
        <f>IF($K$2="","",IFERROR(INDEX(Lines!$A:$AA,ROW()-2,$K$2),""))</f>
        <v/>
      </c>
      <c r="N120">
        <f>IF(AND(L120&lt;&gt;"",LEFT(L120,1)="N",M120&lt;&gt;"PICKING",M120&lt;&gt;""),1,0)</f>
        <v/>
      </c>
      <c r="O120">
        <f>IF(N120=1,M120&amp;"|"&amp;L120,REPT("z",40))</f>
        <v/>
      </c>
      <c r="P120">
        <f>IF(N120=1,COUNTIF($O$4:$O$2003,"&lt;"&amp;O120)+1,"")</f>
        <v/>
      </c>
      <c r="Q120">
        <f>IF(OR($R119="",$R119="T"),"",IF($R119="B",$Q119,IF($Q119+1&gt;$K$3,"",$Q119+1)))</f>
        <v/>
      </c>
      <c r="R120">
        <f>IF(OR($R119="",$R119="T"),"",IF($R119="B","S",IF($Q119+1&gt;$K$3,"T",IF(INDEX($M$4:$M$2003,MATCH($Q119+1,$P$4:$P$2003,0))&lt;&gt;INDEX($M$4:$M$2003,MATCH($Q119,$P$4:$P$2003,0)),"B","S"))))</f>
        <v/>
      </c>
      <c r="S120">
        <f>IF(Q120="","",IFERROR(MATCH(Q120,$P$4:$P$2003,0),""))</f>
        <v/>
      </c>
    </row>
    <row r="121">
      <c r="A121" s="4">
        <f>IF($R121="","",IF($R121="T","Gesamtergebnis",IF($R121="B",INDEX($M$4:$M$2003,$S121),INDEX($L$4:$L$2003,$S121))))</f>
        <v/>
      </c>
      <c r="B121" s="4">
        <f>IF($R121="","",IF($R121="T",$K$3,IF($R121="B",COUNTIFS($M$4:$M$2003,INDEX($M$4:$M$2003,$S121),$N$4:$N$2003,1),1)))</f>
        <v/>
      </c>
      <c r="L121">
        <f>IF($K$1="","",IFERROR(INDEX(Lines!$A:$AA,ROW()-2,$K$1),""))</f>
        <v/>
      </c>
      <c r="M121">
        <f>IF($K$2="","",IFERROR(INDEX(Lines!$A:$AA,ROW()-2,$K$2),""))</f>
        <v/>
      </c>
      <c r="N121">
        <f>IF(AND(L121&lt;&gt;"",LEFT(L121,1)="N",M121&lt;&gt;"PICKING",M121&lt;&gt;""),1,0)</f>
        <v/>
      </c>
      <c r="O121">
        <f>IF(N121=1,M121&amp;"|"&amp;L121,REPT("z",40))</f>
        <v/>
      </c>
      <c r="P121">
        <f>IF(N121=1,COUNTIF($O$4:$O$2003,"&lt;"&amp;O121)+1,"")</f>
        <v/>
      </c>
      <c r="Q121">
        <f>IF(OR($R120="",$R120="T"),"",IF($R120="B",$Q120,IF($Q120+1&gt;$K$3,"",$Q120+1)))</f>
        <v/>
      </c>
      <c r="R121">
        <f>IF(OR($R120="",$R120="T"),"",IF($R120="B","S",IF($Q120+1&gt;$K$3,"T",IF(INDEX($M$4:$M$2003,MATCH($Q120+1,$P$4:$P$2003,0))&lt;&gt;INDEX($M$4:$M$2003,MATCH($Q120,$P$4:$P$2003,0)),"B","S"))))</f>
        <v/>
      </c>
      <c r="S121">
        <f>IF(Q121="","",IFERROR(MATCH(Q121,$P$4:$P$2003,0),""))</f>
        <v/>
      </c>
    </row>
    <row r="122">
      <c r="A122" s="4">
        <f>IF($R122="","",IF($R122="T","Gesamtergebnis",IF($R122="B",INDEX($M$4:$M$2003,$S122),INDEX($L$4:$L$2003,$S122))))</f>
        <v/>
      </c>
      <c r="B122" s="4">
        <f>IF($R122="","",IF($R122="T",$K$3,IF($R122="B",COUNTIFS($M$4:$M$2003,INDEX($M$4:$M$2003,$S122),$N$4:$N$2003,1),1)))</f>
        <v/>
      </c>
      <c r="L122">
        <f>IF($K$1="","",IFERROR(INDEX(Lines!$A:$AA,ROW()-2,$K$1),""))</f>
        <v/>
      </c>
      <c r="M122">
        <f>IF($K$2="","",IFERROR(INDEX(Lines!$A:$AA,ROW()-2,$K$2),""))</f>
        <v/>
      </c>
      <c r="N122">
        <f>IF(AND(L122&lt;&gt;"",LEFT(L122,1)="N",M122&lt;&gt;"PICKING",M122&lt;&gt;""),1,0)</f>
        <v/>
      </c>
      <c r="O122">
        <f>IF(N122=1,M122&amp;"|"&amp;L122,REPT("z",40))</f>
        <v/>
      </c>
      <c r="P122">
        <f>IF(N122=1,COUNTIF($O$4:$O$2003,"&lt;"&amp;O122)+1,"")</f>
        <v/>
      </c>
      <c r="Q122">
        <f>IF(OR($R121="",$R121="T"),"",IF($R121="B",$Q121,IF($Q121+1&gt;$K$3,"",$Q121+1)))</f>
        <v/>
      </c>
      <c r="R122">
        <f>IF(OR($R121="",$R121="T"),"",IF($R121="B","S",IF($Q121+1&gt;$K$3,"T",IF(INDEX($M$4:$M$2003,MATCH($Q121+1,$P$4:$P$2003,0))&lt;&gt;INDEX($M$4:$M$2003,MATCH($Q121,$P$4:$P$2003,0)),"B","S"))))</f>
        <v/>
      </c>
      <c r="S122">
        <f>IF(Q122="","",IFERROR(MATCH(Q122,$P$4:$P$2003,0),""))</f>
        <v/>
      </c>
    </row>
    <row r="123">
      <c r="A123" s="4">
        <f>IF($R123="","",IF($R123="T","Gesamtergebnis",IF($R123="B",INDEX($M$4:$M$2003,$S123),INDEX($L$4:$L$2003,$S123))))</f>
        <v/>
      </c>
      <c r="B123" s="4">
        <f>IF($R123="","",IF($R123="T",$K$3,IF($R123="B",COUNTIFS($M$4:$M$2003,INDEX($M$4:$M$2003,$S123),$N$4:$N$2003,1),1)))</f>
        <v/>
      </c>
      <c r="L123">
        <f>IF($K$1="","",IFERROR(INDEX(Lines!$A:$AA,ROW()-2,$K$1),""))</f>
        <v/>
      </c>
      <c r="M123">
        <f>IF($K$2="","",IFERROR(INDEX(Lines!$A:$AA,ROW()-2,$K$2),""))</f>
        <v/>
      </c>
      <c r="N123">
        <f>IF(AND(L123&lt;&gt;"",LEFT(L123,1)="N",M123&lt;&gt;"PICKING",M123&lt;&gt;""),1,0)</f>
        <v/>
      </c>
      <c r="O123">
        <f>IF(N123=1,M123&amp;"|"&amp;L123,REPT("z",40))</f>
        <v/>
      </c>
      <c r="P123">
        <f>IF(N123=1,COUNTIF($O$4:$O$2003,"&lt;"&amp;O123)+1,"")</f>
        <v/>
      </c>
      <c r="Q123">
        <f>IF(OR($R122="",$R122="T"),"",IF($R122="B",$Q122,IF($Q122+1&gt;$K$3,"",$Q122+1)))</f>
        <v/>
      </c>
      <c r="R123">
        <f>IF(OR($R122="",$R122="T"),"",IF($R122="B","S",IF($Q122+1&gt;$K$3,"T",IF(INDEX($M$4:$M$2003,MATCH($Q122+1,$P$4:$P$2003,0))&lt;&gt;INDEX($M$4:$M$2003,MATCH($Q122,$P$4:$P$2003,0)),"B","S"))))</f>
        <v/>
      </c>
      <c r="S123">
        <f>IF(Q123="","",IFERROR(MATCH(Q123,$P$4:$P$2003,0),""))</f>
        <v/>
      </c>
    </row>
    <row r="124">
      <c r="A124" s="4">
        <f>IF($R124="","",IF($R124="T","Gesamtergebnis",IF($R124="B",INDEX($M$4:$M$2003,$S124),INDEX($L$4:$L$2003,$S124))))</f>
        <v/>
      </c>
      <c r="B124" s="4">
        <f>IF($R124="","",IF($R124="T",$K$3,IF($R124="B",COUNTIFS($M$4:$M$2003,INDEX($M$4:$M$2003,$S124),$N$4:$N$2003,1),1)))</f>
        <v/>
      </c>
      <c r="L124">
        <f>IF($K$1="","",IFERROR(INDEX(Lines!$A:$AA,ROW()-2,$K$1),""))</f>
        <v/>
      </c>
      <c r="M124">
        <f>IF($K$2="","",IFERROR(INDEX(Lines!$A:$AA,ROW()-2,$K$2),""))</f>
        <v/>
      </c>
      <c r="N124">
        <f>IF(AND(L124&lt;&gt;"",LEFT(L124,1)="N",M124&lt;&gt;"PICKING",M124&lt;&gt;""),1,0)</f>
        <v/>
      </c>
      <c r="O124">
        <f>IF(N124=1,M124&amp;"|"&amp;L124,REPT("z",40))</f>
        <v/>
      </c>
      <c r="P124">
        <f>IF(N124=1,COUNTIF($O$4:$O$2003,"&lt;"&amp;O124)+1,"")</f>
        <v/>
      </c>
      <c r="Q124">
        <f>IF(OR($R123="",$R123="T"),"",IF($R123="B",$Q123,IF($Q123+1&gt;$K$3,"",$Q123+1)))</f>
        <v/>
      </c>
      <c r="R124">
        <f>IF(OR($R123="",$R123="T"),"",IF($R123="B","S",IF($Q123+1&gt;$K$3,"T",IF(INDEX($M$4:$M$2003,MATCH($Q123+1,$P$4:$P$2003,0))&lt;&gt;INDEX($M$4:$M$2003,MATCH($Q123,$P$4:$P$2003,0)),"B","S"))))</f>
        <v/>
      </c>
      <c r="S124">
        <f>IF(Q124="","",IFERROR(MATCH(Q124,$P$4:$P$2003,0),""))</f>
        <v/>
      </c>
    </row>
    <row r="125">
      <c r="A125" s="4">
        <f>IF($R125="","",IF($R125="T","Gesamtergebnis",IF($R125="B",INDEX($M$4:$M$2003,$S125),INDEX($L$4:$L$2003,$S125))))</f>
        <v/>
      </c>
      <c r="B125" s="4">
        <f>IF($R125="","",IF($R125="T",$K$3,IF($R125="B",COUNTIFS($M$4:$M$2003,INDEX($M$4:$M$2003,$S125),$N$4:$N$2003,1),1)))</f>
        <v/>
      </c>
      <c r="L125">
        <f>IF($K$1="","",IFERROR(INDEX(Lines!$A:$AA,ROW()-2,$K$1),""))</f>
        <v/>
      </c>
      <c r="M125">
        <f>IF($K$2="","",IFERROR(INDEX(Lines!$A:$AA,ROW()-2,$K$2),""))</f>
        <v/>
      </c>
      <c r="N125">
        <f>IF(AND(L125&lt;&gt;"",LEFT(L125,1)="N",M125&lt;&gt;"PICKING",M125&lt;&gt;""),1,0)</f>
        <v/>
      </c>
      <c r="O125">
        <f>IF(N125=1,M125&amp;"|"&amp;L125,REPT("z",40))</f>
        <v/>
      </c>
      <c r="P125">
        <f>IF(N125=1,COUNTIF($O$4:$O$2003,"&lt;"&amp;O125)+1,"")</f>
        <v/>
      </c>
      <c r="Q125">
        <f>IF(OR($R124="",$R124="T"),"",IF($R124="B",$Q124,IF($Q124+1&gt;$K$3,"",$Q124+1)))</f>
        <v/>
      </c>
      <c r="R125">
        <f>IF(OR($R124="",$R124="T"),"",IF($R124="B","S",IF($Q124+1&gt;$K$3,"T",IF(INDEX($M$4:$M$2003,MATCH($Q124+1,$P$4:$P$2003,0))&lt;&gt;INDEX($M$4:$M$2003,MATCH($Q124,$P$4:$P$2003,0)),"B","S"))))</f>
        <v/>
      </c>
      <c r="S125">
        <f>IF(Q125="","",IFERROR(MATCH(Q125,$P$4:$P$2003,0),""))</f>
        <v/>
      </c>
    </row>
    <row r="126">
      <c r="A126" s="4">
        <f>IF($R126="","",IF($R126="T","Gesamtergebnis",IF($R126="B",INDEX($M$4:$M$2003,$S126),INDEX($L$4:$L$2003,$S126))))</f>
        <v/>
      </c>
      <c r="B126" s="4">
        <f>IF($R126="","",IF($R126="T",$K$3,IF($R126="B",COUNTIFS($M$4:$M$2003,INDEX($M$4:$M$2003,$S126),$N$4:$N$2003,1),1)))</f>
        <v/>
      </c>
      <c r="L126">
        <f>IF($K$1="","",IFERROR(INDEX(Lines!$A:$AA,ROW()-2,$K$1),""))</f>
        <v/>
      </c>
      <c r="M126">
        <f>IF($K$2="","",IFERROR(INDEX(Lines!$A:$AA,ROW()-2,$K$2),""))</f>
        <v/>
      </c>
      <c r="N126">
        <f>IF(AND(L126&lt;&gt;"",LEFT(L126,1)="N",M126&lt;&gt;"PICKING",M126&lt;&gt;""),1,0)</f>
        <v/>
      </c>
      <c r="O126">
        <f>IF(N126=1,M126&amp;"|"&amp;L126,REPT("z",40))</f>
        <v/>
      </c>
      <c r="P126">
        <f>IF(N126=1,COUNTIF($O$4:$O$2003,"&lt;"&amp;O126)+1,"")</f>
        <v/>
      </c>
      <c r="Q126">
        <f>IF(OR($R125="",$R125="T"),"",IF($R125="B",$Q125,IF($Q125+1&gt;$K$3,"",$Q125+1)))</f>
        <v/>
      </c>
      <c r="R126">
        <f>IF(OR($R125="",$R125="T"),"",IF($R125="B","S",IF($Q125+1&gt;$K$3,"T",IF(INDEX($M$4:$M$2003,MATCH($Q125+1,$P$4:$P$2003,0))&lt;&gt;INDEX($M$4:$M$2003,MATCH($Q125,$P$4:$P$2003,0)),"B","S"))))</f>
        <v/>
      </c>
      <c r="S126">
        <f>IF(Q126="","",IFERROR(MATCH(Q126,$P$4:$P$2003,0),""))</f>
        <v/>
      </c>
    </row>
    <row r="127">
      <c r="A127" s="4">
        <f>IF($R127="","",IF($R127="T","Gesamtergebnis",IF($R127="B",INDEX($M$4:$M$2003,$S127),INDEX($L$4:$L$2003,$S127))))</f>
        <v/>
      </c>
      <c r="B127" s="4">
        <f>IF($R127="","",IF($R127="T",$K$3,IF($R127="B",COUNTIFS($M$4:$M$2003,INDEX($M$4:$M$2003,$S127),$N$4:$N$2003,1),1)))</f>
        <v/>
      </c>
      <c r="L127">
        <f>IF($K$1="","",IFERROR(INDEX(Lines!$A:$AA,ROW()-2,$K$1),""))</f>
        <v/>
      </c>
      <c r="M127">
        <f>IF($K$2="","",IFERROR(INDEX(Lines!$A:$AA,ROW()-2,$K$2),""))</f>
        <v/>
      </c>
      <c r="N127">
        <f>IF(AND(L127&lt;&gt;"",LEFT(L127,1)="N",M127&lt;&gt;"PICKING",M127&lt;&gt;""),1,0)</f>
        <v/>
      </c>
      <c r="O127">
        <f>IF(N127=1,M127&amp;"|"&amp;L127,REPT("z",40))</f>
        <v/>
      </c>
      <c r="P127">
        <f>IF(N127=1,COUNTIF($O$4:$O$2003,"&lt;"&amp;O127)+1,"")</f>
        <v/>
      </c>
      <c r="Q127">
        <f>IF(OR($R126="",$R126="T"),"",IF($R126="B",$Q126,IF($Q126+1&gt;$K$3,"",$Q126+1)))</f>
        <v/>
      </c>
      <c r="R127">
        <f>IF(OR($R126="",$R126="T"),"",IF($R126="B","S",IF($Q126+1&gt;$K$3,"T",IF(INDEX($M$4:$M$2003,MATCH($Q126+1,$P$4:$P$2003,0))&lt;&gt;INDEX($M$4:$M$2003,MATCH($Q126,$P$4:$P$2003,0)),"B","S"))))</f>
        <v/>
      </c>
      <c r="S127">
        <f>IF(Q127="","",IFERROR(MATCH(Q127,$P$4:$P$2003,0),""))</f>
        <v/>
      </c>
    </row>
    <row r="128">
      <c r="A128" s="4">
        <f>IF($R128="","",IF($R128="T","Gesamtergebnis",IF($R128="B",INDEX($M$4:$M$2003,$S128),INDEX($L$4:$L$2003,$S128))))</f>
        <v/>
      </c>
      <c r="B128" s="4">
        <f>IF($R128="","",IF($R128="T",$K$3,IF($R128="B",COUNTIFS($M$4:$M$2003,INDEX($M$4:$M$2003,$S128),$N$4:$N$2003,1),1)))</f>
        <v/>
      </c>
      <c r="L128">
        <f>IF($K$1="","",IFERROR(INDEX(Lines!$A:$AA,ROW()-2,$K$1),""))</f>
        <v/>
      </c>
      <c r="M128">
        <f>IF($K$2="","",IFERROR(INDEX(Lines!$A:$AA,ROW()-2,$K$2),""))</f>
        <v/>
      </c>
      <c r="N128">
        <f>IF(AND(L128&lt;&gt;"",LEFT(L128,1)="N",M128&lt;&gt;"PICKING",M128&lt;&gt;""),1,0)</f>
        <v/>
      </c>
      <c r="O128">
        <f>IF(N128=1,M128&amp;"|"&amp;L128,REPT("z",40))</f>
        <v/>
      </c>
      <c r="P128">
        <f>IF(N128=1,COUNTIF($O$4:$O$2003,"&lt;"&amp;O128)+1,"")</f>
        <v/>
      </c>
      <c r="Q128">
        <f>IF(OR($R127="",$R127="T"),"",IF($R127="B",$Q127,IF($Q127+1&gt;$K$3,"",$Q127+1)))</f>
        <v/>
      </c>
      <c r="R128">
        <f>IF(OR($R127="",$R127="T"),"",IF($R127="B","S",IF($Q127+1&gt;$K$3,"T",IF(INDEX($M$4:$M$2003,MATCH($Q127+1,$P$4:$P$2003,0))&lt;&gt;INDEX($M$4:$M$2003,MATCH($Q127,$P$4:$P$2003,0)),"B","S"))))</f>
        <v/>
      </c>
      <c r="S128">
        <f>IF(Q128="","",IFERROR(MATCH(Q128,$P$4:$P$2003,0),""))</f>
        <v/>
      </c>
    </row>
    <row r="129">
      <c r="A129" s="4">
        <f>IF($R129="","",IF($R129="T","Gesamtergebnis",IF($R129="B",INDEX($M$4:$M$2003,$S129),INDEX($L$4:$L$2003,$S129))))</f>
        <v/>
      </c>
      <c r="B129" s="4">
        <f>IF($R129="","",IF($R129="T",$K$3,IF($R129="B",COUNTIFS($M$4:$M$2003,INDEX($M$4:$M$2003,$S129),$N$4:$N$2003,1),1)))</f>
        <v/>
      </c>
      <c r="L129">
        <f>IF($K$1="","",IFERROR(INDEX(Lines!$A:$AA,ROW()-2,$K$1),""))</f>
        <v/>
      </c>
      <c r="M129">
        <f>IF($K$2="","",IFERROR(INDEX(Lines!$A:$AA,ROW()-2,$K$2),""))</f>
        <v/>
      </c>
      <c r="N129">
        <f>IF(AND(L129&lt;&gt;"",LEFT(L129,1)="N",M129&lt;&gt;"PICKING",M129&lt;&gt;""),1,0)</f>
        <v/>
      </c>
      <c r="O129">
        <f>IF(N129=1,M129&amp;"|"&amp;L129,REPT("z",40))</f>
        <v/>
      </c>
      <c r="P129">
        <f>IF(N129=1,COUNTIF($O$4:$O$2003,"&lt;"&amp;O129)+1,"")</f>
        <v/>
      </c>
      <c r="Q129">
        <f>IF(OR($R128="",$R128="T"),"",IF($R128="B",$Q128,IF($Q128+1&gt;$K$3,"",$Q128+1)))</f>
        <v/>
      </c>
      <c r="R129">
        <f>IF(OR($R128="",$R128="T"),"",IF($R128="B","S",IF($Q128+1&gt;$K$3,"T",IF(INDEX($M$4:$M$2003,MATCH($Q128+1,$P$4:$P$2003,0))&lt;&gt;INDEX($M$4:$M$2003,MATCH($Q128,$P$4:$P$2003,0)),"B","S"))))</f>
        <v/>
      </c>
      <c r="S129">
        <f>IF(Q129="","",IFERROR(MATCH(Q129,$P$4:$P$2003,0),""))</f>
        <v/>
      </c>
    </row>
    <row r="130">
      <c r="A130" s="4">
        <f>IF($R130="","",IF($R130="T","Gesamtergebnis",IF($R130="B",INDEX($M$4:$M$2003,$S130),INDEX($L$4:$L$2003,$S130))))</f>
        <v/>
      </c>
      <c r="B130" s="4">
        <f>IF($R130="","",IF($R130="T",$K$3,IF($R130="B",COUNTIFS($M$4:$M$2003,INDEX($M$4:$M$2003,$S130),$N$4:$N$2003,1),1)))</f>
        <v/>
      </c>
      <c r="L130">
        <f>IF($K$1="","",IFERROR(INDEX(Lines!$A:$AA,ROW()-2,$K$1),""))</f>
        <v/>
      </c>
      <c r="M130">
        <f>IF($K$2="","",IFERROR(INDEX(Lines!$A:$AA,ROW()-2,$K$2),""))</f>
        <v/>
      </c>
      <c r="N130">
        <f>IF(AND(L130&lt;&gt;"",LEFT(L130,1)="N",M130&lt;&gt;"PICKING",M130&lt;&gt;""),1,0)</f>
        <v/>
      </c>
      <c r="O130">
        <f>IF(N130=1,M130&amp;"|"&amp;L130,REPT("z",40))</f>
        <v/>
      </c>
      <c r="P130">
        <f>IF(N130=1,COUNTIF($O$4:$O$2003,"&lt;"&amp;O130)+1,"")</f>
        <v/>
      </c>
      <c r="Q130">
        <f>IF(OR($R129="",$R129="T"),"",IF($R129="B",$Q129,IF($Q129+1&gt;$K$3,"",$Q129+1)))</f>
        <v/>
      </c>
      <c r="R130">
        <f>IF(OR($R129="",$R129="T"),"",IF($R129="B","S",IF($Q129+1&gt;$K$3,"T",IF(INDEX($M$4:$M$2003,MATCH($Q129+1,$P$4:$P$2003,0))&lt;&gt;INDEX($M$4:$M$2003,MATCH($Q129,$P$4:$P$2003,0)),"B","S"))))</f>
        <v/>
      </c>
      <c r="S130">
        <f>IF(Q130="","",IFERROR(MATCH(Q130,$P$4:$P$2003,0),""))</f>
        <v/>
      </c>
    </row>
    <row r="131">
      <c r="A131" s="4">
        <f>IF($R131="","",IF($R131="T","Gesamtergebnis",IF($R131="B",INDEX($M$4:$M$2003,$S131),INDEX($L$4:$L$2003,$S131))))</f>
        <v/>
      </c>
      <c r="B131" s="4">
        <f>IF($R131="","",IF($R131="T",$K$3,IF($R131="B",COUNTIFS($M$4:$M$2003,INDEX($M$4:$M$2003,$S131),$N$4:$N$2003,1),1)))</f>
        <v/>
      </c>
      <c r="L131">
        <f>IF($K$1="","",IFERROR(INDEX(Lines!$A:$AA,ROW()-2,$K$1),""))</f>
        <v/>
      </c>
      <c r="M131">
        <f>IF($K$2="","",IFERROR(INDEX(Lines!$A:$AA,ROW()-2,$K$2),""))</f>
        <v/>
      </c>
      <c r="N131">
        <f>IF(AND(L131&lt;&gt;"",LEFT(L131,1)="N",M131&lt;&gt;"PICKING",M131&lt;&gt;""),1,0)</f>
        <v/>
      </c>
      <c r="O131">
        <f>IF(N131=1,M131&amp;"|"&amp;L131,REPT("z",40))</f>
        <v/>
      </c>
      <c r="P131">
        <f>IF(N131=1,COUNTIF($O$4:$O$2003,"&lt;"&amp;O131)+1,"")</f>
        <v/>
      </c>
      <c r="Q131">
        <f>IF(OR($R130="",$R130="T"),"",IF($R130="B",$Q130,IF($Q130+1&gt;$K$3,"",$Q130+1)))</f>
        <v/>
      </c>
      <c r="R131">
        <f>IF(OR($R130="",$R130="T"),"",IF($R130="B","S",IF($Q130+1&gt;$K$3,"T",IF(INDEX($M$4:$M$2003,MATCH($Q130+1,$P$4:$P$2003,0))&lt;&gt;INDEX($M$4:$M$2003,MATCH($Q130,$P$4:$P$2003,0)),"B","S"))))</f>
        <v/>
      </c>
      <c r="S131">
        <f>IF(Q131="","",IFERROR(MATCH(Q131,$P$4:$P$2003,0),""))</f>
        <v/>
      </c>
    </row>
    <row r="132">
      <c r="A132" s="4">
        <f>IF($R132="","",IF($R132="T","Gesamtergebnis",IF($R132="B",INDEX($M$4:$M$2003,$S132),INDEX($L$4:$L$2003,$S132))))</f>
        <v/>
      </c>
      <c r="B132" s="4">
        <f>IF($R132="","",IF($R132="T",$K$3,IF($R132="B",COUNTIFS($M$4:$M$2003,INDEX($M$4:$M$2003,$S132),$N$4:$N$2003,1),1)))</f>
        <v/>
      </c>
      <c r="L132">
        <f>IF($K$1="","",IFERROR(INDEX(Lines!$A:$AA,ROW()-2,$K$1),""))</f>
        <v/>
      </c>
      <c r="M132">
        <f>IF($K$2="","",IFERROR(INDEX(Lines!$A:$AA,ROW()-2,$K$2),""))</f>
        <v/>
      </c>
      <c r="N132">
        <f>IF(AND(L132&lt;&gt;"",LEFT(L132,1)="N",M132&lt;&gt;"PICKING",M132&lt;&gt;""),1,0)</f>
        <v/>
      </c>
      <c r="O132">
        <f>IF(N132=1,M132&amp;"|"&amp;L132,REPT("z",40))</f>
        <v/>
      </c>
      <c r="P132">
        <f>IF(N132=1,COUNTIF($O$4:$O$2003,"&lt;"&amp;O132)+1,"")</f>
        <v/>
      </c>
      <c r="Q132">
        <f>IF(OR($R131="",$R131="T"),"",IF($R131="B",$Q131,IF($Q131+1&gt;$K$3,"",$Q131+1)))</f>
        <v/>
      </c>
      <c r="R132">
        <f>IF(OR($R131="",$R131="T"),"",IF($R131="B","S",IF($Q131+1&gt;$K$3,"T",IF(INDEX($M$4:$M$2003,MATCH($Q131+1,$P$4:$P$2003,0))&lt;&gt;INDEX($M$4:$M$2003,MATCH($Q131,$P$4:$P$2003,0)),"B","S"))))</f>
        <v/>
      </c>
      <c r="S132">
        <f>IF(Q132="","",IFERROR(MATCH(Q132,$P$4:$P$2003,0),""))</f>
        <v/>
      </c>
    </row>
    <row r="133">
      <c r="A133" s="4">
        <f>IF($R133="","",IF($R133="T","Gesamtergebnis",IF($R133="B",INDEX($M$4:$M$2003,$S133),INDEX($L$4:$L$2003,$S133))))</f>
        <v/>
      </c>
      <c r="B133" s="4">
        <f>IF($R133="","",IF($R133="T",$K$3,IF($R133="B",COUNTIFS($M$4:$M$2003,INDEX($M$4:$M$2003,$S133),$N$4:$N$2003,1),1)))</f>
        <v/>
      </c>
      <c r="L133">
        <f>IF($K$1="","",IFERROR(INDEX(Lines!$A:$AA,ROW()-2,$K$1),""))</f>
        <v/>
      </c>
      <c r="M133">
        <f>IF($K$2="","",IFERROR(INDEX(Lines!$A:$AA,ROW()-2,$K$2),""))</f>
        <v/>
      </c>
      <c r="N133">
        <f>IF(AND(L133&lt;&gt;"",LEFT(L133,1)="N",M133&lt;&gt;"PICKING",M133&lt;&gt;""),1,0)</f>
        <v/>
      </c>
      <c r="O133">
        <f>IF(N133=1,M133&amp;"|"&amp;L133,REPT("z",40))</f>
        <v/>
      </c>
      <c r="P133">
        <f>IF(N133=1,COUNTIF($O$4:$O$2003,"&lt;"&amp;O133)+1,"")</f>
        <v/>
      </c>
      <c r="Q133">
        <f>IF(OR($R132="",$R132="T"),"",IF($R132="B",$Q132,IF($Q132+1&gt;$K$3,"",$Q132+1)))</f>
        <v/>
      </c>
      <c r="R133">
        <f>IF(OR($R132="",$R132="T"),"",IF($R132="B","S",IF($Q132+1&gt;$K$3,"T",IF(INDEX($M$4:$M$2003,MATCH($Q132+1,$P$4:$P$2003,0))&lt;&gt;INDEX($M$4:$M$2003,MATCH($Q132,$P$4:$P$2003,0)),"B","S"))))</f>
        <v/>
      </c>
      <c r="S133">
        <f>IF(Q133="","",IFERROR(MATCH(Q133,$P$4:$P$2003,0),""))</f>
        <v/>
      </c>
    </row>
    <row r="134">
      <c r="A134" s="4">
        <f>IF($R134="","",IF($R134="T","Gesamtergebnis",IF($R134="B",INDEX($M$4:$M$2003,$S134),INDEX($L$4:$L$2003,$S134))))</f>
        <v/>
      </c>
      <c r="B134" s="4">
        <f>IF($R134="","",IF($R134="T",$K$3,IF($R134="B",COUNTIFS($M$4:$M$2003,INDEX($M$4:$M$2003,$S134),$N$4:$N$2003,1),1)))</f>
        <v/>
      </c>
      <c r="L134">
        <f>IF($K$1="","",IFERROR(INDEX(Lines!$A:$AA,ROW()-2,$K$1),""))</f>
        <v/>
      </c>
      <c r="M134">
        <f>IF($K$2="","",IFERROR(INDEX(Lines!$A:$AA,ROW()-2,$K$2),""))</f>
        <v/>
      </c>
      <c r="N134">
        <f>IF(AND(L134&lt;&gt;"",LEFT(L134,1)="N",M134&lt;&gt;"PICKING",M134&lt;&gt;""),1,0)</f>
        <v/>
      </c>
      <c r="O134">
        <f>IF(N134=1,M134&amp;"|"&amp;L134,REPT("z",40))</f>
        <v/>
      </c>
      <c r="P134">
        <f>IF(N134=1,COUNTIF($O$4:$O$2003,"&lt;"&amp;O134)+1,"")</f>
        <v/>
      </c>
      <c r="Q134">
        <f>IF(OR($R133="",$R133="T"),"",IF($R133="B",$Q133,IF($Q133+1&gt;$K$3,"",$Q133+1)))</f>
        <v/>
      </c>
      <c r="R134">
        <f>IF(OR($R133="",$R133="T"),"",IF($R133="B","S",IF($Q133+1&gt;$K$3,"T",IF(INDEX($M$4:$M$2003,MATCH($Q133+1,$P$4:$P$2003,0))&lt;&gt;INDEX($M$4:$M$2003,MATCH($Q133,$P$4:$P$2003,0)),"B","S"))))</f>
        <v/>
      </c>
      <c r="S134">
        <f>IF(Q134="","",IFERROR(MATCH(Q134,$P$4:$P$2003,0),""))</f>
        <v/>
      </c>
    </row>
    <row r="135">
      <c r="A135" s="4">
        <f>IF($R135="","",IF($R135="T","Gesamtergebnis",IF($R135="B",INDEX($M$4:$M$2003,$S135),INDEX($L$4:$L$2003,$S135))))</f>
        <v/>
      </c>
      <c r="B135" s="4">
        <f>IF($R135="","",IF($R135="T",$K$3,IF($R135="B",COUNTIFS($M$4:$M$2003,INDEX($M$4:$M$2003,$S135),$N$4:$N$2003,1),1)))</f>
        <v/>
      </c>
      <c r="L135">
        <f>IF($K$1="","",IFERROR(INDEX(Lines!$A:$AA,ROW()-2,$K$1),""))</f>
        <v/>
      </c>
      <c r="M135">
        <f>IF($K$2="","",IFERROR(INDEX(Lines!$A:$AA,ROW()-2,$K$2),""))</f>
        <v/>
      </c>
      <c r="N135">
        <f>IF(AND(L135&lt;&gt;"",LEFT(L135,1)="N",M135&lt;&gt;"PICKING",M135&lt;&gt;""),1,0)</f>
        <v/>
      </c>
      <c r="O135">
        <f>IF(N135=1,M135&amp;"|"&amp;L135,REPT("z",40))</f>
        <v/>
      </c>
      <c r="P135">
        <f>IF(N135=1,COUNTIF($O$4:$O$2003,"&lt;"&amp;O135)+1,"")</f>
        <v/>
      </c>
      <c r="Q135">
        <f>IF(OR($R134="",$R134="T"),"",IF($R134="B",$Q134,IF($Q134+1&gt;$K$3,"",$Q134+1)))</f>
        <v/>
      </c>
      <c r="R135">
        <f>IF(OR($R134="",$R134="T"),"",IF($R134="B","S",IF($Q134+1&gt;$K$3,"T",IF(INDEX($M$4:$M$2003,MATCH($Q134+1,$P$4:$P$2003,0))&lt;&gt;INDEX($M$4:$M$2003,MATCH($Q134,$P$4:$P$2003,0)),"B","S"))))</f>
        <v/>
      </c>
      <c r="S135">
        <f>IF(Q135="","",IFERROR(MATCH(Q135,$P$4:$P$2003,0),""))</f>
        <v/>
      </c>
    </row>
    <row r="136">
      <c r="A136" s="4">
        <f>IF($R136="","",IF($R136="T","Gesamtergebnis",IF($R136="B",INDEX($M$4:$M$2003,$S136),INDEX($L$4:$L$2003,$S136))))</f>
        <v/>
      </c>
      <c r="B136" s="4">
        <f>IF($R136="","",IF($R136="T",$K$3,IF($R136="B",COUNTIFS($M$4:$M$2003,INDEX($M$4:$M$2003,$S136),$N$4:$N$2003,1),1)))</f>
        <v/>
      </c>
      <c r="L136">
        <f>IF($K$1="","",IFERROR(INDEX(Lines!$A:$AA,ROW()-2,$K$1),""))</f>
        <v/>
      </c>
      <c r="M136">
        <f>IF($K$2="","",IFERROR(INDEX(Lines!$A:$AA,ROW()-2,$K$2),""))</f>
        <v/>
      </c>
      <c r="N136">
        <f>IF(AND(L136&lt;&gt;"",LEFT(L136,1)="N",M136&lt;&gt;"PICKING",M136&lt;&gt;""),1,0)</f>
        <v/>
      </c>
      <c r="O136">
        <f>IF(N136=1,M136&amp;"|"&amp;L136,REPT("z",40))</f>
        <v/>
      </c>
      <c r="P136">
        <f>IF(N136=1,COUNTIF($O$4:$O$2003,"&lt;"&amp;O136)+1,"")</f>
        <v/>
      </c>
      <c r="Q136">
        <f>IF(OR($R135="",$R135="T"),"",IF($R135="B",$Q135,IF($Q135+1&gt;$K$3,"",$Q135+1)))</f>
        <v/>
      </c>
      <c r="R136">
        <f>IF(OR($R135="",$R135="T"),"",IF($R135="B","S",IF($Q135+1&gt;$K$3,"T",IF(INDEX($M$4:$M$2003,MATCH($Q135+1,$P$4:$P$2003,0))&lt;&gt;INDEX($M$4:$M$2003,MATCH($Q135,$P$4:$P$2003,0)),"B","S"))))</f>
        <v/>
      </c>
      <c r="S136">
        <f>IF(Q136="","",IFERROR(MATCH(Q136,$P$4:$P$2003,0),""))</f>
        <v/>
      </c>
    </row>
    <row r="137">
      <c r="A137" s="4">
        <f>IF($R137="","",IF($R137="T","Gesamtergebnis",IF($R137="B",INDEX($M$4:$M$2003,$S137),INDEX($L$4:$L$2003,$S137))))</f>
        <v/>
      </c>
      <c r="B137" s="4">
        <f>IF($R137="","",IF($R137="T",$K$3,IF($R137="B",COUNTIFS($M$4:$M$2003,INDEX($M$4:$M$2003,$S137),$N$4:$N$2003,1),1)))</f>
        <v/>
      </c>
      <c r="L137">
        <f>IF($K$1="","",IFERROR(INDEX(Lines!$A:$AA,ROW()-2,$K$1),""))</f>
        <v/>
      </c>
      <c r="M137">
        <f>IF($K$2="","",IFERROR(INDEX(Lines!$A:$AA,ROW()-2,$K$2),""))</f>
        <v/>
      </c>
      <c r="N137">
        <f>IF(AND(L137&lt;&gt;"",LEFT(L137,1)="N",M137&lt;&gt;"PICKING",M137&lt;&gt;""),1,0)</f>
        <v/>
      </c>
      <c r="O137">
        <f>IF(N137=1,M137&amp;"|"&amp;L137,REPT("z",40))</f>
        <v/>
      </c>
      <c r="P137">
        <f>IF(N137=1,COUNTIF($O$4:$O$2003,"&lt;"&amp;O137)+1,"")</f>
        <v/>
      </c>
      <c r="Q137">
        <f>IF(OR($R136="",$R136="T"),"",IF($R136="B",$Q136,IF($Q136+1&gt;$K$3,"",$Q136+1)))</f>
        <v/>
      </c>
      <c r="R137">
        <f>IF(OR($R136="",$R136="T"),"",IF($R136="B","S",IF($Q136+1&gt;$K$3,"T",IF(INDEX($M$4:$M$2003,MATCH($Q136+1,$P$4:$P$2003,0))&lt;&gt;INDEX($M$4:$M$2003,MATCH($Q136,$P$4:$P$2003,0)),"B","S"))))</f>
        <v/>
      </c>
      <c r="S137">
        <f>IF(Q137="","",IFERROR(MATCH(Q137,$P$4:$P$2003,0),""))</f>
        <v/>
      </c>
    </row>
    <row r="138">
      <c r="A138" s="4">
        <f>IF($R138="","",IF($R138="T","Gesamtergebnis",IF($R138="B",INDEX($M$4:$M$2003,$S138),INDEX($L$4:$L$2003,$S138))))</f>
        <v/>
      </c>
      <c r="B138" s="4">
        <f>IF($R138="","",IF($R138="T",$K$3,IF($R138="B",COUNTIFS($M$4:$M$2003,INDEX($M$4:$M$2003,$S138),$N$4:$N$2003,1),1)))</f>
        <v/>
      </c>
      <c r="L138">
        <f>IF($K$1="","",IFERROR(INDEX(Lines!$A:$AA,ROW()-2,$K$1),""))</f>
        <v/>
      </c>
      <c r="M138">
        <f>IF($K$2="","",IFERROR(INDEX(Lines!$A:$AA,ROW()-2,$K$2),""))</f>
        <v/>
      </c>
      <c r="N138">
        <f>IF(AND(L138&lt;&gt;"",LEFT(L138,1)="N",M138&lt;&gt;"PICKING",M138&lt;&gt;""),1,0)</f>
        <v/>
      </c>
      <c r="O138">
        <f>IF(N138=1,M138&amp;"|"&amp;L138,REPT("z",40))</f>
        <v/>
      </c>
      <c r="P138">
        <f>IF(N138=1,COUNTIF($O$4:$O$2003,"&lt;"&amp;O138)+1,"")</f>
        <v/>
      </c>
      <c r="Q138">
        <f>IF(OR($R137="",$R137="T"),"",IF($R137="B",$Q137,IF($Q137+1&gt;$K$3,"",$Q137+1)))</f>
        <v/>
      </c>
      <c r="R138">
        <f>IF(OR($R137="",$R137="T"),"",IF($R137="B","S",IF($Q137+1&gt;$K$3,"T",IF(INDEX($M$4:$M$2003,MATCH($Q137+1,$P$4:$P$2003,0))&lt;&gt;INDEX($M$4:$M$2003,MATCH($Q137,$P$4:$P$2003,0)),"B","S"))))</f>
        <v/>
      </c>
      <c r="S138">
        <f>IF(Q138="","",IFERROR(MATCH(Q138,$P$4:$P$2003,0),""))</f>
        <v/>
      </c>
    </row>
    <row r="139">
      <c r="A139" s="4">
        <f>IF($R139="","",IF($R139="T","Gesamtergebnis",IF($R139="B",INDEX($M$4:$M$2003,$S139),INDEX($L$4:$L$2003,$S139))))</f>
        <v/>
      </c>
      <c r="B139" s="4">
        <f>IF($R139="","",IF($R139="T",$K$3,IF($R139="B",COUNTIFS($M$4:$M$2003,INDEX($M$4:$M$2003,$S139),$N$4:$N$2003,1),1)))</f>
        <v/>
      </c>
      <c r="L139">
        <f>IF($K$1="","",IFERROR(INDEX(Lines!$A:$AA,ROW()-2,$K$1),""))</f>
        <v/>
      </c>
      <c r="M139">
        <f>IF($K$2="","",IFERROR(INDEX(Lines!$A:$AA,ROW()-2,$K$2),""))</f>
        <v/>
      </c>
      <c r="N139">
        <f>IF(AND(L139&lt;&gt;"",LEFT(L139,1)="N",M139&lt;&gt;"PICKING",M139&lt;&gt;""),1,0)</f>
        <v/>
      </c>
      <c r="O139">
        <f>IF(N139=1,M139&amp;"|"&amp;L139,REPT("z",40))</f>
        <v/>
      </c>
      <c r="P139">
        <f>IF(N139=1,COUNTIF($O$4:$O$2003,"&lt;"&amp;O139)+1,"")</f>
        <v/>
      </c>
      <c r="Q139">
        <f>IF(OR($R138="",$R138="T"),"",IF($R138="B",$Q138,IF($Q138+1&gt;$K$3,"",$Q138+1)))</f>
        <v/>
      </c>
      <c r="R139">
        <f>IF(OR($R138="",$R138="T"),"",IF($R138="B","S",IF($Q138+1&gt;$K$3,"T",IF(INDEX($M$4:$M$2003,MATCH($Q138+1,$P$4:$P$2003,0))&lt;&gt;INDEX($M$4:$M$2003,MATCH($Q138,$P$4:$P$2003,0)),"B","S"))))</f>
        <v/>
      </c>
      <c r="S139">
        <f>IF(Q139="","",IFERROR(MATCH(Q139,$P$4:$P$2003,0),""))</f>
        <v/>
      </c>
    </row>
    <row r="140">
      <c r="A140" s="4">
        <f>IF($R140="","",IF($R140="T","Gesamtergebnis",IF($R140="B",INDEX($M$4:$M$2003,$S140),INDEX($L$4:$L$2003,$S140))))</f>
        <v/>
      </c>
      <c r="B140" s="4">
        <f>IF($R140="","",IF($R140="T",$K$3,IF($R140="B",COUNTIFS($M$4:$M$2003,INDEX($M$4:$M$2003,$S140),$N$4:$N$2003,1),1)))</f>
        <v/>
      </c>
      <c r="L140">
        <f>IF($K$1="","",IFERROR(INDEX(Lines!$A:$AA,ROW()-2,$K$1),""))</f>
        <v/>
      </c>
      <c r="M140">
        <f>IF($K$2="","",IFERROR(INDEX(Lines!$A:$AA,ROW()-2,$K$2),""))</f>
        <v/>
      </c>
      <c r="N140">
        <f>IF(AND(L140&lt;&gt;"",LEFT(L140,1)="N",M140&lt;&gt;"PICKING",M140&lt;&gt;""),1,0)</f>
        <v/>
      </c>
      <c r="O140">
        <f>IF(N140=1,M140&amp;"|"&amp;L140,REPT("z",40))</f>
        <v/>
      </c>
      <c r="P140">
        <f>IF(N140=1,COUNTIF($O$4:$O$2003,"&lt;"&amp;O140)+1,"")</f>
        <v/>
      </c>
      <c r="Q140">
        <f>IF(OR($R139="",$R139="T"),"",IF($R139="B",$Q139,IF($Q139+1&gt;$K$3,"",$Q139+1)))</f>
        <v/>
      </c>
      <c r="R140">
        <f>IF(OR($R139="",$R139="T"),"",IF($R139="B","S",IF($Q139+1&gt;$K$3,"T",IF(INDEX($M$4:$M$2003,MATCH($Q139+1,$P$4:$P$2003,0))&lt;&gt;INDEX($M$4:$M$2003,MATCH($Q139,$P$4:$P$2003,0)),"B","S"))))</f>
        <v/>
      </c>
      <c r="S140">
        <f>IF(Q140="","",IFERROR(MATCH(Q140,$P$4:$P$2003,0),""))</f>
        <v/>
      </c>
    </row>
    <row r="141">
      <c r="A141" s="4">
        <f>IF($R141="","",IF($R141="T","Gesamtergebnis",IF($R141="B",INDEX($M$4:$M$2003,$S141),INDEX($L$4:$L$2003,$S141))))</f>
        <v/>
      </c>
      <c r="B141" s="4">
        <f>IF($R141="","",IF($R141="T",$K$3,IF($R141="B",COUNTIFS($M$4:$M$2003,INDEX($M$4:$M$2003,$S141),$N$4:$N$2003,1),1)))</f>
        <v/>
      </c>
      <c r="L141">
        <f>IF($K$1="","",IFERROR(INDEX(Lines!$A:$AA,ROW()-2,$K$1),""))</f>
        <v/>
      </c>
      <c r="M141">
        <f>IF($K$2="","",IFERROR(INDEX(Lines!$A:$AA,ROW()-2,$K$2),""))</f>
        <v/>
      </c>
      <c r="N141">
        <f>IF(AND(L141&lt;&gt;"",LEFT(L141,1)="N",M141&lt;&gt;"PICKING",M141&lt;&gt;""),1,0)</f>
        <v/>
      </c>
      <c r="O141">
        <f>IF(N141=1,M141&amp;"|"&amp;L141,REPT("z",40))</f>
        <v/>
      </c>
      <c r="P141">
        <f>IF(N141=1,COUNTIF($O$4:$O$2003,"&lt;"&amp;O141)+1,"")</f>
        <v/>
      </c>
      <c r="Q141">
        <f>IF(OR($R140="",$R140="T"),"",IF($R140="B",$Q140,IF($Q140+1&gt;$K$3,"",$Q140+1)))</f>
        <v/>
      </c>
      <c r="R141">
        <f>IF(OR($R140="",$R140="T"),"",IF($R140="B","S",IF($Q140+1&gt;$K$3,"T",IF(INDEX($M$4:$M$2003,MATCH($Q140+1,$P$4:$P$2003,0))&lt;&gt;INDEX($M$4:$M$2003,MATCH($Q140,$P$4:$P$2003,0)),"B","S"))))</f>
        <v/>
      </c>
      <c r="S141">
        <f>IF(Q141="","",IFERROR(MATCH(Q141,$P$4:$P$2003,0),""))</f>
        <v/>
      </c>
    </row>
    <row r="142">
      <c r="A142" s="4">
        <f>IF($R142="","",IF($R142="T","Gesamtergebnis",IF($R142="B",INDEX($M$4:$M$2003,$S142),INDEX($L$4:$L$2003,$S142))))</f>
        <v/>
      </c>
      <c r="B142" s="4">
        <f>IF($R142="","",IF($R142="T",$K$3,IF($R142="B",COUNTIFS($M$4:$M$2003,INDEX($M$4:$M$2003,$S142),$N$4:$N$2003,1),1)))</f>
        <v/>
      </c>
      <c r="L142">
        <f>IF($K$1="","",IFERROR(INDEX(Lines!$A:$AA,ROW()-2,$K$1),""))</f>
        <v/>
      </c>
      <c r="M142">
        <f>IF($K$2="","",IFERROR(INDEX(Lines!$A:$AA,ROW()-2,$K$2),""))</f>
        <v/>
      </c>
      <c r="N142">
        <f>IF(AND(L142&lt;&gt;"",LEFT(L142,1)="N",M142&lt;&gt;"PICKING",M142&lt;&gt;""),1,0)</f>
        <v/>
      </c>
      <c r="O142">
        <f>IF(N142=1,M142&amp;"|"&amp;L142,REPT("z",40))</f>
        <v/>
      </c>
      <c r="P142">
        <f>IF(N142=1,COUNTIF($O$4:$O$2003,"&lt;"&amp;O142)+1,"")</f>
        <v/>
      </c>
      <c r="Q142">
        <f>IF(OR($R141="",$R141="T"),"",IF($R141="B",$Q141,IF($Q141+1&gt;$K$3,"",$Q141+1)))</f>
        <v/>
      </c>
      <c r="R142">
        <f>IF(OR($R141="",$R141="T"),"",IF($R141="B","S",IF($Q141+1&gt;$K$3,"T",IF(INDEX($M$4:$M$2003,MATCH($Q141+1,$P$4:$P$2003,0))&lt;&gt;INDEX($M$4:$M$2003,MATCH($Q141,$P$4:$P$2003,0)),"B","S"))))</f>
        <v/>
      </c>
      <c r="S142">
        <f>IF(Q142="","",IFERROR(MATCH(Q142,$P$4:$P$2003,0),""))</f>
        <v/>
      </c>
    </row>
    <row r="143">
      <c r="A143" s="4">
        <f>IF($R143="","",IF($R143="T","Gesamtergebnis",IF($R143="B",INDEX($M$4:$M$2003,$S143),INDEX($L$4:$L$2003,$S143))))</f>
        <v/>
      </c>
      <c r="B143" s="4">
        <f>IF($R143="","",IF($R143="T",$K$3,IF($R143="B",COUNTIFS($M$4:$M$2003,INDEX($M$4:$M$2003,$S143),$N$4:$N$2003,1),1)))</f>
        <v/>
      </c>
      <c r="L143">
        <f>IF($K$1="","",IFERROR(INDEX(Lines!$A:$AA,ROW()-2,$K$1),""))</f>
        <v/>
      </c>
      <c r="M143">
        <f>IF($K$2="","",IFERROR(INDEX(Lines!$A:$AA,ROW()-2,$K$2),""))</f>
        <v/>
      </c>
      <c r="N143">
        <f>IF(AND(L143&lt;&gt;"",LEFT(L143,1)="N",M143&lt;&gt;"PICKING",M143&lt;&gt;""),1,0)</f>
        <v/>
      </c>
      <c r="O143">
        <f>IF(N143=1,M143&amp;"|"&amp;L143,REPT("z",40))</f>
        <v/>
      </c>
      <c r="P143">
        <f>IF(N143=1,COUNTIF($O$4:$O$2003,"&lt;"&amp;O143)+1,"")</f>
        <v/>
      </c>
      <c r="Q143">
        <f>IF(OR($R142="",$R142="T"),"",IF($R142="B",$Q142,IF($Q142+1&gt;$K$3,"",$Q142+1)))</f>
        <v/>
      </c>
      <c r="R143">
        <f>IF(OR($R142="",$R142="T"),"",IF($R142="B","S",IF($Q142+1&gt;$K$3,"T",IF(INDEX($M$4:$M$2003,MATCH($Q142+1,$P$4:$P$2003,0))&lt;&gt;INDEX($M$4:$M$2003,MATCH($Q142,$P$4:$P$2003,0)),"B","S"))))</f>
        <v/>
      </c>
      <c r="S143">
        <f>IF(Q143="","",IFERROR(MATCH(Q143,$P$4:$P$2003,0),""))</f>
        <v/>
      </c>
    </row>
    <row r="144">
      <c r="A144" s="4">
        <f>IF($R144="","",IF($R144="T","Gesamtergebnis",IF($R144="B",INDEX($M$4:$M$2003,$S144),INDEX($L$4:$L$2003,$S144))))</f>
        <v/>
      </c>
      <c r="B144" s="4">
        <f>IF($R144="","",IF($R144="T",$K$3,IF($R144="B",COUNTIFS($M$4:$M$2003,INDEX($M$4:$M$2003,$S144),$N$4:$N$2003,1),1)))</f>
        <v/>
      </c>
      <c r="L144">
        <f>IF($K$1="","",IFERROR(INDEX(Lines!$A:$AA,ROW()-2,$K$1),""))</f>
        <v/>
      </c>
      <c r="M144">
        <f>IF($K$2="","",IFERROR(INDEX(Lines!$A:$AA,ROW()-2,$K$2),""))</f>
        <v/>
      </c>
      <c r="N144">
        <f>IF(AND(L144&lt;&gt;"",LEFT(L144,1)="N",M144&lt;&gt;"PICKING",M144&lt;&gt;""),1,0)</f>
        <v/>
      </c>
      <c r="O144">
        <f>IF(N144=1,M144&amp;"|"&amp;L144,REPT("z",40))</f>
        <v/>
      </c>
      <c r="P144">
        <f>IF(N144=1,COUNTIF($O$4:$O$2003,"&lt;"&amp;O144)+1,"")</f>
        <v/>
      </c>
      <c r="Q144">
        <f>IF(OR($R143="",$R143="T"),"",IF($R143="B",$Q143,IF($Q143+1&gt;$K$3,"",$Q143+1)))</f>
        <v/>
      </c>
      <c r="R144">
        <f>IF(OR($R143="",$R143="T"),"",IF($R143="B","S",IF($Q143+1&gt;$K$3,"T",IF(INDEX($M$4:$M$2003,MATCH($Q143+1,$P$4:$P$2003,0))&lt;&gt;INDEX($M$4:$M$2003,MATCH($Q143,$P$4:$P$2003,0)),"B","S"))))</f>
        <v/>
      </c>
      <c r="S144">
        <f>IF(Q144="","",IFERROR(MATCH(Q144,$P$4:$P$2003,0),""))</f>
        <v/>
      </c>
    </row>
    <row r="145">
      <c r="A145" s="4">
        <f>IF($R145="","",IF($R145="T","Gesamtergebnis",IF($R145="B",INDEX($M$4:$M$2003,$S145),INDEX($L$4:$L$2003,$S145))))</f>
        <v/>
      </c>
      <c r="B145" s="4">
        <f>IF($R145="","",IF($R145="T",$K$3,IF($R145="B",COUNTIFS($M$4:$M$2003,INDEX($M$4:$M$2003,$S145),$N$4:$N$2003,1),1)))</f>
        <v/>
      </c>
      <c r="L145">
        <f>IF($K$1="","",IFERROR(INDEX(Lines!$A:$AA,ROW()-2,$K$1),""))</f>
        <v/>
      </c>
      <c r="M145">
        <f>IF($K$2="","",IFERROR(INDEX(Lines!$A:$AA,ROW()-2,$K$2),""))</f>
        <v/>
      </c>
      <c r="N145">
        <f>IF(AND(L145&lt;&gt;"",LEFT(L145,1)="N",M145&lt;&gt;"PICKING",M145&lt;&gt;""),1,0)</f>
        <v/>
      </c>
      <c r="O145">
        <f>IF(N145=1,M145&amp;"|"&amp;L145,REPT("z",40))</f>
        <v/>
      </c>
      <c r="P145">
        <f>IF(N145=1,COUNTIF($O$4:$O$2003,"&lt;"&amp;O145)+1,"")</f>
        <v/>
      </c>
      <c r="Q145">
        <f>IF(OR($R144="",$R144="T"),"",IF($R144="B",$Q144,IF($Q144+1&gt;$K$3,"",$Q144+1)))</f>
        <v/>
      </c>
      <c r="R145">
        <f>IF(OR($R144="",$R144="T"),"",IF($R144="B","S",IF($Q144+1&gt;$K$3,"T",IF(INDEX($M$4:$M$2003,MATCH($Q144+1,$P$4:$P$2003,0))&lt;&gt;INDEX($M$4:$M$2003,MATCH($Q144,$P$4:$P$2003,0)),"B","S"))))</f>
        <v/>
      </c>
      <c r="S145">
        <f>IF(Q145="","",IFERROR(MATCH(Q145,$P$4:$P$2003,0),""))</f>
        <v/>
      </c>
    </row>
    <row r="146">
      <c r="A146" s="4">
        <f>IF($R146="","",IF($R146="T","Gesamtergebnis",IF($R146="B",INDEX($M$4:$M$2003,$S146),INDEX($L$4:$L$2003,$S146))))</f>
        <v/>
      </c>
      <c r="B146" s="4">
        <f>IF($R146="","",IF($R146="T",$K$3,IF($R146="B",COUNTIFS($M$4:$M$2003,INDEX($M$4:$M$2003,$S146),$N$4:$N$2003,1),1)))</f>
        <v/>
      </c>
      <c r="L146">
        <f>IF($K$1="","",IFERROR(INDEX(Lines!$A:$AA,ROW()-2,$K$1),""))</f>
        <v/>
      </c>
      <c r="M146">
        <f>IF($K$2="","",IFERROR(INDEX(Lines!$A:$AA,ROW()-2,$K$2),""))</f>
        <v/>
      </c>
      <c r="N146">
        <f>IF(AND(L146&lt;&gt;"",LEFT(L146,1)="N",M146&lt;&gt;"PICKING",M146&lt;&gt;""),1,0)</f>
        <v/>
      </c>
      <c r="O146">
        <f>IF(N146=1,M146&amp;"|"&amp;L146,REPT("z",40))</f>
        <v/>
      </c>
      <c r="P146">
        <f>IF(N146=1,COUNTIF($O$4:$O$2003,"&lt;"&amp;O146)+1,"")</f>
        <v/>
      </c>
      <c r="Q146">
        <f>IF(OR($R145="",$R145="T"),"",IF($R145="B",$Q145,IF($Q145+1&gt;$K$3,"",$Q145+1)))</f>
        <v/>
      </c>
      <c r="R146">
        <f>IF(OR($R145="",$R145="T"),"",IF($R145="B","S",IF($Q145+1&gt;$K$3,"T",IF(INDEX($M$4:$M$2003,MATCH($Q145+1,$P$4:$P$2003,0))&lt;&gt;INDEX($M$4:$M$2003,MATCH($Q145,$P$4:$P$2003,0)),"B","S"))))</f>
        <v/>
      </c>
      <c r="S146">
        <f>IF(Q146="","",IFERROR(MATCH(Q146,$P$4:$P$2003,0),""))</f>
        <v/>
      </c>
    </row>
    <row r="147">
      <c r="A147" s="4">
        <f>IF($R147="","",IF($R147="T","Gesamtergebnis",IF($R147="B",INDEX($M$4:$M$2003,$S147),INDEX($L$4:$L$2003,$S147))))</f>
        <v/>
      </c>
      <c r="B147" s="4">
        <f>IF($R147="","",IF($R147="T",$K$3,IF($R147="B",COUNTIFS($M$4:$M$2003,INDEX($M$4:$M$2003,$S147),$N$4:$N$2003,1),1)))</f>
        <v/>
      </c>
      <c r="L147">
        <f>IF($K$1="","",IFERROR(INDEX(Lines!$A:$AA,ROW()-2,$K$1),""))</f>
        <v/>
      </c>
      <c r="M147">
        <f>IF($K$2="","",IFERROR(INDEX(Lines!$A:$AA,ROW()-2,$K$2),""))</f>
        <v/>
      </c>
      <c r="N147">
        <f>IF(AND(L147&lt;&gt;"",LEFT(L147,1)="N",M147&lt;&gt;"PICKING",M147&lt;&gt;""),1,0)</f>
        <v/>
      </c>
      <c r="O147">
        <f>IF(N147=1,M147&amp;"|"&amp;L147,REPT("z",40))</f>
        <v/>
      </c>
      <c r="P147">
        <f>IF(N147=1,COUNTIF($O$4:$O$2003,"&lt;"&amp;O147)+1,"")</f>
        <v/>
      </c>
      <c r="Q147">
        <f>IF(OR($R146="",$R146="T"),"",IF($R146="B",$Q146,IF($Q146+1&gt;$K$3,"",$Q146+1)))</f>
        <v/>
      </c>
      <c r="R147">
        <f>IF(OR($R146="",$R146="T"),"",IF($R146="B","S",IF($Q146+1&gt;$K$3,"T",IF(INDEX($M$4:$M$2003,MATCH($Q146+1,$P$4:$P$2003,0))&lt;&gt;INDEX($M$4:$M$2003,MATCH($Q146,$P$4:$P$2003,0)),"B","S"))))</f>
        <v/>
      </c>
      <c r="S147">
        <f>IF(Q147="","",IFERROR(MATCH(Q147,$P$4:$P$2003,0),""))</f>
        <v/>
      </c>
    </row>
    <row r="148">
      <c r="A148" s="4">
        <f>IF($R148="","",IF($R148="T","Gesamtergebnis",IF($R148="B",INDEX($M$4:$M$2003,$S148),INDEX($L$4:$L$2003,$S148))))</f>
        <v/>
      </c>
      <c r="B148" s="4">
        <f>IF($R148="","",IF($R148="T",$K$3,IF($R148="B",COUNTIFS($M$4:$M$2003,INDEX($M$4:$M$2003,$S148),$N$4:$N$2003,1),1)))</f>
        <v/>
      </c>
      <c r="L148">
        <f>IF($K$1="","",IFERROR(INDEX(Lines!$A:$AA,ROW()-2,$K$1),""))</f>
        <v/>
      </c>
      <c r="M148">
        <f>IF($K$2="","",IFERROR(INDEX(Lines!$A:$AA,ROW()-2,$K$2),""))</f>
        <v/>
      </c>
      <c r="N148">
        <f>IF(AND(L148&lt;&gt;"",LEFT(L148,1)="N",M148&lt;&gt;"PICKING",M148&lt;&gt;""),1,0)</f>
        <v/>
      </c>
      <c r="O148">
        <f>IF(N148=1,M148&amp;"|"&amp;L148,REPT("z",40))</f>
        <v/>
      </c>
      <c r="P148">
        <f>IF(N148=1,COUNTIF($O$4:$O$2003,"&lt;"&amp;O148)+1,"")</f>
        <v/>
      </c>
      <c r="Q148">
        <f>IF(OR($R147="",$R147="T"),"",IF($R147="B",$Q147,IF($Q147+1&gt;$K$3,"",$Q147+1)))</f>
        <v/>
      </c>
      <c r="R148">
        <f>IF(OR($R147="",$R147="T"),"",IF($R147="B","S",IF($Q147+1&gt;$K$3,"T",IF(INDEX($M$4:$M$2003,MATCH($Q147+1,$P$4:$P$2003,0))&lt;&gt;INDEX($M$4:$M$2003,MATCH($Q147,$P$4:$P$2003,0)),"B","S"))))</f>
        <v/>
      </c>
      <c r="S148">
        <f>IF(Q148="","",IFERROR(MATCH(Q148,$P$4:$P$2003,0),""))</f>
        <v/>
      </c>
    </row>
    <row r="149">
      <c r="A149" s="4">
        <f>IF($R149="","",IF($R149="T","Gesamtergebnis",IF($R149="B",INDEX($M$4:$M$2003,$S149),INDEX($L$4:$L$2003,$S149))))</f>
        <v/>
      </c>
      <c r="B149" s="4">
        <f>IF($R149="","",IF($R149="T",$K$3,IF($R149="B",COUNTIFS($M$4:$M$2003,INDEX($M$4:$M$2003,$S149),$N$4:$N$2003,1),1)))</f>
        <v/>
      </c>
      <c r="L149">
        <f>IF($K$1="","",IFERROR(INDEX(Lines!$A:$AA,ROW()-2,$K$1),""))</f>
        <v/>
      </c>
      <c r="M149">
        <f>IF($K$2="","",IFERROR(INDEX(Lines!$A:$AA,ROW()-2,$K$2),""))</f>
        <v/>
      </c>
      <c r="N149">
        <f>IF(AND(L149&lt;&gt;"",LEFT(L149,1)="N",M149&lt;&gt;"PICKING",M149&lt;&gt;""),1,0)</f>
        <v/>
      </c>
      <c r="O149">
        <f>IF(N149=1,M149&amp;"|"&amp;L149,REPT("z",40))</f>
        <v/>
      </c>
      <c r="P149">
        <f>IF(N149=1,COUNTIF($O$4:$O$2003,"&lt;"&amp;O149)+1,"")</f>
        <v/>
      </c>
      <c r="Q149">
        <f>IF(OR($R148="",$R148="T"),"",IF($R148="B",$Q148,IF($Q148+1&gt;$K$3,"",$Q148+1)))</f>
        <v/>
      </c>
      <c r="R149">
        <f>IF(OR($R148="",$R148="T"),"",IF($R148="B","S",IF($Q148+1&gt;$K$3,"T",IF(INDEX($M$4:$M$2003,MATCH($Q148+1,$P$4:$P$2003,0))&lt;&gt;INDEX($M$4:$M$2003,MATCH($Q148,$P$4:$P$2003,0)),"B","S"))))</f>
        <v/>
      </c>
      <c r="S149">
        <f>IF(Q149="","",IFERROR(MATCH(Q149,$P$4:$P$2003,0),""))</f>
        <v/>
      </c>
    </row>
    <row r="150">
      <c r="A150" s="4">
        <f>IF($R150="","",IF($R150="T","Gesamtergebnis",IF($R150="B",INDEX($M$4:$M$2003,$S150),INDEX($L$4:$L$2003,$S150))))</f>
        <v/>
      </c>
      <c r="B150" s="4">
        <f>IF($R150="","",IF($R150="T",$K$3,IF($R150="B",COUNTIFS($M$4:$M$2003,INDEX($M$4:$M$2003,$S150),$N$4:$N$2003,1),1)))</f>
        <v/>
      </c>
      <c r="L150">
        <f>IF($K$1="","",IFERROR(INDEX(Lines!$A:$AA,ROW()-2,$K$1),""))</f>
        <v/>
      </c>
      <c r="M150">
        <f>IF($K$2="","",IFERROR(INDEX(Lines!$A:$AA,ROW()-2,$K$2),""))</f>
        <v/>
      </c>
      <c r="N150">
        <f>IF(AND(L150&lt;&gt;"",LEFT(L150,1)="N",M150&lt;&gt;"PICKING",M150&lt;&gt;""),1,0)</f>
        <v/>
      </c>
      <c r="O150">
        <f>IF(N150=1,M150&amp;"|"&amp;L150,REPT("z",40))</f>
        <v/>
      </c>
      <c r="P150">
        <f>IF(N150=1,COUNTIF($O$4:$O$2003,"&lt;"&amp;O150)+1,"")</f>
        <v/>
      </c>
      <c r="Q150">
        <f>IF(OR($R149="",$R149="T"),"",IF($R149="B",$Q149,IF($Q149+1&gt;$K$3,"",$Q149+1)))</f>
        <v/>
      </c>
      <c r="R150">
        <f>IF(OR($R149="",$R149="T"),"",IF($R149="B","S",IF($Q149+1&gt;$K$3,"T",IF(INDEX($M$4:$M$2003,MATCH($Q149+1,$P$4:$P$2003,0))&lt;&gt;INDEX($M$4:$M$2003,MATCH($Q149,$P$4:$P$2003,0)),"B","S"))))</f>
        <v/>
      </c>
      <c r="S150">
        <f>IF(Q150="","",IFERROR(MATCH(Q150,$P$4:$P$2003,0),""))</f>
        <v/>
      </c>
    </row>
    <row r="151">
      <c r="A151" s="4">
        <f>IF($R151="","",IF($R151="T","Gesamtergebnis",IF($R151="B",INDEX($M$4:$M$2003,$S151),INDEX($L$4:$L$2003,$S151))))</f>
        <v/>
      </c>
      <c r="B151" s="4">
        <f>IF($R151="","",IF($R151="T",$K$3,IF($R151="B",COUNTIFS($M$4:$M$2003,INDEX($M$4:$M$2003,$S151),$N$4:$N$2003,1),1)))</f>
        <v/>
      </c>
      <c r="L151">
        <f>IF($K$1="","",IFERROR(INDEX(Lines!$A:$AA,ROW()-2,$K$1),""))</f>
        <v/>
      </c>
      <c r="M151">
        <f>IF($K$2="","",IFERROR(INDEX(Lines!$A:$AA,ROW()-2,$K$2),""))</f>
        <v/>
      </c>
      <c r="N151">
        <f>IF(AND(L151&lt;&gt;"",LEFT(L151,1)="N",M151&lt;&gt;"PICKING",M151&lt;&gt;""),1,0)</f>
        <v/>
      </c>
      <c r="O151">
        <f>IF(N151=1,M151&amp;"|"&amp;L151,REPT("z",40))</f>
        <v/>
      </c>
      <c r="P151">
        <f>IF(N151=1,COUNTIF($O$4:$O$2003,"&lt;"&amp;O151)+1,"")</f>
        <v/>
      </c>
      <c r="Q151">
        <f>IF(OR($R150="",$R150="T"),"",IF($R150="B",$Q150,IF($Q150+1&gt;$K$3,"",$Q150+1)))</f>
        <v/>
      </c>
      <c r="R151">
        <f>IF(OR($R150="",$R150="T"),"",IF($R150="B","S",IF($Q150+1&gt;$K$3,"T",IF(INDEX($M$4:$M$2003,MATCH($Q150+1,$P$4:$P$2003,0))&lt;&gt;INDEX($M$4:$M$2003,MATCH($Q150,$P$4:$P$2003,0)),"B","S"))))</f>
        <v/>
      </c>
      <c r="S151">
        <f>IF(Q151="","",IFERROR(MATCH(Q151,$P$4:$P$2003,0),""))</f>
        <v/>
      </c>
    </row>
    <row r="152">
      <c r="A152" s="4">
        <f>IF($R152="","",IF($R152="T","Gesamtergebnis",IF($R152="B",INDEX($M$4:$M$2003,$S152),INDEX($L$4:$L$2003,$S152))))</f>
        <v/>
      </c>
      <c r="B152" s="4">
        <f>IF($R152="","",IF($R152="T",$K$3,IF($R152="B",COUNTIFS($M$4:$M$2003,INDEX($M$4:$M$2003,$S152),$N$4:$N$2003,1),1)))</f>
        <v/>
      </c>
      <c r="L152">
        <f>IF($K$1="","",IFERROR(INDEX(Lines!$A:$AA,ROW()-2,$K$1),""))</f>
        <v/>
      </c>
      <c r="M152">
        <f>IF($K$2="","",IFERROR(INDEX(Lines!$A:$AA,ROW()-2,$K$2),""))</f>
        <v/>
      </c>
      <c r="N152">
        <f>IF(AND(L152&lt;&gt;"",LEFT(L152,1)="N",M152&lt;&gt;"PICKING",M152&lt;&gt;""),1,0)</f>
        <v/>
      </c>
      <c r="O152">
        <f>IF(N152=1,M152&amp;"|"&amp;L152,REPT("z",40))</f>
        <v/>
      </c>
      <c r="P152">
        <f>IF(N152=1,COUNTIF($O$4:$O$2003,"&lt;"&amp;O152)+1,"")</f>
        <v/>
      </c>
      <c r="Q152">
        <f>IF(OR($R151="",$R151="T"),"",IF($R151="B",$Q151,IF($Q151+1&gt;$K$3,"",$Q151+1)))</f>
        <v/>
      </c>
      <c r="R152">
        <f>IF(OR($R151="",$R151="T"),"",IF($R151="B","S",IF($Q151+1&gt;$K$3,"T",IF(INDEX($M$4:$M$2003,MATCH($Q151+1,$P$4:$P$2003,0))&lt;&gt;INDEX($M$4:$M$2003,MATCH($Q151,$P$4:$P$2003,0)),"B","S"))))</f>
        <v/>
      </c>
      <c r="S152">
        <f>IF(Q152="","",IFERROR(MATCH(Q152,$P$4:$P$2003,0),""))</f>
        <v/>
      </c>
    </row>
    <row r="153">
      <c r="A153" s="4">
        <f>IF($R153="","",IF($R153="T","Gesamtergebnis",IF($R153="B",INDEX($M$4:$M$2003,$S153),INDEX($L$4:$L$2003,$S153))))</f>
        <v/>
      </c>
      <c r="B153" s="4">
        <f>IF($R153="","",IF($R153="T",$K$3,IF($R153="B",COUNTIFS($M$4:$M$2003,INDEX($M$4:$M$2003,$S153),$N$4:$N$2003,1),1)))</f>
        <v/>
      </c>
      <c r="L153">
        <f>IF($K$1="","",IFERROR(INDEX(Lines!$A:$AA,ROW()-2,$K$1),""))</f>
        <v/>
      </c>
      <c r="M153">
        <f>IF($K$2="","",IFERROR(INDEX(Lines!$A:$AA,ROW()-2,$K$2),""))</f>
        <v/>
      </c>
      <c r="N153">
        <f>IF(AND(L153&lt;&gt;"",LEFT(L153,1)="N",M153&lt;&gt;"PICKING",M153&lt;&gt;""),1,0)</f>
        <v/>
      </c>
      <c r="O153">
        <f>IF(N153=1,M153&amp;"|"&amp;L153,REPT("z",40))</f>
        <v/>
      </c>
      <c r="P153">
        <f>IF(N153=1,COUNTIF($O$4:$O$2003,"&lt;"&amp;O153)+1,"")</f>
        <v/>
      </c>
      <c r="Q153">
        <f>IF(OR($R152="",$R152="T"),"",IF($R152="B",$Q152,IF($Q152+1&gt;$K$3,"",$Q152+1)))</f>
        <v/>
      </c>
      <c r="R153">
        <f>IF(OR($R152="",$R152="T"),"",IF($R152="B","S",IF($Q152+1&gt;$K$3,"T",IF(INDEX($M$4:$M$2003,MATCH($Q152+1,$P$4:$P$2003,0))&lt;&gt;INDEX($M$4:$M$2003,MATCH($Q152,$P$4:$P$2003,0)),"B","S"))))</f>
        <v/>
      </c>
      <c r="S153">
        <f>IF(Q153="","",IFERROR(MATCH(Q153,$P$4:$P$2003,0),""))</f>
        <v/>
      </c>
    </row>
    <row r="154">
      <c r="A154" s="4">
        <f>IF($R154="","",IF($R154="T","Gesamtergebnis",IF($R154="B",INDEX($M$4:$M$2003,$S154),INDEX($L$4:$L$2003,$S154))))</f>
        <v/>
      </c>
      <c r="B154" s="4">
        <f>IF($R154="","",IF($R154="T",$K$3,IF($R154="B",COUNTIFS($M$4:$M$2003,INDEX($M$4:$M$2003,$S154),$N$4:$N$2003,1),1)))</f>
        <v/>
      </c>
      <c r="L154">
        <f>IF($K$1="","",IFERROR(INDEX(Lines!$A:$AA,ROW()-2,$K$1),""))</f>
        <v/>
      </c>
      <c r="M154">
        <f>IF($K$2="","",IFERROR(INDEX(Lines!$A:$AA,ROW()-2,$K$2),""))</f>
        <v/>
      </c>
      <c r="N154">
        <f>IF(AND(L154&lt;&gt;"",LEFT(L154,1)="N",M154&lt;&gt;"PICKING",M154&lt;&gt;""),1,0)</f>
        <v/>
      </c>
      <c r="O154">
        <f>IF(N154=1,M154&amp;"|"&amp;L154,REPT("z",40))</f>
        <v/>
      </c>
      <c r="P154">
        <f>IF(N154=1,COUNTIF($O$4:$O$2003,"&lt;"&amp;O154)+1,"")</f>
        <v/>
      </c>
      <c r="Q154">
        <f>IF(OR($R153="",$R153="T"),"",IF($R153="B",$Q153,IF($Q153+1&gt;$K$3,"",$Q153+1)))</f>
        <v/>
      </c>
      <c r="R154">
        <f>IF(OR($R153="",$R153="T"),"",IF($R153="B","S",IF($Q153+1&gt;$K$3,"T",IF(INDEX($M$4:$M$2003,MATCH($Q153+1,$P$4:$P$2003,0))&lt;&gt;INDEX($M$4:$M$2003,MATCH($Q153,$P$4:$P$2003,0)),"B","S"))))</f>
        <v/>
      </c>
      <c r="S154">
        <f>IF(Q154="","",IFERROR(MATCH(Q154,$P$4:$P$2003,0),""))</f>
        <v/>
      </c>
    </row>
    <row r="155">
      <c r="A155" s="4">
        <f>IF($R155="","",IF($R155="T","Gesamtergebnis",IF($R155="B",INDEX($M$4:$M$2003,$S155),INDEX($L$4:$L$2003,$S155))))</f>
        <v/>
      </c>
      <c r="B155" s="4">
        <f>IF($R155="","",IF($R155="T",$K$3,IF($R155="B",COUNTIFS($M$4:$M$2003,INDEX($M$4:$M$2003,$S155),$N$4:$N$2003,1),1)))</f>
        <v/>
      </c>
      <c r="L155">
        <f>IF($K$1="","",IFERROR(INDEX(Lines!$A:$AA,ROW()-2,$K$1),""))</f>
        <v/>
      </c>
      <c r="M155">
        <f>IF($K$2="","",IFERROR(INDEX(Lines!$A:$AA,ROW()-2,$K$2),""))</f>
        <v/>
      </c>
      <c r="N155">
        <f>IF(AND(L155&lt;&gt;"",LEFT(L155,1)="N",M155&lt;&gt;"PICKING",M155&lt;&gt;""),1,0)</f>
        <v/>
      </c>
      <c r="O155">
        <f>IF(N155=1,M155&amp;"|"&amp;L155,REPT("z",40))</f>
        <v/>
      </c>
      <c r="P155">
        <f>IF(N155=1,COUNTIF($O$4:$O$2003,"&lt;"&amp;O155)+1,"")</f>
        <v/>
      </c>
      <c r="Q155">
        <f>IF(OR($R154="",$R154="T"),"",IF($R154="B",$Q154,IF($Q154+1&gt;$K$3,"",$Q154+1)))</f>
        <v/>
      </c>
      <c r="R155">
        <f>IF(OR($R154="",$R154="T"),"",IF($R154="B","S",IF($Q154+1&gt;$K$3,"T",IF(INDEX($M$4:$M$2003,MATCH($Q154+1,$P$4:$P$2003,0))&lt;&gt;INDEX($M$4:$M$2003,MATCH($Q154,$P$4:$P$2003,0)),"B","S"))))</f>
        <v/>
      </c>
      <c r="S155">
        <f>IF(Q155="","",IFERROR(MATCH(Q155,$P$4:$P$2003,0),""))</f>
        <v/>
      </c>
    </row>
    <row r="156">
      <c r="A156" s="4">
        <f>IF($R156="","",IF($R156="T","Gesamtergebnis",IF($R156="B",INDEX($M$4:$M$2003,$S156),INDEX($L$4:$L$2003,$S156))))</f>
        <v/>
      </c>
      <c r="B156" s="4">
        <f>IF($R156="","",IF($R156="T",$K$3,IF($R156="B",COUNTIFS($M$4:$M$2003,INDEX($M$4:$M$2003,$S156),$N$4:$N$2003,1),1)))</f>
        <v/>
      </c>
      <c r="L156">
        <f>IF($K$1="","",IFERROR(INDEX(Lines!$A:$AA,ROW()-2,$K$1),""))</f>
        <v/>
      </c>
      <c r="M156">
        <f>IF($K$2="","",IFERROR(INDEX(Lines!$A:$AA,ROW()-2,$K$2),""))</f>
        <v/>
      </c>
      <c r="N156">
        <f>IF(AND(L156&lt;&gt;"",LEFT(L156,1)="N",M156&lt;&gt;"PICKING",M156&lt;&gt;""),1,0)</f>
        <v/>
      </c>
      <c r="O156">
        <f>IF(N156=1,M156&amp;"|"&amp;L156,REPT("z",40))</f>
        <v/>
      </c>
      <c r="P156">
        <f>IF(N156=1,COUNTIF($O$4:$O$2003,"&lt;"&amp;O156)+1,"")</f>
        <v/>
      </c>
      <c r="Q156">
        <f>IF(OR($R155="",$R155="T"),"",IF($R155="B",$Q155,IF($Q155+1&gt;$K$3,"",$Q155+1)))</f>
        <v/>
      </c>
      <c r="R156">
        <f>IF(OR($R155="",$R155="T"),"",IF($R155="B","S",IF($Q155+1&gt;$K$3,"T",IF(INDEX($M$4:$M$2003,MATCH($Q155+1,$P$4:$P$2003,0))&lt;&gt;INDEX($M$4:$M$2003,MATCH($Q155,$P$4:$P$2003,0)),"B","S"))))</f>
        <v/>
      </c>
      <c r="S156">
        <f>IF(Q156="","",IFERROR(MATCH(Q156,$P$4:$P$2003,0),""))</f>
        <v/>
      </c>
    </row>
    <row r="157">
      <c r="A157" s="4">
        <f>IF($R157="","",IF($R157="T","Gesamtergebnis",IF($R157="B",INDEX($M$4:$M$2003,$S157),INDEX($L$4:$L$2003,$S157))))</f>
        <v/>
      </c>
      <c r="B157" s="4">
        <f>IF($R157="","",IF($R157="T",$K$3,IF($R157="B",COUNTIFS($M$4:$M$2003,INDEX($M$4:$M$2003,$S157),$N$4:$N$2003,1),1)))</f>
        <v/>
      </c>
      <c r="L157">
        <f>IF($K$1="","",IFERROR(INDEX(Lines!$A:$AA,ROW()-2,$K$1),""))</f>
        <v/>
      </c>
      <c r="M157">
        <f>IF($K$2="","",IFERROR(INDEX(Lines!$A:$AA,ROW()-2,$K$2),""))</f>
        <v/>
      </c>
      <c r="N157">
        <f>IF(AND(L157&lt;&gt;"",LEFT(L157,1)="N",M157&lt;&gt;"PICKING",M157&lt;&gt;""),1,0)</f>
        <v/>
      </c>
      <c r="O157">
        <f>IF(N157=1,M157&amp;"|"&amp;L157,REPT("z",40))</f>
        <v/>
      </c>
      <c r="P157">
        <f>IF(N157=1,COUNTIF($O$4:$O$2003,"&lt;"&amp;O157)+1,"")</f>
        <v/>
      </c>
      <c r="Q157">
        <f>IF(OR($R156="",$R156="T"),"",IF($R156="B",$Q156,IF($Q156+1&gt;$K$3,"",$Q156+1)))</f>
        <v/>
      </c>
      <c r="R157">
        <f>IF(OR($R156="",$R156="T"),"",IF($R156="B","S",IF($Q156+1&gt;$K$3,"T",IF(INDEX($M$4:$M$2003,MATCH($Q156+1,$P$4:$P$2003,0))&lt;&gt;INDEX($M$4:$M$2003,MATCH($Q156,$P$4:$P$2003,0)),"B","S"))))</f>
        <v/>
      </c>
      <c r="S157">
        <f>IF(Q157="","",IFERROR(MATCH(Q157,$P$4:$P$2003,0),""))</f>
        <v/>
      </c>
    </row>
    <row r="158">
      <c r="A158" s="4">
        <f>IF($R158="","",IF($R158="T","Gesamtergebnis",IF($R158="B",INDEX($M$4:$M$2003,$S158),INDEX($L$4:$L$2003,$S158))))</f>
        <v/>
      </c>
      <c r="B158" s="4">
        <f>IF($R158="","",IF($R158="T",$K$3,IF($R158="B",COUNTIFS($M$4:$M$2003,INDEX($M$4:$M$2003,$S158),$N$4:$N$2003,1),1)))</f>
        <v/>
      </c>
      <c r="L158">
        <f>IF($K$1="","",IFERROR(INDEX(Lines!$A:$AA,ROW()-2,$K$1),""))</f>
        <v/>
      </c>
      <c r="M158">
        <f>IF($K$2="","",IFERROR(INDEX(Lines!$A:$AA,ROW()-2,$K$2),""))</f>
        <v/>
      </c>
      <c r="N158">
        <f>IF(AND(L158&lt;&gt;"",LEFT(L158,1)="N",M158&lt;&gt;"PICKING",M158&lt;&gt;""),1,0)</f>
        <v/>
      </c>
      <c r="O158">
        <f>IF(N158=1,M158&amp;"|"&amp;L158,REPT("z",40))</f>
        <v/>
      </c>
      <c r="P158">
        <f>IF(N158=1,COUNTIF($O$4:$O$2003,"&lt;"&amp;O158)+1,"")</f>
        <v/>
      </c>
      <c r="Q158">
        <f>IF(OR($R157="",$R157="T"),"",IF($R157="B",$Q157,IF($Q157+1&gt;$K$3,"",$Q157+1)))</f>
        <v/>
      </c>
      <c r="R158">
        <f>IF(OR($R157="",$R157="T"),"",IF($R157="B","S",IF($Q157+1&gt;$K$3,"T",IF(INDEX($M$4:$M$2003,MATCH($Q157+1,$P$4:$P$2003,0))&lt;&gt;INDEX($M$4:$M$2003,MATCH($Q157,$P$4:$P$2003,0)),"B","S"))))</f>
        <v/>
      </c>
      <c r="S158">
        <f>IF(Q158="","",IFERROR(MATCH(Q158,$P$4:$P$2003,0),""))</f>
        <v/>
      </c>
    </row>
    <row r="159">
      <c r="A159" s="4">
        <f>IF($R159="","",IF($R159="T","Gesamtergebnis",IF($R159="B",INDEX($M$4:$M$2003,$S159),INDEX($L$4:$L$2003,$S159))))</f>
        <v/>
      </c>
      <c r="B159" s="4">
        <f>IF($R159="","",IF($R159="T",$K$3,IF($R159="B",COUNTIFS($M$4:$M$2003,INDEX($M$4:$M$2003,$S159),$N$4:$N$2003,1),1)))</f>
        <v/>
      </c>
      <c r="L159">
        <f>IF($K$1="","",IFERROR(INDEX(Lines!$A:$AA,ROW()-2,$K$1),""))</f>
        <v/>
      </c>
      <c r="M159">
        <f>IF($K$2="","",IFERROR(INDEX(Lines!$A:$AA,ROW()-2,$K$2),""))</f>
        <v/>
      </c>
      <c r="N159">
        <f>IF(AND(L159&lt;&gt;"",LEFT(L159,1)="N",M159&lt;&gt;"PICKING",M159&lt;&gt;""),1,0)</f>
        <v/>
      </c>
      <c r="O159">
        <f>IF(N159=1,M159&amp;"|"&amp;L159,REPT("z",40))</f>
        <v/>
      </c>
      <c r="P159">
        <f>IF(N159=1,COUNTIF($O$4:$O$2003,"&lt;"&amp;O159)+1,"")</f>
        <v/>
      </c>
      <c r="Q159">
        <f>IF(OR($R158="",$R158="T"),"",IF($R158="B",$Q158,IF($Q158+1&gt;$K$3,"",$Q158+1)))</f>
        <v/>
      </c>
      <c r="R159">
        <f>IF(OR($R158="",$R158="T"),"",IF($R158="B","S",IF($Q158+1&gt;$K$3,"T",IF(INDEX($M$4:$M$2003,MATCH($Q158+1,$P$4:$P$2003,0))&lt;&gt;INDEX($M$4:$M$2003,MATCH($Q158,$P$4:$P$2003,0)),"B","S"))))</f>
        <v/>
      </c>
      <c r="S159">
        <f>IF(Q159="","",IFERROR(MATCH(Q159,$P$4:$P$2003,0),""))</f>
        <v/>
      </c>
    </row>
    <row r="160">
      <c r="A160" s="4">
        <f>IF($R160="","",IF($R160="T","Gesamtergebnis",IF($R160="B",INDEX($M$4:$M$2003,$S160),INDEX($L$4:$L$2003,$S160))))</f>
        <v/>
      </c>
      <c r="B160" s="4">
        <f>IF($R160="","",IF($R160="T",$K$3,IF($R160="B",COUNTIFS($M$4:$M$2003,INDEX($M$4:$M$2003,$S160),$N$4:$N$2003,1),1)))</f>
        <v/>
      </c>
      <c r="L160">
        <f>IF($K$1="","",IFERROR(INDEX(Lines!$A:$AA,ROW()-2,$K$1),""))</f>
        <v/>
      </c>
      <c r="M160">
        <f>IF($K$2="","",IFERROR(INDEX(Lines!$A:$AA,ROW()-2,$K$2),""))</f>
        <v/>
      </c>
      <c r="N160">
        <f>IF(AND(L160&lt;&gt;"",LEFT(L160,1)="N",M160&lt;&gt;"PICKING",M160&lt;&gt;""),1,0)</f>
        <v/>
      </c>
      <c r="O160">
        <f>IF(N160=1,M160&amp;"|"&amp;L160,REPT("z",40))</f>
        <v/>
      </c>
      <c r="P160">
        <f>IF(N160=1,COUNTIF($O$4:$O$2003,"&lt;"&amp;O160)+1,"")</f>
        <v/>
      </c>
      <c r="Q160">
        <f>IF(OR($R159="",$R159="T"),"",IF($R159="B",$Q159,IF($Q159+1&gt;$K$3,"",$Q159+1)))</f>
        <v/>
      </c>
      <c r="R160">
        <f>IF(OR($R159="",$R159="T"),"",IF($R159="B","S",IF($Q159+1&gt;$K$3,"T",IF(INDEX($M$4:$M$2003,MATCH($Q159+1,$P$4:$P$2003,0))&lt;&gt;INDEX($M$4:$M$2003,MATCH($Q159,$P$4:$P$2003,0)),"B","S"))))</f>
        <v/>
      </c>
      <c r="S160">
        <f>IF(Q160="","",IFERROR(MATCH(Q160,$P$4:$P$2003,0),""))</f>
        <v/>
      </c>
    </row>
    <row r="161">
      <c r="A161" s="4">
        <f>IF($R161="","",IF($R161="T","Gesamtergebnis",IF($R161="B",INDEX($M$4:$M$2003,$S161),INDEX($L$4:$L$2003,$S161))))</f>
        <v/>
      </c>
      <c r="B161" s="4">
        <f>IF($R161="","",IF($R161="T",$K$3,IF($R161="B",COUNTIFS($M$4:$M$2003,INDEX($M$4:$M$2003,$S161),$N$4:$N$2003,1),1)))</f>
        <v/>
      </c>
      <c r="L161">
        <f>IF($K$1="","",IFERROR(INDEX(Lines!$A:$AA,ROW()-2,$K$1),""))</f>
        <v/>
      </c>
      <c r="M161">
        <f>IF($K$2="","",IFERROR(INDEX(Lines!$A:$AA,ROW()-2,$K$2),""))</f>
        <v/>
      </c>
      <c r="N161">
        <f>IF(AND(L161&lt;&gt;"",LEFT(L161,1)="N",M161&lt;&gt;"PICKING",M161&lt;&gt;""),1,0)</f>
        <v/>
      </c>
      <c r="O161">
        <f>IF(N161=1,M161&amp;"|"&amp;L161,REPT("z",40))</f>
        <v/>
      </c>
      <c r="P161">
        <f>IF(N161=1,COUNTIF($O$4:$O$2003,"&lt;"&amp;O161)+1,"")</f>
        <v/>
      </c>
      <c r="Q161">
        <f>IF(OR($R160="",$R160="T"),"",IF($R160="B",$Q160,IF($Q160+1&gt;$K$3,"",$Q160+1)))</f>
        <v/>
      </c>
      <c r="R161">
        <f>IF(OR($R160="",$R160="T"),"",IF($R160="B","S",IF($Q160+1&gt;$K$3,"T",IF(INDEX($M$4:$M$2003,MATCH($Q160+1,$P$4:$P$2003,0))&lt;&gt;INDEX($M$4:$M$2003,MATCH($Q160,$P$4:$P$2003,0)),"B","S"))))</f>
        <v/>
      </c>
      <c r="S161">
        <f>IF(Q161="","",IFERROR(MATCH(Q161,$P$4:$P$2003,0),""))</f>
        <v/>
      </c>
    </row>
    <row r="162">
      <c r="A162" s="4">
        <f>IF($R162="","",IF($R162="T","Gesamtergebnis",IF($R162="B",INDEX($M$4:$M$2003,$S162),INDEX($L$4:$L$2003,$S162))))</f>
        <v/>
      </c>
      <c r="B162" s="4">
        <f>IF($R162="","",IF($R162="T",$K$3,IF($R162="B",COUNTIFS($M$4:$M$2003,INDEX($M$4:$M$2003,$S162),$N$4:$N$2003,1),1)))</f>
        <v/>
      </c>
      <c r="L162">
        <f>IF($K$1="","",IFERROR(INDEX(Lines!$A:$AA,ROW()-2,$K$1),""))</f>
        <v/>
      </c>
      <c r="M162">
        <f>IF($K$2="","",IFERROR(INDEX(Lines!$A:$AA,ROW()-2,$K$2),""))</f>
        <v/>
      </c>
      <c r="N162">
        <f>IF(AND(L162&lt;&gt;"",LEFT(L162,1)="N",M162&lt;&gt;"PICKING",M162&lt;&gt;""),1,0)</f>
        <v/>
      </c>
      <c r="O162">
        <f>IF(N162=1,M162&amp;"|"&amp;L162,REPT("z",40))</f>
        <v/>
      </c>
      <c r="P162">
        <f>IF(N162=1,COUNTIF($O$4:$O$2003,"&lt;"&amp;O162)+1,"")</f>
        <v/>
      </c>
      <c r="Q162">
        <f>IF(OR($R161="",$R161="T"),"",IF($R161="B",$Q161,IF($Q161+1&gt;$K$3,"",$Q161+1)))</f>
        <v/>
      </c>
      <c r="R162">
        <f>IF(OR($R161="",$R161="T"),"",IF($R161="B","S",IF($Q161+1&gt;$K$3,"T",IF(INDEX($M$4:$M$2003,MATCH($Q161+1,$P$4:$P$2003,0))&lt;&gt;INDEX($M$4:$M$2003,MATCH($Q161,$P$4:$P$2003,0)),"B","S"))))</f>
        <v/>
      </c>
      <c r="S162">
        <f>IF(Q162="","",IFERROR(MATCH(Q162,$P$4:$P$2003,0),""))</f>
        <v/>
      </c>
    </row>
    <row r="163">
      <c r="A163" s="4">
        <f>IF($R163="","",IF($R163="T","Gesamtergebnis",IF($R163="B",INDEX($M$4:$M$2003,$S163),INDEX($L$4:$L$2003,$S163))))</f>
        <v/>
      </c>
      <c r="B163" s="4">
        <f>IF($R163="","",IF($R163="T",$K$3,IF($R163="B",COUNTIFS($M$4:$M$2003,INDEX($M$4:$M$2003,$S163),$N$4:$N$2003,1),1)))</f>
        <v/>
      </c>
      <c r="L163">
        <f>IF($K$1="","",IFERROR(INDEX(Lines!$A:$AA,ROW()-2,$K$1),""))</f>
        <v/>
      </c>
      <c r="M163">
        <f>IF($K$2="","",IFERROR(INDEX(Lines!$A:$AA,ROW()-2,$K$2),""))</f>
        <v/>
      </c>
      <c r="N163">
        <f>IF(AND(L163&lt;&gt;"",LEFT(L163,1)="N",M163&lt;&gt;"PICKING",M163&lt;&gt;""),1,0)</f>
        <v/>
      </c>
      <c r="O163">
        <f>IF(N163=1,M163&amp;"|"&amp;L163,REPT("z",40))</f>
        <v/>
      </c>
      <c r="P163">
        <f>IF(N163=1,COUNTIF($O$4:$O$2003,"&lt;"&amp;O163)+1,"")</f>
        <v/>
      </c>
      <c r="Q163">
        <f>IF(OR($R162="",$R162="T"),"",IF($R162="B",$Q162,IF($Q162+1&gt;$K$3,"",$Q162+1)))</f>
        <v/>
      </c>
      <c r="R163">
        <f>IF(OR($R162="",$R162="T"),"",IF($R162="B","S",IF($Q162+1&gt;$K$3,"T",IF(INDEX($M$4:$M$2003,MATCH($Q162+1,$P$4:$P$2003,0))&lt;&gt;INDEX($M$4:$M$2003,MATCH($Q162,$P$4:$P$2003,0)),"B","S"))))</f>
        <v/>
      </c>
      <c r="S163">
        <f>IF(Q163="","",IFERROR(MATCH(Q163,$P$4:$P$2003,0),""))</f>
        <v/>
      </c>
    </row>
    <row r="164">
      <c r="A164" s="4">
        <f>IF($R164="","",IF($R164="T","Gesamtergebnis",IF($R164="B",INDEX($M$4:$M$2003,$S164),INDEX($L$4:$L$2003,$S164))))</f>
        <v/>
      </c>
      <c r="B164" s="4">
        <f>IF($R164="","",IF($R164="T",$K$3,IF($R164="B",COUNTIFS($M$4:$M$2003,INDEX($M$4:$M$2003,$S164),$N$4:$N$2003,1),1)))</f>
        <v/>
      </c>
      <c r="L164">
        <f>IF($K$1="","",IFERROR(INDEX(Lines!$A:$AA,ROW()-2,$K$1),""))</f>
        <v/>
      </c>
      <c r="M164">
        <f>IF($K$2="","",IFERROR(INDEX(Lines!$A:$AA,ROW()-2,$K$2),""))</f>
        <v/>
      </c>
      <c r="N164">
        <f>IF(AND(L164&lt;&gt;"",LEFT(L164,1)="N",M164&lt;&gt;"PICKING",M164&lt;&gt;""),1,0)</f>
        <v/>
      </c>
      <c r="O164">
        <f>IF(N164=1,M164&amp;"|"&amp;L164,REPT("z",40))</f>
        <v/>
      </c>
      <c r="P164">
        <f>IF(N164=1,COUNTIF($O$4:$O$2003,"&lt;"&amp;O164)+1,"")</f>
        <v/>
      </c>
      <c r="Q164">
        <f>IF(OR($R163="",$R163="T"),"",IF($R163="B",$Q163,IF($Q163+1&gt;$K$3,"",$Q163+1)))</f>
        <v/>
      </c>
      <c r="R164">
        <f>IF(OR($R163="",$R163="T"),"",IF($R163="B","S",IF($Q163+1&gt;$K$3,"T",IF(INDEX($M$4:$M$2003,MATCH($Q163+1,$P$4:$P$2003,0))&lt;&gt;INDEX($M$4:$M$2003,MATCH($Q163,$P$4:$P$2003,0)),"B","S"))))</f>
        <v/>
      </c>
      <c r="S164">
        <f>IF(Q164="","",IFERROR(MATCH(Q164,$P$4:$P$2003,0),""))</f>
        <v/>
      </c>
    </row>
    <row r="165">
      <c r="A165" s="4">
        <f>IF($R165="","",IF($R165="T","Gesamtergebnis",IF($R165="B",INDEX($M$4:$M$2003,$S165),INDEX($L$4:$L$2003,$S165))))</f>
        <v/>
      </c>
      <c r="B165" s="4">
        <f>IF($R165="","",IF($R165="T",$K$3,IF($R165="B",COUNTIFS($M$4:$M$2003,INDEX($M$4:$M$2003,$S165),$N$4:$N$2003,1),1)))</f>
        <v/>
      </c>
      <c r="L165">
        <f>IF($K$1="","",IFERROR(INDEX(Lines!$A:$AA,ROW()-2,$K$1),""))</f>
        <v/>
      </c>
      <c r="M165">
        <f>IF($K$2="","",IFERROR(INDEX(Lines!$A:$AA,ROW()-2,$K$2),""))</f>
        <v/>
      </c>
      <c r="N165">
        <f>IF(AND(L165&lt;&gt;"",LEFT(L165,1)="N",M165&lt;&gt;"PICKING",M165&lt;&gt;""),1,0)</f>
        <v/>
      </c>
      <c r="O165">
        <f>IF(N165=1,M165&amp;"|"&amp;L165,REPT("z",40))</f>
        <v/>
      </c>
      <c r="P165">
        <f>IF(N165=1,COUNTIF($O$4:$O$2003,"&lt;"&amp;O165)+1,"")</f>
        <v/>
      </c>
      <c r="Q165">
        <f>IF(OR($R164="",$R164="T"),"",IF($R164="B",$Q164,IF($Q164+1&gt;$K$3,"",$Q164+1)))</f>
        <v/>
      </c>
      <c r="R165">
        <f>IF(OR($R164="",$R164="T"),"",IF($R164="B","S",IF($Q164+1&gt;$K$3,"T",IF(INDEX($M$4:$M$2003,MATCH($Q164+1,$P$4:$P$2003,0))&lt;&gt;INDEX($M$4:$M$2003,MATCH($Q164,$P$4:$P$2003,0)),"B","S"))))</f>
        <v/>
      </c>
      <c r="S165">
        <f>IF(Q165="","",IFERROR(MATCH(Q165,$P$4:$P$2003,0),""))</f>
        <v/>
      </c>
    </row>
    <row r="166">
      <c r="A166" s="4">
        <f>IF($R166="","",IF($R166="T","Gesamtergebnis",IF($R166="B",INDEX($M$4:$M$2003,$S166),INDEX($L$4:$L$2003,$S166))))</f>
        <v/>
      </c>
      <c r="B166" s="4">
        <f>IF($R166="","",IF($R166="T",$K$3,IF($R166="B",COUNTIFS($M$4:$M$2003,INDEX($M$4:$M$2003,$S166),$N$4:$N$2003,1),1)))</f>
        <v/>
      </c>
      <c r="L166">
        <f>IF($K$1="","",IFERROR(INDEX(Lines!$A:$AA,ROW()-2,$K$1),""))</f>
        <v/>
      </c>
      <c r="M166">
        <f>IF($K$2="","",IFERROR(INDEX(Lines!$A:$AA,ROW()-2,$K$2),""))</f>
        <v/>
      </c>
      <c r="N166">
        <f>IF(AND(L166&lt;&gt;"",LEFT(L166,1)="N",M166&lt;&gt;"PICKING",M166&lt;&gt;""),1,0)</f>
        <v/>
      </c>
      <c r="O166">
        <f>IF(N166=1,M166&amp;"|"&amp;L166,REPT("z",40))</f>
        <v/>
      </c>
      <c r="P166">
        <f>IF(N166=1,COUNTIF($O$4:$O$2003,"&lt;"&amp;O166)+1,"")</f>
        <v/>
      </c>
      <c r="Q166">
        <f>IF(OR($R165="",$R165="T"),"",IF($R165="B",$Q165,IF($Q165+1&gt;$K$3,"",$Q165+1)))</f>
        <v/>
      </c>
      <c r="R166">
        <f>IF(OR($R165="",$R165="T"),"",IF($R165="B","S",IF($Q165+1&gt;$K$3,"T",IF(INDEX($M$4:$M$2003,MATCH($Q165+1,$P$4:$P$2003,0))&lt;&gt;INDEX($M$4:$M$2003,MATCH($Q165,$P$4:$P$2003,0)),"B","S"))))</f>
        <v/>
      </c>
      <c r="S166">
        <f>IF(Q166="","",IFERROR(MATCH(Q166,$P$4:$P$2003,0),""))</f>
        <v/>
      </c>
    </row>
    <row r="167">
      <c r="A167" s="4">
        <f>IF($R167="","",IF($R167="T","Gesamtergebnis",IF($R167="B",INDEX($M$4:$M$2003,$S167),INDEX($L$4:$L$2003,$S167))))</f>
        <v/>
      </c>
      <c r="B167" s="4">
        <f>IF($R167="","",IF($R167="T",$K$3,IF($R167="B",COUNTIFS($M$4:$M$2003,INDEX($M$4:$M$2003,$S167),$N$4:$N$2003,1),1)))</f>
        <v/>
      </c>
      <c r="L167">
        <f>IF($K$1="","",IFERROR(INDEX(Lines!$A:$AA,ROW()-2,$K$1),""))</f>
        <v/>
      </c>
      <c r="M167">
        <f>IF($K$2="","",IFERROR(INDEX(Lines!$A:$AA,ROW()-2,$K$2),""))</f>
        <v/>
      </c>
      <c r="N167">
        <f>IF(AND(L167&lt;&gt;"",LEFT(L167,1)="N",M167&lt;&gt;"PICKING",M167&lt;&gt;""),1,0)</f>
        <v/>
      </c>
      <c r="O167">
        <f>IF(N167=1,M167&amp;"|"&amp;L167,REPT("z",40))</f>
        <v/>
      </c>
      <c r="P167">
        <f>IF(N167=1,COUNTIF($O$4:$O$2003,"&lt;"&amp;O167)+1,"")</f>
        <v/>
      </c>
      <c r="Q167">
        <f>IF(OR($R166="",$R166="T"),"",IF($R166="B",$Q166,IF($Q166+1&gt;$K$3,"",$Q166+1)))</f>
        <v/>
      </c>
      <c r="R167">
        <f>IF(OR($R166="",$R166="T"),"",IF($R166="B","S",IF($Q166+1&gt;$K$3,"T",IF(INDEX($M$4:$M$2003,MATCH($Q166+1,$P$4:$P$2003,0))&lt;&gt;INDEX($M$4:$M$2003,MATCH($Q166,$P$4:$P$2003,0)),"B","S"))))</f>
        <v/>
      </c>
      <c r="S167">
        <f>IF(Q167="","",IFERROR(MATCH(Q167,$P$4:$P$2003,0),""))</f>
        <v/>
      </c>
    </row>
    <row r="168">
      <c r="A168" s="4">
        <f>IF($R168="","",IF($R168="T","Gesamtergebnis",IF($R168="B",INDEX($M$4:$M$2003,$S168),INDEX($L$4:$L$2003,$S168))))</f>
        <v/>
      </c>
      <c r="B168" s="4">
        <f>IF($R168="","",IF($R168="T",$K$3,IF($R168="B",COUNTIFS($M$4:$M$2003,INDEX($M$4:$M$2003,$S168),$N$4:$N$2003,1),1)))</f>
        <v/>
      </c>
      <c r="L168">
        <f>IF($K$1="","",IFERROR(INDEX(Lines!$A:$AA,ROW()-2,$K$1),""))</f>
        <v/>
      </c>
      <c r="M168">
        <f>IF($K$2="","",IFERROR(INDEX(Lines!$A:$AA,ROW()-2,$K$2),""))</f>
        <v/>
      </c>
      <c r="N168">
        <f>IF(AND(L168&lt;&gt;"",LEFT(L168,1)="N",M168&lt;&gt;"PICKING",M168&lt;&gt;""),1,0)</f>
        <v/>
      </c>
      <c r="O168">
        <f>IF(N168=1,M168&amp;"|"&amp;L168,REPT("z",40))</f>
        <v/>
      </c>
      <c r="P168">
        <f>IF(N168=1,COUNTIF($O$4:$O$2003,"&lt;"&amp;O168)+1,"")</f>
        <v/>
      </c>
      <c r="Q168">
        <f>IF(OR($R167="",$R167="T"),"",IF($R167="B",$Q167,IF($Q167+1&gt;$K$3,"",$Q167+1)))</f>
        <v/>
      </c>
      <c r="R168">
        <f>IF(OR($R167="",$R167="T"),"",IF($R167="B","S",IF($Q167+1&gt;$K$3,"T",IF(INDEX($M$4:$M$2003,MATCH($Q167+1,$P$4:$P$2003,0))&lt;&gt;INDEX($M$4:$M$2003,MATCH($Q167,$P$4:$P$2003,0)),"B","S"))))</f>
        <v/>
      </c>
      <c r="S168">
        <f>IF(Q168="","",IFERROR(MATCH(Q168,$P$4:$P$2003,0),""))</f>
        <v/>
      </c>
    </row>
    <row r="169">
      <c r="A169" s="4">
        <f>IF($R169="","",IF($R169="T","Gesamtergebnis",IF($R169="B",INDEX($M$4:$M$2003,$S169),INDEX($L$4:$L$2003,$S169))))</f>
        <v/>
      </c>
      <c r="B169" s="4">
        <f>IF($R169="","",IF($R169="T",$K$3,IF($R169="B",COUNTIFS($M$4:$M$2003,INDEX($M$4:$M$2003,$S169),$N$4:$N$2003,1),1)))</f>
        <v/>
      </c>
      <c r="L169">
        <f>IF($K$1="","",IFERROR(INDEX(Lines!$A:$AA,ROW()-2,$K$1),""))</f>
        <v/>
      </c>
      <c r="M169">
        <f>IF($K$2="","",IFERROR(INDEX(Lines!$A:$AA,ROW()-2,$K$2),""))</f>
        <v/>
      </c>
      <c r="N169">
        <f>IF(AND(L169&lt;&gt;"",LEFT(L169,1)="N",M169&lt;&gt;"PICKING",M169&lt;&gt;""),1,0)</f>
        <v/>
      </c>
      <c r="O169">
        <f>IF(N169=1,M169&amp;"|"&amp;L169,REPT("z",40))</f>
        <v/>
      </c>
      <c r="P169">
        <f>IF(N169=1,COUNTIF($O$4:$O$2003,"&lt;"&amp;O169)+1,"")</f>
        <v/>
      </c>
      <c r="Q169">
        <f>IF(OR($R168="",$R168="T"),"",IF($R168="B",$Q168,IF($Q168+1&gt;$K$3,"",$Q168+1)))</f>
        <v/>
      </c>
      <c r="R169">
        <f>IF(OR($R168="",$R168="T"),"",IF($R168="B","S",IF($Q168+1&gt;$K$3,"T",IF(INDEX($M$4:$M$2003,MATCH($Q168+1,$P$4:$P$2003,0))&lt;&gt;INDEX($M$4:$M$2003,MATCH($Q168,$P$4:$P$2003,0)),"B","S"))))</f>
        <v/>
      </c>
      <c r="S169">
        <f>IF(Q169="","",IFERROR(MATCH(Q169,$P$4:$P$2003,0),""))</f>
        <v/>
      </c>
    </row>
    <row r="170">
      <c r="A170" s="4">
        <f>IF($R170="","",IF($R170="T","Gesamtergebnis",IF($R170="B",INDEX($M$4:$M$2003,$S170),INDEX($L$4:$L$2003,$S170))))</f>
        <v/>
      </c>
      <c r="B170" s="4">
        <f>IF($R170="","",IF($R170="T",$K$3,IF($R170="B",COUNTIFS($M$4:$M$2003,INDEX($M$4:$M$2003,$S170),$N$4:$N$2003,1),1)))</f>
        <v/>
      </c>
      <c r="L170">
        <f>IF($K$1="","",IFERROR(INDEX(Lines!$A:$AA,ROW()-2,$K$1),""))</f>
        <v/>
      </c>
      <c r="M170">
        <f>IF($K$2="","",IFERROR(INDEX(Lines!$A:$AA,ROW()-2,$K$2),""))</f>
        <v/>
      </c>
      <c r="N170">
        <f>IF(AND(L170&lt;&gt;"",LEFT(L170,1)="N",M170&lt;&gt;"PICKING",M170&lt;&gt;""),1,0)</f>
        <v/>
      </c>
      <c r="O170">
        <f>IF(N170=1,M170&amp;"|"&amp;L170,REPT("z",40))</f>
        <v/>
      </c>
      <c r="P170">
        <f>IF(N170=1,COUNTIF($O$4:$O$2003,"&lt;"&amp;O170)+1,"")</f>
        <v/>
      </c>
      <c r="Q170">
        <f>IF(OR($R169="",$R169="T"),"",IF($R169="B",$Q169,IF($Q169+1&gt;$K$3,"",$Q169+1)))</f>
        <v/>
      </c>
      <c r="R170">
        <f>IF(OR($R169="",$R169="T"),"",IF($R169="B","S",IF($Q169+1&gt;$K$3,"T",IF(INDEX($M$4:$M$2003,MATCH($Q169+1,$P$4:$P$2003,0))&lt;&gt;INDEX($M$4:$M$2003,MATCH($Q169,$P$4:$P$2003,0)),"B","S"))))</f>
        <v/>
      </c>
      <c r="S170">
        <f>IF(Q170="","",IFERROR(MATCH(Q170,$P$4:$P$2003,0),""))</f>
        <v/>
      </c>
    </row>
    <row r="171">
      <c r="A171" s="4">
        <f>IF($R171="","",IF($R171="T","Gesamtergebnis",IF($R171="B",INDEX($M$4:$M$2003,$S171),INDEX($L$4:$L$2003,$S171))))</f>
        <v/>
      </c>
      <c r="B171" s="4">
        <f>IF($R171="","",IF($R171="T",$K$3,IF($R171="B",COUNTIFS($M$4:$M$2003,INDEX($M$4:$M$2003,$S171),$N$4:$N$2003,1),1)))</f>
        <v/>
      </c>
      <c r="L171">
        <f>IF($K$1="","",IFERROR(INDEX(Lines!$A:$AA,ROW()-2,$K$1),""))</f>
        <v/>
      </c>
      <c r="M171">
        <f>IF($K$2="","",IFERROR(INDEX(Lines!$A:$AA,ROW()-2,$K$2),""))</f>
        <v/>
      </c>
      <c r="N171">
        <f>IF(AND(L171&lt;&gt;"",LEFT(L171,1)="N",M171&lt;&gt;"PICKING",M171&lt;&gt;""),1,0)</f>
        <v/>
      </c>
      <c r="O171">
        <f>IF(N171=1,M171&amp;"|"&amp;L171,REPT("z",40))</f>
        <v/>
      </c>
      <c r="P171">
        <f>IF(N171=1,COUNTIF($O$4:$O$2003,"&lt;"&amp;O171)+1,"")</f>
        <v/>
      </c>
      <c r="Q171">
        <f>IF(OR($R170="",$R170="T"),"",IF($R170="B",$Q170,IF($Q170+1&gt;$K$3,"",$Q170+1)))</f>
        <v/>
      </c>
      <c r="R171">
        <f>IF(OR($R170="",$R170="T"),"",IF($R170="B","S",IF($Q170+1&gt;$K$3,"T",IF(INDEX($M$4:$M$2003,MATCH($Q170+1,$P$4:$P$2003,0))&lt;&gt;INDEX($M$4:$M$2003,MATCH($Q170,$P$4:$P$2003,0)),"B","S"))))</f>
        <v/>
      </c>
      <c r="S171">
        <f>IF(Q171="","",IFERROR(MATCH(Q171,$P$4:$P$2003,0),""))</f>
        <v/>
      </c>
    </row>
    <row r="172">
      <c r="A172" s="4">
        <f>IF($R172="","",IF($R172="T","Gesamtergebnis",IF($R172="B",INDEX($M$4:$M$2003,$S172),INDEX($L$4:$L$2003,$S172))))</f>
        <v/>
      </c>
      <c r="B172" s="4">
        <f>IF($R172="","",IF($R172="T",$K$3,IF($R172="B",COUNTIFS($M$4:$M$2003,INDEX($M$4:$M$2003,$S172),$N$4:$N$2003,1),1)))</f>
        <v/>
      </c>
      <c r="L172">
        <f>IF($K$1="","",IFERROR(INDEX(Lines!$A:$AA,ROW()-2,$K$1),""))</f>
        <v/>
      </c>
      <c r="M172">
        <f>IF($K$2="","",IFERROR(INDEX(Lines!$A:$AA,ROW()-2,$K$2),""))</f>
        <v/>
      </c>
      <c r="N172">
        <f>IF(AND(L172&lt;&gt;"",LEFT(L172,1)="N",M172&lt;&gt;"PICKING",M172&lt;&gt;""),1,0)</f>
        <v/>
      </c>
      <c r="O172">
        <f>IF(N172=1,M172&amp;"|"&amp;L172,REPT("z",40))</f>
        <v/>
      </c>
      <c r="P172">
        <f>IF(N172=1,COUNTIF($O$4:$O$2003,"&lt;"&amp;O172)+1,"")</f>
        <v/>
      </c>
      <c r="Q172">
        <f>IF(OR($R171="",$R171="T"),"",IF($R171="B",$Q171,IF($Q171+1&gt;$K$3,"",$Q171+1)))</f>
        <v/>
      </c>
      <c r="R172">
        <f>IF(OR($R171="",$R171="T"),"",IF($R171="B","S",IF($Q171+1&gt;$K$3,"T",IF(INDEX($M$4:$M$2003,MATCH($Q171+1,$P$4:$P$2003,0))&lt;&gt;INDEX($M$4:$M$2003,MATCH($Q171,$P$4:$P$2003,0)),"B","S"))))</f>
        <v/>
      </c>
      <c r="S172">
        <f>IF(Q172="","",IFERROR(MATCH(Q172,$P$4:$P$2003,0),""))</f>
        <v/>
      </c>
    </row>
    <row r="173">
      <c r="A173" s="4">
        <f>IF($R173="","",IF($R173="T","Gesamtergebnis",IF($R173="B",INDEX($M$4:$M$2003,$S173),INDEX($L$4:$L$2003,$S173))))</f>
        <v/>
      </c>
      <c r="B173" s="4">
        <f>IF($R173="","",IF($R173="T",$K$3,IF($R173="B",COUNTIFS($M$4:$M$2003,INDEX($M$4:$M$2003,$S173),$N$4:$N$2003,1),1)))</f>
        <v/>
      </c>
      <c r="L173">
        <f>IF($K$1="","",IFERROR(INDEX(Lines!$A:$AA,ROW()-2,$K$1),""))</f>
        <v/>
      </c>
      <c r="M173">
        <f>IF($K$2="","",IFERROR(INDEX(Lines!$A:$AA,ROW()-2,$K$2),""))</f>
        <v/>
      </c>
      <c r="N173">
        <f>IF(AND(L173&lt;&gt;"",LEFT(L173,1)="N",M173&lt;&gt;"PICKING",M173&lt;&gt;""),1,0)</f>
        <v/>
      </c>
      <c r="O173">
        <f>IF(N173=1,M173&amp;"|"&amp;L173,REPT("z",40))</f>
        <v/>
      </c>
      <c r="P173">
        <f>IF(N173=1,COUNTIF($O$4:$O$2003,"&lt;"&amp;O173)+1,"")</f>
        <v/>
      </c>
      <c r="Q173">
        <f>IF(OR($R172="",$R172="T"),"",IF($R172="B",$Q172,IF($Q172+1&gt;$K$3,"",$Q172+1)))</f>
        <v/>
      </c>
      <c r="R173">
        <f>IF(OR($R172="",$R172="T"),"",IF($R172="B","S",IF($Q172+1&gt;$K$3,"T",IF(INDEX($M$4:$M$2003,MATCH($Q172+1,$P$4:$P$2003,0))&lt;&gt;INDEX($M$4:$M$2003,MATCH($Q172,$P$4:$P$2003,0)),"B","S"))))</f>
        <v/>
      </c>
      <c r="S173">
        <f>IF(Q173="","",IFERROR(MATCH(Q173,$P$4:$P$2003,0),""))</f>
        <v/>
      </c>
    </row>
    <row r="174">
      <c r="A174" s="4">
        <f>IF($R174="","",IF($R174="T","Gesamtergebnis",IF($R174="B",INDEX($M$4:$M$2003,$S174),INDEX($L$4:$L$2003,$S174))))</f>
        <v/>
      </c>
      <c r="B174" s="4">
        <f>IF($R174="","",IF($R174="T",$K$3,IF($R174="B",COUNTIFS($M$4:$M$2003,INDEX($M$4:$M$2003,$S174),$N$4:$N$2003,1),1)))</f>
        <v/>
      </c>
      <c r="L174">
        <f>IF($K$1="","",IFERROR(INDEX(Lines!$A:$AA,ROW()-2,$K$1),""))</f>
        <v/>
      </c>
      <c r="M174">
        <f>IF($K$2="","",IFERROR(INDEX(Lines!$A:$AA,ROW()-2,$K$2),""))</f>
        <v/>
      </c>
      <c r="N174">
        <f>IF(AND(L174&lt;&gt;"",LEFT(L174,1)="N",M174&lt;&gt;"PICKING",M174&lt;&gt;""),1,0)</f>
        <v/>
      </c>
      <c r="O174">
        <f>IF(N174=1,M174&amp;"|"&amp;L174,REPT("z",40))</f>
        <v/>
      </c>
      <c r="P174">
        <f>IF(N174=1,COUNTIF($O$4:$O$2003,"&lt;"&amp;O174)+1,"")</f>
        <v/>
      </c>
      <c r="Q174">
        <f>IF(OR($R173="",$R173="T"),"",IF($R173="B",$Q173,IF($Q173+1&gt;$K$3,"",$Q173+1)))</f>
        <v/>
      </c>
      <c r="R174">
        <f>IF(OR($R173="",$R173="T"),"",IF($R173="B","S",IF($Q173+1&gt;$K$3,"T",IF(INDEX($M$4:$M$2003,MATCH($Q173+1,$P$4:$P$2003,0))&lt;&gt;INDEX($M$4:$M$2003,MATCH($Q173,$P$4:$P$2003,0)),"B","S"))))</f>
        <v/>
      </c>
      <c r="S174">
        <f>IF(Q174="","",IFERROR(MATCH(Q174,$P$4:$P$2003,0),""))</f>
        <v/>
      </c>
    </row>
    <row r="175">
      <c r="A175" s="4">
        <f>IF($R175="","",IF($R175="T","Gesamtergebnis",IF($R175="B",INDEX($M$4:$M$2003,$S175),INDEX($L$4:$L$2003,$S175))))</f>
        <v/>
      </c>
      <c r="B175" s="4">
        <f>IF($R175="","",IF($R175="T",$K$3,IF($R175="B",COUNTIFS($M$4:$M$2003,INDEX($M$4:$M$2003,$S175),$N$4:$N$2003,1),1)))</f>
        <v/>
      </c>
      <c r="L175">
        <f>IF($K$1="","",IFERROR(INDEX(Lines!$A:$AA,ROW()-2,$K$1),""))</f>
        <v/>
      </c>
      <c r="M175">
        <f>IF($K$2="","",IFERROR(INDEX(Lines!$A:$AA,ROW()-2,$K$2),""))</f>
        <v/>
      </c>
      <c r="N175">
        <f>IF(AND(L175&lt;&gt;"",LEFT(L175,1)="N",M175&lt;&gt;"PICKING",M175&lt;&gt;""),1,0)</f>
        <v/>
      </c>
      <c r="O175">
        <f>IF(N175=1,M175&amp;"|"&amp;L175,REPT("z",40))</f>
        <v/>
      </c>
      <c r="P175">
        <f>IF(N175=1,COUNTIF($O$4:$O$2003,"&lt;"&amp;O175)+1,"")</f>
        <v/>
      </c>
      <c r="Q175">
        <f>IF(OR($R174="",$R174="T"),"",IF($R174="B",$Q174,IF($Q174+1&gt;$K$3,"",$Q174+1)))</f>
        <v/>
      </c>
      <c r="R175">
        <f>IF(OR($R174="",$R174="T"),"",IF($R174="B","S",IF($Q174+1&gt;$K$3,"T",IF(INDEX($M$4:$M$2003,MATCH($Q174+1,$P$4:$P$2003,0))&lt;&gt;INDEX($M$4:$M$2003,MATCH($Q174,$P$4:$P$2003,0)),"B","S"))))</f>
        <v/>
      </c>
      <c r="S175">
        <f>IF(Q175="","",IFERROR(MATCH(Q175,$P$4:$P$2003,0),""))</f>
        <v/>
      </c>
    </row>
    <row r="176">
      <c r="A176" s="4">
        <f>IF($R176="","",IF($R176="T","Gesamtergebnis",IF($R176="B",INDEX($M$4:$M$2003,$S176),INDEX($L$4:$L$2003,$S176))))</f>
        <v/>
      </c>
      <c r="B176" s="4">
        <f>IF($R176="","",IF($R176="T",$K$3,IF($R176="B",COUNTIFS($M$4:$M$2003,INDEX($M$4:$M$2003,$S176),$N$4:$N$2003,1),1)))</f>
        <v/>
      </c>
      <c r="L176">
        <f>IF($K$1="","",IFERROR(INDEX(Lines!$A:$AA,ROW()-2,$K$1),""))</f>
        <v/>
      </c>
      <c r="M176">
        <f>IF($K$2="","",IFERROR(INDEX(Lines!$A:$AA,ROW()-2,$K$2),""))</f>
        <v/>
      </c>
      <c r="N176">
        <f>IF(AND(L176&lt;&gt;"",LEFT(L176,1)="N",M176&lt;&gt;"PICKING",M176&lt;&gt;""),1,0)</f>
        <v/>
      </c>
      <c r="O176">
        <f>IF(N176=1,M176&amp;"|"&amp;L176,REPT("z",40))</f>
        <v/>
      </c>
      <c r="P176">
        <f>IF(N176=1,COUNTIF($O$4:$O$2003,"&lt;"&amp;O176)+1,"")</f>
        <v/>
      </c>
      <c r="Q176">
        <f>IF(OR($R175="",$R175="T"),"",IF($R175="B",$Q175,IF($Q175+1&gt;$K$3,"",$Q175+1)))</f>
        <v/>
      </c>
      <c r="R176">
        <f>IF(OR($R175="",$R175="T"),"",IF($R175="B","S",IF($Q175+1&gt;$K$3,"T",IF(INDEX($M$4:$M$2003,MATCH($Q175+1,$P$4:$P$2003,0))&lt;&gt;INDEX($M$4:$M$2003,MATCH($Q175,$P$4:$P$2003,0)),"B","S"))))</f>
        <v/>
      </c>
      <c r="S176">
        <f>IF(Q176="","",IFERROR(MATCH(Q176,$P$4:$P$2003,0),""))</f>
        <v/>
      </c>
    </row>
    <row r="177">
      <c r="A177" s="4">
        <f>IF($R177="","",IF($R177="T","Gesamtergebnis",IF($R177="B",INDEX($M$4:$M$2003,$S177),INDEX($L$4:$L$2003,$S177))))</f>
        <v/>
      </c>
      <c r="B177" s="4">
        <f>IF($R177="","",IF($R177="T",$K$3,IF($R177="B",COUNTIFS($M$4:$M$2003,INDEX($M$4:$M$2003,$S177),$N$4:$N$2003,1),1)))</f>
        <v/>
      </c>
      <c r="L177">
        <f>IF($K$1="","",IFERROR(INDEX(Lines!$A:$AA,ROW()-2,$K$1),""))</f>
        <v/>
      </c>
      <c r="M177">
        <f>IF($K$2="","",IFERROR(INDEX(Lines!$A:$AA,ROW()-2,$K$2),""))</f>
        <v/>
      </c>
      <c r="N177">
        <f>IF(AND(L177&lt;&gt;"",LEFT(L177,1)="N",M177&lt;&gt;"PICKING",M177&lt;&gt;""),1,0)</f>
        <v/>
      </c>
      <c r="O177">
        <f>IF(N177=1,M177&amp;"|"&amp;L177,REPT("z",40))</f>
        <v/>
      </c>
      <c r="P177">
        <f>IF(N177=1,COUNTIF($O$4:$O$2003,"&lt;"&amp;O177)+1,"")</f>
        <v/>
      </c>
      <c r="Q177">
        <f>IF(OR($R176="",$R176="T"),"",IF($R176="B",$Q176,IF($Q176+1&gt;$K$3,"",$Q176+1)))</f>
        <v/>
      </c>
      <c r="R177">
        <f>IF(OR($R176="",$R176="T"),"",IF($R176="B","S",IF($Q176+1&gt;$K$3,"T",IF(INDEX($M$4:$M$2003,MATCH($Q176+1,$P$4:$P$2003,0))&lt;&gt;INDEX($M$4:$M$2003,MATCH($Q176,$P$4:$P$2003,0)),"B","S"))))</f>
        <v/>
      </c>
      <c r="S177">
        <f>IF(Q177="","",IFERROR(MATCH(Q177,$P$4:$P$2003,0),""))</f>
        <v/>
      </c>
    </row>
    <row r="178">
      <c r="A178" s="4">
        <f>IF($R178="","",IF($R178="T","Gesamtergebnis",IF($R178="B",INDEX($M$4:$M$2003,$S178),INDEX($L$4:$L$2003,$S178))))</f>
        <v/>
      </c>
      <c r="B178" s="4">
        <f>IF($R178="","",IF($R178="T",$K$3,IF($R178="B",COUNTIFS($M$4:$M$2003,INDEX($M$4:$M$2003,$S178),$N$4:$N$2003,1),1)))</f>
        <v/>
      </c>
      <c r="L178">
        <f>IF($K$1="","",IFERROR(INDEX(Lines!$A:$AA,ROW()-2,$K$1),""))</f>
        <v/>
      </c>
      <c r="M178">
        <f>IF($K$2="","",IFERROR(INDEX(Lines!$A:$AA,ROW()-2,$K$2),""))</f>
        <v/>
      </c>
      <c r="N178">
        <f>IF(AND(L178&lt;&gt;"",LEFT(L178,1)="N",M178&lt;&gt;"PICKING",M178&lt;&gt;""),1,0)</f>
        <v/>
      </c>
      <c r="O178">
        <f>IF(N178=1,M178&amp;"|"&amp;L178,REPT("z",40))</f>
        <v/>
      </c>
      <c r="P178">
        <f>IF(N178=1,COUNTIF($O$4:$O$2003,"&lt;"&amp;O178)+1,"")</f>
        <v/>
      </c>
      <c r="Q178">
        <f>IF(OR($R177="",$R177="T"),"",IF($R177="B",$Q177,IF($Q177+1&gt;$K$3,"",$Q177+1)))</f>
        <v/>
      </c>
      <c r="R178">
        <f>IF(OR($R177="",$R177="T"),"",IF($R177="B","S",IF($Q177+1&gt;$K$3,"T",IF(INDEX($M$4:$M$2003,MATCH($Q177+1,$P$4:$P$2003,0))&lt;&gt;INDEX($M$4:$M$2003,MATCH($Q177,$P$4:$P$2003,0)),"B","S"))))</f>
        <v/>
      </c>
      <c r="S178">
        <f>IF(Q178="","",IFERROR(MATCH(Q178,$P$4:$P$2003,0),""))</f>
        <v/>
      </c>
    </row>
    <row r="179">
      <c r="A179" s="4">
        <f>IF($R179="","",IF($R179="T","Gesamtergebnis",IF($R179="B",INDEX($M$4:$M$2003,$S179),INDEX($L$4:$L$2003,$S179))))</f>
        <v/>
      </c>
      <c r="B179" s="4">
        <f>IF($R179="","",IF($R179="T",$K$3,IF($R179="B",COUNTIFS($M$4:$M$2003,INDEX($M$4:$M$2003,$S179),$N$4:$N$2003,1),1)))</f>
        <v/>
      </c>
      <c r="L179">
        <f>IF($K$1="","",IFERROR(INDEX(Lines!$A:$AA,ROW()-2,$K$1),""))</f>
        <v/>
      </c>
      <c r="M179">
        <f>IF($K$2="","",IFERROR(INDEX(Lines!$A:$AA,ROW()-2,$K$2),""))</f>
        <v/>
      </c>
      <c r="N179">
        <f>IF(AND(L179&lt;&gt;"",LEFT(L179,1)="N",M179&lt;&gt;"PICKING",M179&lt;&gt;""),1,0)</f>
        <v/>
      </c>
      <c r="O179">
        <f>IF(N179=1,M179&amp;"|"&amp;L179,REPT("z",40))</f>
        <v/>
      </c>
      <c r="P179">
        <f>IF(N179=1,COUNTIF($O$4:$O$2003,"&lt;"&amp;O179)+1,"")</f>
        <v/>
      </c>
      <c r="Q179">
        <f>IF(OR($R178="",$R178="T"),"",IF($R178="B",$Q178,IF($Q178+1&gt;$K$3,"",$Q178+1)))</f>
        <v/>
      </c>
      <c r="R179">
        <f>IF(OR($R178="",$R178="T"),"",IF($R178="B","S",IF($Q178+1&gt;$K$3,"T",IF(INDEX($M$4:$M$2003,MATCH($Q178+1,$P$4:$P$2003,0))&lt;&gt;INDEX($M$4:$M$2003,MATCH($Q178,$P$4:$P$2003,0)),"B","S"))))</f>
        <v/>
      </c>
      <c r="S179">
        <f>IF(Q179="","",IFERROR(MATCH(Q179,$P$4:$P$2003,0),""))</f>
        <v/>
      </c>
    </row>
    <row r="180">
      <c r="A180" s="4">
        <f>IF($R180="","",IF($R180="T","Gesamtergebnis",IF($R180="B",INDEX($M$4:$M$2003,$S180),INDEX($L$4:$L$2003,$S180))))</f>
        <v/>
      </c>
      <c r="B180" s="4">
        <f>IF($R180="","",IF($R180="T",$K$3,IF($R180="B",COUNTIFS($M$4:$M$2003,INDEX($M$4:$M$2003,$S180),$N$4:$N$2003,1),1)))</f>
        <v/>
      </c>
      <c r="L180">
        <f>IF($K$1="","",IFERROR(INDEX(Lines!$A:$AA,ROW()-2,$K$1),""))</f>
        <v/>
      </c>
      <c r="M180">
        <f>IF($K$2="","",IFERROR(INDEX(Lines!$A:$AA,ROW()-2,$K$2),""))</f>
        <v/>
      </c>
      <c r="N180">
        <f>IF(AND(L180&lt;&gt;"",LEFT(L180,1)="N",M180&lt;&gt;"PICKING",M180&lt;&gt;""),1,0)</f>
        <v/>
      </c>
      <c r="O180">
        <f>IF(N180=1,M180&amp;"|"&amp;L180,REPT("z",40))</f>
        <v/>
      </c>
      <c r="P180">
        <f>IF(N180=1,COUNTIF($O$4:$O$2003,"&lt;"&amp;O180)+1,"")</f>
        <v/>
      </c>
      <c r="Q180">
        <f>IF(OR($R179="",$R179="T"),"",IF($R179="B",$Q179,IF($Q179+1&gt;$K$3,"",$Q179+1)))</f>
        <v/>
      </c>
      <c r="R180">
        <f>IF(OR($R179="",$R179="T"),"",IF($R179="B","S",IF($Q179+1&gt;$K$3,"T",IF(INDEX($M$4:$M$2003,MATCH($Q179+1,$P$4:$P$2003,0))&lt;&gt;INDEX($M$4:$M$2003,MATCH($Q179,$P$4:$P$2003,0)),"B","S"))))</f>
        <v/>
      </c>
      <c r="S180">
        <f>IF(Q180="","",IFERROR(MATCH(Q180,$P$4:$P$2003,0),""))</f>
        <v/>
      </c>
    </row>
    <row r="181">
      <c r="A181" s="4">
        <f>IF($R181="","",IF($R181="T","Gesamtergebnis",IF($R181="B",INDEX($M$4:$M$2003,$S181),INDEX($L$4:$L$2003,$S181))))</f>
        <v/>
      </c>
      <c r="B181" s="4">
        <f>IF($R181="","",IF($R181="T",$K$3,IF($R181="B",COUNTIFS($M$4:$M$2003,INDEX($M$4:$M$2003,$S181),$N$4:$N$2003,1),1)))</f>
        <v/>
      </c>
      <c r="L181">
        <f>IF($K$1="","",IFERROR(INDEX(Lines!$A:$AA,ROW()-2,$K$1),""))</f>
        <v/>
      </c>
      <c r="M181">
        <f>IF($K$2="","",IFERROR(INDEX(Lines!$A:$AA,ROW()-2,$K$2),""))</f>
        <v/>
      </c>
      <c r="N181">
        <f>IF(AND(L181&lt;&gt;"",LEFT(L181,1)="N",M181&lt;&gt;"PICKING",M181&lt;&gt;""),1,0)</f>
        <v/>
      </c>
      <c r="O181">
        <f>IF(N181=1,M181&amp;"|"&amp;L181,REPT("z",40))</f>
        <v/>
      </c>
      <c r="P181">
        <f>IF(N181=1,COUNTIF($O$4:$O$2003,"&lt;"&amp;O181)+1,"")</f>
        <v/>
      </c>
      <c r="Q181">
        <f>IF(OR($R180="",$R180="T"),"",IF($R180="B",$Q180,IF($Q180+1&gt;$K$3,"",$Q180+1)))</f>
        <v/>
      </c>
      <c r="R181">
        <f>IF(OR($R180="",$R180="T"),"",IF($R180="B","S",IF($Q180+1&gt;$K$3,"T",IF(INDEX($M$4:$M$2003,MATCH($Q180+1,$P$4:$P$2003,0))&lt;&gt;INDEX($M$4:$M$2003,MATCH($Q180,$P$4:$P$2003,0)),"B","S"))))</f>
        <v/>
      </c>
      <c r="S181">
        <f>IF(Q181="","",IFERROR(MATCH(Q181,$P$4:$P$2003,0),""))</f>
        <v/>
      </c>
    </row>
    <row r="182">
      <c r="A182" s="4">
        <f>IF($R182="","",IF($R182="T","Gesamtergebnis",IF($R182="B",INDEX($M$4:$M$2003,$S182),INDEX($L$4:$L$2003,$S182))))</f>
        <v/>
      </c>
      <c r="B182" s="4">
        <f>IF($R182="","",IF($R182="T",$K$3,IF($R182="B",COUNTIFS($M$4:$M$2003,INDEX($M$4:$M$2003,$S182),$N$4:$N$2003,1),1)))</f>
        <v/>
      </c>
      <c r="L182">
        <f>IF($K$1="","",IFERROR(INDEX(Lines!$A:$AA,ROW()-2,$K$1),""))</f>
        <v/>
      </c>
      <c r="M182">
        <f>IF($K$2="","",IFERROR(INDEX(Lines!$A:$AA,ROW()-2,$K$2),""))</f>
        <v/>
      </c>
      <c r="N182">
        <f>IF(AND(L182&lt;&gt;"",LEFT(L182,1)="N",M182&lt;&gt;"PICKING",M182&lt;&gt;""),1,0)</f>
        <v/>
      </c>
      <c r="O182">
        <f>IF(N182=1,M182&amp;"|"&amp;L182,REPT("z",40))</f>
        <v/>
      </c>
      <c r="P182">
        <f>IF(N182=1,COUNTIF($O$4:$O$2003,"&lt;"&amp;O182)+1,"")</f>
        <v/>
      </c>
      <c r="Q182">
        <f>IF(OR($R181="",$R181="T"),"",IF($R181="B",$Q181,IF($Q181+1&gt;$K$3,"",$Q181+1)))</f>
        <v/>
      </c>
      <c r="R182">
        <f>IF(OR($R181="",$R181="T"),"",IF($R181="B","S",IF($Q181+1&gt;$K$3,"T",IF(INDEX($M$4:$M$2003,MATCH($Q181+1,$P$4:$P$2003,0))&lt;&gt;INDEX($M$4:$M$2003,MATCH($Q181,$P$4:$P$2003,0)),"B","S"))))</f>
        <v/>
      </c>
      <c r="S182">
        <f>IF(Q182="","",IFERROR(MATCH(Q182,$P$4:$P$2003,0),""))</f>
        <v/>
      </c>
    </row>
    <row r="183">
      <c r="A183" s="4">
        <f>IF($R183="","",IF($R183="T","Gesamtergebnis",IF($R183="B",INDEX($M$4:$M$2003,$S183),INDEX($L$4:$L$2003,$S183))))</f>
        <v/>
      </c>
      <c r="B183" s="4">
        <f>IF($R183="","",IF($R183="T",$K$3,IF($R183="B",COUNTIFS($M$4:$M$2003,INDEX($M$4:$M$2003,$S183),$N$4:$N$2003,1),1)))</f>
        <v/>
      </c>
      <c r="L183">
        <f>IF($K$1="","",IFERROR(INDEX(Lines!$A:$AA,ROW()-2,$K$1),""))</f>
        <v/>
      </c>
      <c r="M183">
        <f>IF($K$2="","",IFERROR(INDEX(Lines!$A:$AA,ROW()-2,$K$2),""))</f>
        <v/>
      </c>
      <c r="N183">
        <f>IF(AND(L183&lt;&gt;"",LEFT(L183,1)="N",M183&lt;&gt;"PICKING",M183&lt;&gt;""),1,0)</f>
        <v/>
      </c>
      <c r="O183">
        <f>IF(N183=1,M183&amp;"|"&amp;L183,REPT("z",40))</f>
        <v/>
      </c>
      <c r="P183">
        <f>IF(N183=1,COUNTIF($O$4:$O$2003,"&lt;"&amp;O183)+1,"")</f>
        <v/>
      </c>
      <c r="Q183">
        <f>IF(OR($R182="",$R182="T"),"",IF($R182="B",$Q182,IF($Q182+1&gt;$K$3,"",$Q182+1)))</f>
        <v/>
      </c>
      <c r="R183">
        <f>IF(OR($R182="",$R182="T"),"",IF($R182="B","S",IF($Q182+1&gt;$K$3,"T",IF(INDEX($M$4:$M$2003,MATCH($Q182+1,$P$4:$P$2003,0))&lt;&gt;INDEX($M$4:$M$2003,MATCH($Q182,$P$4:$P$2003,0)),"B","S"))))</f>
        <v/>
      </c>
      <c r="S183">
        <f>IF(Q183="","",IFERROR(MATCH(Q183,$P$4:$P$2003,0),""))</f>
        <v/>
      </c>
    </row>
    <row r="184">
      <c r="A184" s="4">
        <f>IF($R184="","",IF($R184="T","Gesamtergebnis",IF($R184="B",INDEX($M$4:$M$2003,$S184),INDEX($L$4:$L$2003,$S184))))</f>
        <v/>
      </c>
      <c r="B184" s="4">
        <f>IF($R184="","",IF($R184="T",$K$3,IF($R184="B",COUNTIFS($M$4:$M$2003,INDEX($M$4:$M$2003,$S184),$N$4:$N$2003,1),1)))</f>
        <v/>
      </c>
      <c r="L184">
        <f>IF($K$1="","",IFERROR(INDEX(Lines!$A:$AA,ROW()-2,$K$1),""))</f>
        <v/>
      </c>
      <c r="M184">
        <f>IF($K$2="","",IFERROR(INDEX(Lines!$A:$AA,ROW()-2,$K$2),""))</f>
        <v/>
      </c>
      <c r="N184">
        <f>IF(AND(L184&lt;&gt;"",LEFT(L184,1)="N",M184&lt;&gt;"PICKING",M184&lt;&gt;""),1,0)</f>
        <v/>
      </c>
      <c r="O184">
        <f>IF(N184=1,M184&amp;"|"&amp;L184,REPT("z",40))</f>
        <v/>
      </c>
      <c r="P184">
        <f>IF(N184=1,COUNTIF($O$4:$O$2003,"&lt;"&amp;O184)+1,"")</f>
        <v/>
      </c>
      <c r="Q184">
        <f>IF(OR($R183="",$R183="T"),"",IF($R183="B",$Q183,IF($Q183+1&gt;$K$3,"",$Q183+1)))</f>
        <v/>
      </c>
      <c r="R184">
        <f>IF(OR($R183="",$R183="T"),"",IF($R183="B","S",IF($Q183+1&gt;$K$3,"T",IF(INDEX($M$4:$M$2003,MATCH($Q183+1,$P$4:$P$2003,0))&lt;&gt;INDEX($M$4:$M$2003,MATCH($Q183,$P$4:$P$2003,0)),"B","S"))))</f>
        <v/>
      </c>
      <c r="S184">
        <f>IF(Q184="","",IFERROR(MATCH(Q184,$P$4:$P$2003,0),""))</f>
        <v/>
      </c>
    </row>
    <row r="185">
      <c r="A185" s="4">
        <f>IF($R185="","",IF($R185="T","Gesamtergebnis",IF($R185="B",INDEX($M$4:$M$2003,$S185),INDEX($L$4:$L$2003,$S185))))</f>
        <v/>
      </c>
      <c r="B185" s="4">
        <f>IF($R185="","",IF($R185="T",$K$3,IF($R185="B",COUNTIFS($M$4:$M$2003,INDEX($M$4:$M$2003,$S185),$N$4:$N$2003,1),1)))</f>
        <v/>
      </c>
      <c r="L185">
        <f>IF($K$1="","",IFERROR(INDEX(Lines!$A:$AA,ROW()-2,$K$1),""))</f>
        <v/>
      </c>
      <c r="M185">
        <f>IF($K$2="","",IFERROR(INDEX(Lines!$A:$AA,ROW()-2,$K$2),""))</f>
        <v/>
      </c>
      <c r="N185">
        <f>IF(AND(L185&lt;&gt;"",LEFT(L185,1)="N",M185&lt;&gt;"PICKING",M185&lt;&gt;""),1,0)</f>
        <v/>
      </c>
      <c r="O185">
        <f>IF(N185=1,M185&amp;"|"&amp;L185,REPT("z",40))</f>
        <v/>
      </c>
      <c r="P185">
        <f>IF(N185=1,COUNTIF($O$4:$O$2003,"&lt;"&amp;O185)+1,"")</f>
        <v/>
      </c>
      <c r="Q185">
        <f>IF(OR($R184="",$R184="T"),"",IF($R184="B",$Q184,IF($Q184+1&gt;$K$3,"",$Q184+1)))</f>
        <v/>
      </c>
      <c r="R185">
        <f>IF(OR($R184="",$R184="T"),"",IF($R184="B","S",IF($Q184+1&gt;$K$3,"T",IF(INDEX($M$4:$M$2003,MATCH($Q184+1,$P$4:$P$2003,0))&lt;&gt;INDEX($M$4:$M$2003,MATCH($Q184,$P$4:$P$2003,0)),"B","S"))))</f>
        <v/>
      </c>
      <c r="S185">
        <f>IF(Q185="","",IFERROR(MATCH(Q185,$P$4:$P$2003,0),""))</f>
        <v/>
      </c>
    </row>
    <row r="186">
      <c r="A186" s="4">
        <f>IF($R186="","",IF($R186="T","Gesamtergebnis",IF($R186="B",INDEX($M$4:$M$2003,$S186),INDEX($L$4:$L$2003,$S186))))</f>
        <v/>
      </c>
      <c r="B186" s="4">
        <f>IF($R186="","",IF($R186="T",$K$3,IF($R186="B",COUNTIFS($M$4:$M$2003,INDEX($M$4:$M$2003,$S186),$N$4:$N$2003,1),1)))</f>
        <v/>
      </c>
      <c r="L186">
        <f>IF($K$1="","",IFERROR(INDEX(Lines!$A:$AA,ROW()-2,$K$1),""))</f>
        <v/>
      </c>
      <c r="M186">
        <f>IF($K$2="","",IFERROR(INDEX(Lines!$A:$AA,ROW()-2,$K$2),""))</f>
        <v/>
      </c>
      <c r="N186">
        <f>IF(AND(L186&lt;&gt;"",LEFT(L186,1)="N",M186&lt;&gt;"PICKING",M186&lt;&gt;""),1,0)</f>
        <v/>
      </c>
      <c r="O186">
        <f>IF(N186=1,M186&amp;"|"&amp;L186,REPT("z",40))</f>
        <v/>
      </c>
      <c r="P186">
        <f>IF(N186=1,COUNTIF($O$4:$O$2003,"&lt;"&amp;O186)+1,"")</f>
        <v/>
      </c>
      <c r="Q186">
        <f>IF(OR($R185="",$R185="T"),"",IF($R185="B",$Q185,IF($Q185+1&gt;$K$3,"",$Q185+1)))</f>
        <v/>
      </c>
      <c r="R186">
        <f>IF(OR($R185="",$R185="T"),"",IF($R185="B","S",IF($Q185+1&gt;$K$3,"T",IF(INDEX($M$4:$M$2003,MATCH($Q185+1,$P$4:$P$2003,0))&lt;&gt;INDEX($M$4:$M$2003,MATCH($Q185,$P$4:$P$2003,0)),"B","S"))))</f>
        <v/>
      </c>
      <c r="S186">
        <f>IF(Q186="","",IFERROR(MATCH(Q186,$P$4:$P$2003,0),""))</f>
        <v/>
      </c>
    </row>
    <row r="187">
      <c r="A187" s="4">
        <f>IF($R187="","",IF($R187="T","Gesamtergebnis",IF($R187="B",INDEX($M$4:$M$2003,$S187),INDEX($L$4:$L$2003,$S187))))</f>
        <v/>
      </c>
      <c r="B187" s="4">
        <f>IF($R187="","",IF($R187="T",$K$3,IF($R187="B",COUNTIFS($M$4:$M$2003,INDEX($M$4:$M$2003,$S187),$N$4:$N$2003,1),1)))</f>
        <v/>
      </c>
      <c r="L187">
        <f>IF($K$1="","",IFERROR(INDEX(Lines!$A:$AA,ROW()-2,$K$1),""))</f>
        <v/>
      </c>
      <c r="M187">
        <f>IF($K$2="","",IFERROR(INDEX(Lines!$A:$AA,ROW()-2,$K$2),""))</f>
        <v/>
      </c>
      <c r="N187">
        <f>IF(AND(L187&lt;&gt;"",LEFT(L187,1)="N",M187&lt;&gt;"PICKING",M187&lt;&gt;""),1,0)</f>
        <v/>
      </c>
      <c r="O187">
        <f>IF(N187=1,M187&amp;"|"&amp;L187,REPT("z",40))</f>
        <v/>
      </c>
      <c r="P187">
        <f>IF(N187=1,COUNTIF($O$4:$O$2003,"&lt;"&amp;O187)+1,"")</f>
        <v/>
      </c>
      <c r="Q187">
        <f>IF(OR($R186="",$R186="T"),"",IF($R186="B",$Q186,IF($Q186+1&gt;$K$3,"",$Q186+1)))</f>
        <v/>
      </c>
      <c r="R187">
        <f>IF(OR($R186="",$R186="T"),"",IF($R186="B","S",IF($Q186+1&gt;$K$3,"T",IF(INDEX($M$4:$M$2003,MATCH($Q186+1,$P$4:$P$2003,0))&lt;&gt;INDEX($M$4:$M$2003,MATCH($Q186,$P$4:$P$2003,0)),"B","S"))))</f>
        <v/>
      </c>
      <c r="S187">
        <f>IF(Q187="","",IFERROR(MATCH(Q187,$P$4:$P$2003,0),""))</f>
        <v/>
      </c>
    </row>
    <row r="188">
      <c r="A188" s="4">
        <f>IF($R188="","",IF($R188="T","Gesamtergebnis",IF($R188="B",INDEX($M$4:$M$2003,$S188),INDEX($L$4:$L$2003,$S188))))</f>
        <v/>
      </c>
      <c r="B188" s="4">
        <f>IF($R188="","",IF($R188="T",$K$3,IF($R188="B",COUNTIFS($M$4:$M$2003,INDEX($M$4:$M$2003,$S188),$N$4:$N$2003,1),1)))</f>
        <v/>
      </c>
      <c r="L188">
        <f>IF($K$1="","",IFERROR(INDEX(Lines!$A:$AA,ROW()-2,$K$1),""))</f>
        <v/>
      </c>
      <c r="M188">
        <f>IF($K$2="","",IFERROR(INDEX(Lines!$A:$AA,ROW()-2,$K$2),""))</f>
        <v/>
      </c>
      <c r="N188">
        <f>IF(AND(L188&lt;&gt;"",LEFT(L188,1)="N",M188&lt;&gt;"PICKING",M188&lt;&gt;""),1,0)</f>
        <v/>
      </c>
      <c r="O188">
        <f>IF(N188=1,M188&amp;"|"&amp;L188,REPT("z",40))</f>
        <v/>
      </c>
      <c r="P188">
        <f>IF(N188=1,COUNTIF($O$4:$O$2003,"&lt;"&amp;O188)+1,"")</f>
        <v/>
      </c>
      <c r="Q188">
        <f>IF(OR($R187="",$R187="T"),"",IF($R187="B",$Q187,IF($Q187+1&gt;$K$3,"",$Q187+1)))</f>
        <v/>
      </c>
      <c r="R188">
        <f>IF(OR($R187="",$R187="T"),"",IF($R187="B","S",IF($Q187+1&gt;$K$3,"T",IF(INDEX($M$4:$M$2003,MATCH($Q187+1,$P$4:$P$2003,0))&lt;&gt;INDEX($M$4:$M$2003,MATCH($Q187,$P$4:$P$2003,0)),"B","S"))))</f>
        <v/>
      </c>
      <c r="S188">
        <f>IF(Q188="","",IFERROR(MATCH(Q188,$P$4:$P$2003,0),""))</f>
        <v/>
      </c>
    </row>
    <row r="189">
      <c r="A189" s="4">
        <f>IF($R189="","",IF($R189="T","Gesamtergebnis",IF($R189="B",INDEX($M$4:$M$2003,$S189),INDEX($L$4:$L$2003,$S189))))</f>
        <v/>
      </c>
      <c r="B189" s="4">
        <f>IF($R189="","",IF($R189="T",$K$3,IF($R189="B",COUNTIFS($M$4:$M$2003,INDEX($M$4:$M$2003,$S189),$N$4:$N$2003,1),1)))</f>
        <v/>
      </c>
      <c r="L189">
        <f>IF($K$1="","",IFERROR(INDEX(Lines!$A:$AA,ROW()-2,$K$1),""))</f>
        <v/>
      </c>
      <c r="M189">
        <f>IF($K$2="","",IFERROR(INDEX(Lines!$A:$AA,ROW()-2,$K$2),""))</f>
        <v/>
      </c>
      <c r="N189">
        <f>IF(AND(L189&lt;&gt;"",LEFT(L189,1)="N",M189&lt;&gt;"PICKING",M189&lt;&gt;""),1,0)</f>
        <v/>
      </c>
      <c r="O189">
        <f>IF(N189=1,M189&amp;"|"&amp;L189,REPT("z",40))</f>
        <v/>
      </c>
      <c r="P189">
        <f>IF(N189=1,COUNTIF($O$4:$O$2003,"&lt;"&amp;O189)+1,"")</f>
        <v/>
      </c>
      <c r="Q189">
        <f>IF(OR($R188="",$R188="T"),"",IF($R188="B",$Q188,IF($Q188+1&gt;$K$3,"",$Q188+1)))</f>
        <v/>
      </c>
      <c r="R189">
        <f>IF(OR($R188="",$R188="T"),"",IF($R188="B","S",IF($Q188+1&gt;$K$3,"T",IF(INDEX($M$4:$M$2003,MATCH($Q188+1,$P$4:$P$2003,0))&lt;&gt;INDEX($M$4:$M$2003,MATCH($Q188,$P$4:$P$2003,0)),"B","S"))))</f>
        <v/>
      </c>
      <c r="S189">
        <f>IF(Q189="","",IFERROR(MATCH(Q189,$P$4:$P$2003,0),""))</f>
        <v/>
      </c>
    </row>
    <row r="190">
      <c r="A190" s="4">
        <f>IF($R190="","",IF($R190="T","Gesamtergebnis",IF($R190="B",INDEX($M$4:$M$2003,$S190),INDEX($L$4:$L$2003,$S190))))</f>
        <v/>
      </c>
      <c r="B190" s="4">
        <f>IF($R190="","",IF($R190="T",$K$3,IF($R190="B",COUNTIFS($M$4:$M$2003,INDEX($M$4:$M$2003,$S190),$N$4:$N$2003,1),1)))</f>
        <v/>
      </c>
      <c r="L190">
        <f>IF($K$1="","",IFERROR(INDEX(Lines!$A:$AA,ROW()-2,$K$1),""))</f>
        <v/>
      </c>
      <c r="M190">
        <f>IF($K$2="","",IFERROR(INDEX(Lines!$A:$AA,ROW()-2,$K$2),""))</f>
        <v/>
      </c>
      <c r="N190">
        <f>IF(AND(L190&lt;&gt;"",LEFT(L190,1)="N",M190&lt;&gt;"PICKING",M190&lt;&gt;""),1,0)</f>
        <v/>
      </c>
      <c r="O190">
        <f>IF(N190=1,M190&amp;"|"&amp;L190,REPT("z",40))</f>
        <v/>
      </c>
      <c r="P190">
        <f>IF(N190=1,COUNTIF($O$4:$O$2003,"&lt;"&amp;O190)+1,"")</f>
        <v/>
      </c>
      <c r="Q190">
        <f>IF(OR($R189="",$R189="T"),"",IF($R189="B",$Q189,IF($Q189+1&gt;$K$3,"",$Q189+1)))</f>
        <v/>
      </c>
      <c r="R190">
        <f>IF(OR($R189="",$R189="T"),"",IF($R189="B","S",IF($Q189+1&gt;$K$3,"T",IF(INDEX($M$4:$M$2003,MATCH($Q189+1,$P$4:$P$2003,0))&lt;&gt;INDEX($M$4:$M$2003,MATCH($Q189,$P$4:$P$2003,0)),"B","S"))))</f>
        <v/>
      </c>
      <c r="S190">
        <f>IF(Q190="","",IFERROR(MATCH(Q190,$P$4:$P$2003,0),""))</f>
        <v/>
      </c>
    </row>
    <row r="191">
      <c r="A191" s="4">
        <f>IF($R191="","",IF($R191="T","Gesamtergebnis",IF($R191="B",INDEX($M$4:$M$2003,$S191),INDEX($L$4:$L$2003,$S191))))</f>
        <v/>
      </c>
      <c r="B191" s="4">
        <f>IF($R191="","",IF($R191="T",$K$3,IF($R191="B",COUNTIFS($M$4:$M$2003,INDEX($M$4:$M$2003,$S191),$N$4:$N$2003,1),1)))</f>
        <v/>
      </c>
      <c r="L191">
        <f>IF($K$1="","",IFERROR(INDEX(Lines!$A:$AA,ROW()-2,$K$1),""))</f>
        <v/>
      </c>
      <c r="M191">
        <f>IF($K$2="","",IFERROR(INDEX(Lines!$A:$AA,ROW()-2,$K$2),""))</f>
        <v/>
      </c>
      <c r="N191">
        <f>IF(AND(L191&lt;&gt;"",LEFT(L191,1)="N",M191&lt;&gt;"PICKING",M191&lt;&gt;""),1,0)</f>
        <v/>
      </c>
      <c r="O191">
        <f>IF(N191=1,M191&amp;"|"&amp;L191,REPT("z",40))</f>
        <v/>
      </c>
      <c r="P191">
        <f>IF(N191=1,COUNTIF($O$4:$O$2003,"&lt;"&amp;O191)+1,"")</f>
        <v/>
      </c>
      <c r="Q191">
        <f>IF(OR($R190="",$R190="T"),"",IF($R190="B",$Q190,IF($Q190+1&gt;$K$3,"",$Q190+1)))</f>
        <v/>
      </c>
      <c r="R191">
        <f>IF(OR($R190="",$R190="T"),"",IF($R190="B","S",IF($Q190+1&gt;$K$3,"T",IF(INDEX($M$4:$M$2003,MATCH($Q190+1,$P$4:$P$2003,0))&lt;&gt;INDEX($M$4:$M$2003,MATCH($Q190,$P$4:$P$2003,0)),"B","S"))))</f>
        <v/>
      </c>
      <c r="S191">
        <f>IF(Q191="","",IFERROR(MATCH(Q191,$P$4:$P$2003,0),""))</f>
        <v/>
      </c>
    </row>
    <row r="192">
      <c r="A192" s="4">
        <f>IF($R192="","",IF($R192="T","Gesamtergebnis",IF($R192="B",INDEX($M$4:$M$2003,$S192),INDEX($L$4:$L$2003,$S192))))</f>
        <v/>
      </c>
      <c r="B192" s="4">
        <f>IF($R192="","",IF($R192="T",$K$3,IF($R192="B",COUNTIFS($M$4:$M$2003,INDEX($M$4:$M$2003,$S192),$N$4:$N$2003,1),1)))</f>
        <v/>
      </c>
      <c r="L192">
        <f>IF($K$1="","",IFERROR(INDEX(Lines!$A:$AA,ROW()-2,$K$1),""))</f>
        <v/>
      </c>
      <c r="M192">
        <f>IF($K$2="","",IFERROR(INDEX(Lines!$A:$AA,ROW()-2,$K$2),""))</f>
        <v/>
      </c>
      <c r="N192">
        <f>IF(AND(L192&lt;&gt;"",LEFT(L192,1)="N",M192&lt;&gt;"PICKING",M192&lt;&gt;""),1,0)</f>
        <v/>
      </c>
      <c r="O192">
        <f>IF(N192=1,M192&amp;"|"&amp;L192,REPT("z",40))</f>
        <v/>
      </c>
      <c r="P192">
        <f>IF(N192=1,COUNTIF($O$4:$O$2003,"&lt;"&amp;O192)+1,"")</f>
        <v/>
      </c>
      <c r="Q192">
        <f>IF(OR($R191="",$R191="T"),"",IF($R191="B",$Q191,IF($Q191+1&gt;$K$3,"",$Q191+1)))</f>
        <v/>
      </c>
      <c r="R192">
        <f>IF(OR($R191="",$R191="T"),"",IF($R191="B","S",IF($Q191+1&gt;$K$3,"T",IF(INDEX($M$4:$M$2003,MATCH($Q191+1,$P$4:$P$2003,0))&lt;&gt;INDEX($M$4:$M$2003,MATCH($Q191,$P$4:$P$2003,0)),"B","S"))))</f>
        <v/>
      </c>
      <c r="S192">
        <f>IF(Q192="","",IFERROR(MATCH(Q192,$P$4:$P$2003,0),""))</f>
        <v/>
      </c>
    </row>
    <row r="193">
      <c r="A193" s="4">
        <f>IF($R193="","",IF($R193="T","Gesamtergebnis",IF($R193="B",INDEX($M$4:$M$2003,$S193),INDEX($L$4:$L$2003,$S193))))</f>
        <v/>
      </c>
      <c r="B193" s="4">
        <f>IF($R193="","",IF($R193="T",$K$3,IF($R193="B",COUNTIFS($M$4:$M$2003,INDEX($M$4:$M$2003,$S193),$N$4:$N$2003,1),1)))</f>
        <v/>
      </c>
      <c r="L193">
        <f>IF($K$1="","",IFERROR(INDEX(Lines!$A:$AA,ROW()-2,$K$1),""))</f>
        <v/>
      </c>
      <c r="M193">
        <f>IF($K$2="","",IFERROR(INDEX(Lines!$A:$AA,ROW()-2,$K$2),""))</f>
        <v/>
      </c>
      <c r="N193">
        <f>IF(AND(L193&lt;&gt;"",LEFT(L193,1)="N",M193&lt;&gt;"PICKING",M193&lt;&gt;""),1,0)</f>
        <v/>
      </c>
      <c r="O193">
        <f>IF(N193=1,M193&amp;"|"&amp;L193,REPT("z",40))</f>
        <v/>
      </c>
      <c r="P193">
        <f>IF(N193=1,COUNTIF($O$4:$O$2003,"&lt;"&amp;O193)+1,"")</f>
        <v/>
      </c>
      <c r="Q193">
        <f>IF(OR($R192="",$R192="T"),"",IF($R192="B",$Q192,IF($Q192+1&gt;$K$3,"",$Q192+1)))</f>
        <v/>
      </c>
      <c r="R193">
        <f>IF(OR($R192="",$R192="T"),"",IF($R192="B","S",IF($Q192+1&gt;$K$3,"T",IF(INDEX($M$4:$M$2003,MATCH($Q192+1,$P$4:$P$2003,0))&lt;&gt;INDEX($M$4:$M$2003,MATCH($Q192,$P$4:$P$2003,0)),"B","S"))))</f>
        <v/>
      </c>
      <c r="S193">
        <f>IF(Q193="","",IFERROR(MATCH(Q193,$P$4:$P$2003,0),""))</f>
        <v/>
      </c>
    </row>
    <row r="194">
      <c r="A194" s="4">
        <f>IF($R194="","",IF($R194="T","Gesamtergebnis",IF($R194="B",INDEX($M$4:$M$2003,$S194),INDEX($L$4:$L$2003,$S194))))</f>
        <v/>
      </c>
      <c r="B194" s="4">
        <f>IF($R194="","",IF($R194="T",$K$3,IF($R194="B",COUNTIFS($M$4:$M$2003,INDEX($M$4:$M$2003,$S194),$N$4:$N$2003,1),1)))</f>
        <v/>
      </c>
      <c r="L194">
        <f>IF($K$1="","",IFERROR(INDEX(Lines!$A:$AA,ROW()-2,$K$1),""))</f>
        <v/>
      </c>
      <c r="M194">
        <f>IF($K$2="","",IFERROR(INDEX(Lines!$A:$AA,ROW()-2,$K$2),""))</f>
        <v/>
      </c>
      <c r="N194">
        <f>IF(AND(L194&lt;&gt;"",LEFT(L194,1)="N",M194&lt;&gt;"PICKING",M194&lt;&gt;""),1,0)</f>
        <v/>
      </c>
      <c r="O194">
        <f>IF(N194=1,M194&amp;"|"&amp;L194,REPT("z",40))</f>
        <v/>
      </c>
      <c r="P194">
        <f>IF(N194=1,COUNTIF($O$4:$O$2003,"&lt;"&amp;O194)+1,"")</f>
        <v/>
      </c>
      <c r="Q194">
        <f>IF(OR($R193="",$R193="T"),"",IF($R193="B",$Q193,IF($Q193+1&gt;$K$3,"",$Q193+1)))</f>
        <v/>
      </c>
      <c r="R194">
        <f>IF(OR($R193="",$R193="T"),"",IF($R193="B","S",IF($Q193+1&gt;$K$3,"T",IF(INDEX($M$4:$M$2003,MATCH($Q193+1,$P$4:$P$2003,0))&lt;&gt;INDEX($M$4:$M$2003,MATCH($Q193,$P$4:$P$2003,0)),"B","S"))))</f>
        <v/>
      </c>
      <c r="S194">
        <f>IF(Q194="","",IFERROR(MATCH(Q194,$P$4:$P$2003,0),""))</f>
        <v/>
      </c>
    </row>
    <row r="195">
      <c r="A195" s="4">
        <f>IF($R195="","",IF($R195="T","Gesamtergebnis",IF($R195="B",INDEX($M$4:$M$2003,$S195),INDEX($L$4:$L$2003,$S195))))</f>
        <v/>
      </c>
      <c r="B195" s="4">
        <f>IF($R195="","",IF($R195="T",$K$3,IF($R195="B",COUNTIFS($M$4:$M$2003,INDEX($M$4:$M$2003,$S195),$N$4:$N$2003,1),1)))</f>
        <v/>
      </c>
      <c r="L195">
        <f>IF($K$1="","",IFERROR(INDEX(Lines!$A:$AA,ROW()-2,$K$1),""))</f>
        <v/>
      </c>
      <c r="M195">
        <f>IF($K$2="","",IFERROR(INDEX(Lines!$A:$AA,ROW()-2,$K$2),""))</f>
        <v/>
      </c>
      <c r="N195">
        <f>IF(AND(L195&lt;&gt;"",LEFT(L195,1)="N",M195&lt;&gt;"PICKING",M195&lt;&gt;""),1,0)</f>
        <v/>
      </c>
      <c r="O195">
        <f>IF(N195=1,M195&amp;"|"&amp;L195,REPT("z",40))</f>
        <v/>
      </c>
      <c r="P195">
        <f>IF(N195=1,COUNTIF($O$4:$O$2003,"&lt;"&amp;O195)+1,"")</f>
        <v/>
      </c>
      <c r="Q195">
        <f>IF(OR($R194="",$R194="T"),"",IF($R194="B",$Q194,IF($Q194+1&gt;$K$3,"",$Q194+1)))</f>
        <v/>
      </c>
      <c r="R195">
        <f>IF(OR($R194="",$R194="T"),"",IF($R194="B","S",IF($Q194+1&gt;$K$3,"T",IF(INDEX($M$4:$M$2003,MATCH($Q194+1,$P$4:$P$2003,0))&lt;&gt;INDEX($M$4:$M$2003,MATCH($Q194,$P$4:$P$2003,0)),"B","S"))))</f>
        <v/>
      </c>
      <c r="S195">
        <f>IF(Q195="","",IFERROR(MATCH(Q195,$P$4:$P$2003,0),""))</f>
        <v/>
      </c>
    </row>
    <row r="196">
      <c r="A196" s="4">
        <f>IF($R196="","",IF($R196="T","Gesamtergebnis",IF($R196="B",INDEX($M$4:$M$2003,$S196),INDEX($L$4:$L$2003,$S196))))</f>
        <v/>
      </c>
      <c r="B196" s="4">
        <f>IF($R196="","",IF($R196="T",$K$3,IF($R196="B",COUNTIFS($M$4:$M$2003,INDEX($M$4:$M$2003,$S196),$N$4:$N$2003,1),1)))</f>
        <v/>
      </c>
      <c r="L196">
        <f>IF($K$1="","",IFERROR(INDEX(Lines!$A:$AA,ROW()-2,$K$1),""))</f>
        <v/>
      </c>
      <c r="M196">
        <f>IF($K$2="","",IFERROR(INDEX(Lines!$A:$AA,ROW()-2,$K$2),""))</f>
        <v/>
      </c>
      <c r="N196">
        <f>IF(AND(L196&lt;&gt;"",LEFT(L196,1)="N",M196&lt;&gt;"PICKING",M196&lt;&gt;""),1,0)</f>
        <v/>
      </c>
      <c r="O196">
        <f>IF(N196=1,M196&amp;"|"&amp;L196,REPT("z",40))</f>
        <v/>
      </c>
      <c r="P196">
        <f>IF(N196=1,COUNTIF($O$4:$O$2003,"&lt;"&amp;O196)+1,"")</f>
        <v/>
      </c>
      <c r="Q196">
        <f>IF(OR($R195="",$R195="T"),"",IF($R195="B",$Q195,IF($Q195+1&gt;$K$3,"",$Q195+1)))</f>
        <v/>
      </c>
      <c r="R196">
        <f>IF(OR($R195="",$R195="T"),"",IF($R195="B","S",IF($Q195+1&gt;$K$3,"T",IF(INDEX($M$4:$M$2003,MATCH($Q195+1,$P$4:$P$2003,0))&lt;&gt;INDEX($M$4:$M$2003,MATCH($Q195,$P$4:$P$2003,0)),"B","S"))))</f>
        <v/>
      </c>
      <c r="S196">
        <f>IF(Q196="","",IFERROR(MATCH(Q196,$P$4:$P$2003,0),""))</f>
        <v/>
      </c>
    </row>
    <row r="197">
      <c r="A197" s="4">
        <f>IF($R197="","",IF($R197="T","Gesamtergebnis",IF($R197="B",INDEX($M$4:$M$2003,$S197),INDEX($L$4:$L$2003,$S197))))</f>
        <v/>
      </c>
      <c r="B197" s="4">
        <f>IF($R197="","",IF($R197="T",$K$3,IF($R197="B",COUNTIFS($M$4:$M$2003,INDEX($M$4:$M$2003,$S197),$N$4:$N$2003,1),1)))</f>
        <v/>
      </c>
      <c r="L197">
        <f>IF($K$1="","",IFERROR(INDEX(Lines!$A:$AA,ROW()-2,$K$1),""))</f>
        <v/>
      </c>
      <c r="M197">
        <f>IF($K$2="","",IFERROR(INDEX(Lines!$A:$AA,ROW()-2,$K$2),""))</f>
        <v/>
      </c>
      <c r="N197">
        <f>IF(AND(L197&lt;&gt;"",LEFT(L197,1)="N",M197&lt;&gt;"PICKING",M197&lt;&gt;""),1,0)</f>
        <v/>
      </c>
      <c r="O197">
        <f>IF(N197=1,M197&amp;"|"&amp;L197,REPT("z",40))</f>
        <v/>
      </c>
      <c r="P197">
        <f>IF(N197=1,COUNTIF($O$4:$O$2003,"&lt;"&amp;O197)+1,"")</f>
        <v/>
      </c>
      <c r="Q197">
        <f>IF(OR($R196="",$R196="T"),"",IF($R196="B",$Q196,IF($Q196+1&gt;$K$3,"",$Q196+1)))</f>
        <v/>
      </c>
      <c r="R197">
        <f>IF(OR($R196="",$R196="T"),"",IF($R196="B","S",IF($Q196+1&gt;$K$3,"T",IF(INDEX($M$4:$M$2003,MATCH($Q196+1,$P$4:$P$2003,0))&lt;&gt;INDEX($M$4:$M$2003,MATCH($Q196,$P$4:$P$2003,0)),"B","S"))))</f>
        <v/>
      </c>
      <c r="S197">
        <f>IF(Q197="","",IFERROR(MATCH(Q197,$P$4:$P$2003,0),""))</f>
        <v/>
      </c>
    </row>
    <row r="198">
      <c r="A198" s="4">
        <f>IF($R198="","",IF($R198="T","Gesamtergebnis",IF($R198="B",INDEX($M$4:$M$2003,$S198),INDEX($L$4:$L$2003,$S198))))</f>
        <v/>
      </c>
      <c r="B198" s="4">
        <f>IF($R198="","",IF($R198="T",$K$3,IF($R198="B",COUNTIFS($M$4:$M$2003,INDEX($M$4:$M$2003,$S198),$N$4:$N$2003,1),1)))</f>
        <v/>
      </c>
      <c r="L198">
        <f>IF($K$1="","",IFERROR(INDEX(Lines!$A:$AA,ROW()-2,$K$1),""))</f>
        <v/>
      </c>
      <c r="M198">
        <f>IF($K$2="","",IFERROR(INDEX(Lines!$A:$AA,ROW()-2,$K$2),""))</f>
        <v/>
      </c>
      <c r="N198">
        <f>IF(AND(L198&lt;&gt;"",LEFT(L198,1)="N",M198&lt;&gt;"PICKING",M198&lt;&gt;""),1,0)</f>
        <v/>
      </c>
      <c r="O198">
        <f>IF(N198=1,M198&amp;"|"&amp;L198,REPT("z",40))</f>
        <v/>
      </c>
      <c r="P198">
        <f>IF(N198=1,COUNTIF($O$4:$O$2003,"&lt;"&amp;O198)+1,"")</f>
        <v/>
      </c>
      <c r="Q198">
        <f>IF(OR($R197="",$R197="T"),"",IF($R197="B",$Q197,IF($Q197+1&gt;$K$3,"",$Q197+1)))</f>
        <v/>
      </c>
      <c r="R198">
        <f>IF(OR($R197="",$R197="T"),"",IF($R197="B","S",IF($Q197+1&gt;$K$3,"T",IF(INDEX($M$4:$M$2003,MATCH($Q197+1,$P$4:$P$2003,0))&lt;&gt;INDEX($M$4:$M$2003,MATCH($Q197,$P$4:$P$2003,0)),"B","S"))))</f>
        <v/>
      </c>
      <c r="S198">
        <f>IF(Q198="","",IFERROR(MATCH(Q198,$P$4:$P$2003,0),""))</f>
        <v/>
      </c>
    </row>
    <row r="199">
      <c r="A199" s="4">
        <f>IF($R199="","",IF($R199="T","Gesamtergebnis",IF($R199="B",INDEX($M$4:$M$2003,$S199),INDEX($L$4:$L$2003,$S199))))</f>
        <v/>
      </c>
      <c r="B199" s="4">
        <f>IF($R199="","",IF($R199="T",$K$3,IF($R199="B",COUNTIFS($M$4:$M$2003,INDEX($M$4:$M$2003,$S199),$N$4:$N$2003,1),1)))</f>
        <v/>
      </c>
      <c r="L199">
        <f>IF($K$1="","",IFERROR(INDEX(Lines!$A:$AA,ROW()-2,$K$1),""))</f>
        <v/>
      </c>
      <c r="M199">
        <f>IF($K$2="","",IFERROR(INDEX(Lines!$A:$AA,ROW()-2,$K$2),""))</f>
        <v/>
      </c>
      <c r="N199">
        <f>IF(AND(L199&lt;&gt;"",LEFT(L199,1)="N",M199&lt;&gt;"PICKING",M199&lt;&gt;""),1,0)</f>
        <v/>
      </c>
      <c r="O199">
        <f>IF(N199=1,M199&amp;"|"&amp;L199,REPT("z",40))</f>
        <v/>
      </c>
      <c r="P199">
        <f>IF(N199=1,COUNTIF($O$4:$O$2003,"&lt;"&amp;O199)+1,"")</f>
        <v/>
      </c>
      <c r="Q199">
        <f>IF(OR($R198="",$R198="T"),"",IF($R198="B",$Q198,IF($Q198+1&gt;$K$3,"",$Q198+1)))</f>
        <v/>
      </c>
      <c r="R199">
        <f>IF(OR($R198="",$R198="T"),"",IF($R198="B","S",IF($Q198+1&gt;$K$3,"T",IF(INDEX($M$4:$M$2003,MATCH($Q198+1,$P$4:$P$2003,0))&lt;&gt;INDEX($M$4:$M$2003,MATCH($Q198,$P$4:$P$2003,0)),"B","S"))))</f>
        <v/>
      </c>
      <c r="S199">
        <f>IF(Q199="","",IFERROR(MATCH(Q199,$P$4:$P$2003,0),""))</f>
        <v/>
      </c>
    </row>
    <row r="200">
      <c r="A200" s="4">
        <f>IF($R200="","",IF($R200="T","Gesamtergebnis",IF($R200="B",INDEX($M$4:$M$2003,$S200),INDEX($L$4:$L$2003,$S200))))</f>
        <v/>
      </c>
      <c r="B200" s="4">
        <f>IF($R200="","",IF($R200="T",$K$3,IF($R200="B",COUNTIFS($M$4:$M$2003,INDEX($M$4:$M$2003,$S200),$N$4:$N$2003,1),1)))</f>
        <v/>
      </c>
      <c r="L200">
        <f>IF($K$1="","",IFERROR(INDEX(Lines!$A:$AA,ROW()-2,$K$1),""))</f>
        <v/>
      </c>
      <c r="M200">
        <f>IF($K$2="","",IFERROR(INDEX(Lines!$A:$AA,ROW()-2,$K$2),""))</f>
        <v/>
      </c>
      <c r="N200">
        <f>IF(AND(L200&lt;&gt;"",LEFT(L200,1)="N",M200&lt;&gt;"PICKING",M200&lt;&gt;""),1,0)</f>
        <v/>
      </c>
      <c r="O200">
        <f>IF(N200=1,M200&amp;"|"&amp;L200,REPT("z",40))</f>
        <v/>
      </c>
      <c r="P200">
        <f>IF(N200=1,COUNTIF($O$4:$O$2003,"&lt;"&amp;O200)+1,"")</f>
        <v/>
      </c>
      <c r="Q200">
        <f>IF(OR($R199="",$R199="T"),"",IF($R199="B",$Q199,IF($Q199+1&gt;$K$3,"",$Q199+1)))</f>
        <v/>
      </c>
      <c r="R200">
        <f>IF(OR($R199="",$R199="T"),"",IF($R199="B","S",IF($Q199+1&gt;$K$3,"T",IF(INDEX($M$4:$M$2003,MATCH($Q199+1,$P$4:$P$2003,0))&lt;&gt;INDEX($M$4:$M$2003,MATCH($Q199,$P$4:$P$2003,0)),"B","S"))))</f>
        <v/>
      </c>
      <c r="S200">
        <f>IF(Q200="","",IFERROR(MATCH(Q200,$P$4:$P$2003,0),""))</f>
        <v/>
      </c>
    </row>
    <row r="201">
      <c r="A201" s="4">
        <f>IF($R201="","",IF($R201="T","Gesamtergebnis",IF($R201="B",INDEX($M$4:$M$2003,$S201),INDEX($L$4:$L$2003,$S201))))</f>
        <v/>
      </c>
      <c r="B201" s="4">
        <f>IF($R201="","",IF($R201="T",$K$3,IF($R201="B",COUNTIFS($M$4:$M$2003,INDEX($M$4:$M$2003,$S201),$N$4:$N$2003,1),1)))</f>
        <v/>
      </c>
      <c r="L201">
        <f>IF($K$1="","",IFERROR(INDEX(Lines!$A:$AA,ROW()-2,$K$1),""))</f>
        <v/>
      </c>
      <c r="M201">
        <f>IF($K$2="","",IFERROR(INDEX(Lines!$A:$AA,ROW()-2,$K$2),""))</f>
        <v/>
      </c>
      <c r="N201">
        <f>IF(AND(L201&lt;&gt;"",LEFT(L201,1)="N",M201&lt;&gt;"PICKING",M201&lt;&gt;""),1,0)</f>
        <v/>
      </c>
      <c r="O201">
        <f>IF(N201=1,M201&amp;"|"&amp;L201,REPT("z",40))</f>
        <v/>
      </c>
      <c r="P201">
        <f>IF(N201=1,COUNTIF($O$4:$O$2003,"&lt;"&amp;O201)+1,"")</f>
        <v/>
      </c>
      <c r="Q201">
        <f>IF(OR($R200="",$R200="T"),"",IF($R200="B",$Q200,IF($Q200+1&gt;$K$3,"",$Q200+1)))</f>
        <v/>
      </c>
      <c r="R201">
        <f>IF(OR($R200="",$R200="T"),"",IF($R200="B","S",IF($Q200+1&gt;$K$3,"T",IF(INDEX($M$4:$M$2003,MATCH($Q200+1,$P$4:$P$2003,0))&lt;&gt;INDEX($M$4:$M$2003,MATCH($Q200,$P$4:$P$2003,0)),"B","S"))))</f>
        <v/>
      </c>
      <c r="S201">
        <f>IF(Q201="","",IFERROR(MATCH(Q201,$P$4:$P$2003,0),""))</f>
        <v/>
      </c>
    </row>
    <row r="202">
      <c r="A202" s="4">
        <f>IF($R202="","",IF($R202="T","Gesamtergebnis",IF($R202="B",INDEX($M$4:$M$2003,$S202),INDEX($L$4:$L$2003,$S202))))</f>
        <v/>
      </c>
      <c r="B202" s="4">
        <f>IF($R202="","",IF($R202="T",$K$3,IF($R202="B",COUNTIFS($M$4:$M$2003,INDEX($M$4:$M$2003,$S202),$N$4:$N$2003,1),1)))</f>
        <v/>
      </c>
      <c r="L202">
        <f>IF($K$1="","",IFERROR(INDEX(Lines!$A:$AA,ROW()-2,$K$1),""))</f>
        <v/>
      </c>
      <c r="M202">
        <f>IF($K$2="","",IFERROR(INDEX(Lines!$A:$AA,ROW()-2,$K$2),""))</f>
        <v/>
      </c>
      <c r="N202">
        <f>IF(AND(L202&lt;&gt;"",LEFT(L202,1)="N",M202&lt;&gt;"PICKING",M202&lt;&gt;""),1,0)</f>
        <v/>
      </c>
      <c r="O202">
        <f>IF(N202=1,M202&amp;"|"&amp;L202,REPT("z",40))</f>
        <v/>
      </c>
      <c r="P202">
        <f>IF(N202=1,COUNTIF($O$4:$O$2003,"&lt;"&amp;O202)+1,"")</f>
        <v/>
      </c>
      <c r="Q202">
        <f>IF(OR($R201="",$R201="T"),"",IF($R201="B",$Q201,IF($Q201+1&gt;$K$3,"",$Q201+1)))</f>
        <v/>
      </c>
      <c r="R202">
        <f>IF(OR($R201="",$R201="T"),"",IF($R201="B","S",IF($Q201+1&gt;$K$3,"T",IF(INDEX($M$4:$M$2003,MATCH($Q201+1,$P$4:$P$2003,0))&lt;&gt;INDEX($M$4:$M$2003,MATCH($Q201,$P$4:$P$2003,0)),"B","S"))))</f>
        <v/>
      </c>
      <c r="S202">
        <f>IF(Q202="","",IFERROR(MATCH(Q202,$P$4:$P$2003,0),""))</f>
        <v/>
      </c>
    </row>
    <row r="203">
      <c r="A203" s="4">
        <f>IF($R203="","",IF($R203="T","Gesamtergebnis",IF($R203="B",INDEX($M$4:$M$2003,$S203),INDEX($L$4:$L$2003,$S203))))</f>
        <v/>
      </c>
      <c r="B203" s="4">
        <f>IF($R203="","",IF($R203="T",$K$3,IF($R203="B",COUNTIFS($M$4:$M$2003,INDEX($M$4:$M$2003,$S203),$N$4:$N$2003,1),1)))</f>
        <v/>
      </c>
      <c r="L203">
        <f>IF($K$1="","",IFERROR(INDEX(Lines!$A:$AA,ROW()-2,$K$1),""))</f>
        <v/>
      </c>
      <c r="M203">
        <f>IF($K$2="","",IFERROR(INDEX(Lines!$A:$AA,ROW()-2,$K$2),""))</f>
        <v/>
      </c>
      <c r="N203">
        <f>IF(AND(L203&lt;&gt;"",LEFT(L203,1)="N",M203&lt;&gt;"PICKING",M203&lt;&gt;""),1,0)</f>
        <v/>
      </c>
      <c r="O203">
        <f>IF(N203=1,M203&amp;"|"&amp;L203,REPT("z",40))</f>
        <v/>
      </c>
      <c r="P203">
        <f>IF(N203=1,COUNTIF($O$4:$O$2003,"&lt;"&amp;O203)+1,"")</f>
        <v/>
      </c>
      <c r="Q203">
        <f>IF(OR($R202="",$R202="T"),"",IF($R202="B",$Q202,IF($Q202+1&gt;$K$3,"",$Q202+1)))</f>
        <v/>
      </c>
      <c r="R203">
        <f>IF(OR($R202="",$R202="T"),"",IF($R202="B","S",IF($Q202+1&gt;$K$3,"T",IF(INDEX($M$4:$M$2003,MATCH($Q202+1,$P$4:$P$2003,0))&lt;&gt;INDEX($M$4:$M$2003,MATCH($Q202,$P$4:$P$2003,0)),"B","S"))))</f>
        <v/>
      </c>
      <c r="S203">
        <f>IF(Q203="","",IFERROR(MATCH(Q203,$P$4:$P$2003,0),""))</f>
        <v/>
      </c>
    </row>
    <row r="204">
      <c r="A204" s="4">
        <f>IF($R204="","",IF($R204="T","Gesamtergebnis",IF($R204="B",INDEX($M$4:$M$2003,$S204),INDEX($L$4:$L$2003,$S204))))</f>
        <v/>
      </c>
      <c r="B204" s="4">
        <f>IF($R204="","",IF($R204="T",$K$3,IF($R204="B",COUNTIFS($M$4:$M$2003,INDEX($M$4:$M$2003,$S204),$N$4:$N$2003,1),1)))</f>
        <v/>
      </c>
      <c r="L204">
        <f>IF($K$1="","",IFERROR(INDEX(Lines!$A:$AA,ROW()-2,$K$1),""))</f>
        <v/>
      </c>
      <c r="M204">
        <f>IF($K$2="","",IFERROR(INDEX(Lines!$A:$AA,ROW()-2,$K$2),""))</f>
        <v/>
      </c>
      <c r="N204">
        <f>IF(AND(L204&lt;&gt;"",LEFT(L204,1)="N",M204&lt;&gt;"PICKING",M204&lt;&gt;""),1,0)</f>
        <v/>
      </c>
      <c r="O204">
        <f>IF(N204=1,M204&amp;"|"&amp;L204,REPT("z",40))</f>
        <v/>
      </c>
      <c r="P204">
        <f>IF(N204=1,COUNTIF($O$4:$O$2003,"&lt;"&amp;O204)+1,"")</f>
        <v/>
      </c>
      <c r="Q204">
        <f>IF(OR($R203="",$R203="T"),"",IF($R203="B",$Q203,IF($Q203+1&gt;$K$3,"",$Q203+1)))</f>
        <v/>
      </c>
      <c r="R204">
        <f>IF(OR($R203="",$R203="T"),"",IF($R203="B","S",IF($Q203+1&gt;$K$3,"T",IF(INDEX($M$4:$M$2003,MATCH($Q203+1,$P$4:$P$2003,0))&lt;&gt;INDEX($M$4:$M$2003,MATCH($Q203,$P$4:$P$2003,0)),"B","S"))))</f>
        <v/>
      </c>
      <c r="S204">
        <f>IF(Q204="","",IFERROR(MATCH(Q204,$P$4:$P$2003,0),""))</f>
        <v/>
      </c>
    </row>
    <row r="205">
      <c r="A205" s="4">
        <f>IF($R205="","",IF($R205="T","Gesamtergebnis",IF($R205="B",INDEX($M$4:$M$2003,$S205),INDEX($L$4:$L$2003,$S205))))</f>
        <v/>
      </c>
      <c r="B205" s="4">
        <f>IF($R205="","",IF($R205="T",$K$3,IF($R205="B",COUNTIFS($M$4:$M$2003,INDEX($M$4:$M$2003,$S205),$N$4:$N$2003,1),1)))</f>
        <v/>
      </c>
      <c r="L205">
        <f>IF($K$1="","",IFERROR(INDEX(Lines!$A:$AA,ROW()-2,$K$1),""))</f>
        <v/>
      </c>
      <c r="M205">
        <f>IF($K$2="","",IFERROR(INDEX(Lines!$A:$AA,ROW()-2,$K$2),""))</f>
        <v/>
      </c>
      <c r="N205">
        <f>IF(AND(L205&lt;&gt;"",LEFT(L205,1)="N",M205&lt;&gt;"PICKING",M205&lt;&gt;""),1,0)</f>
        <v/>
      </c>
      <c r="O205">
        <f>IF(N205=1,M205&amp;"|"&amp;L205,REPT("z",40))</f>
        <v/>
      </c>
      <c r="P205">
        <f>IF(N205=1,COUNTIF($O$4:$O$2003,"&lt;"&amp;O205)+1,"")</f>
        <v/>
      </c>
      <c r="Q205">
        <f>IF(OR($R204="",$R204="T"),"",IF($R204="B",$Q204,IF($Q204+1&gt;$K$3,"",$Q204+1)))</f>
        <v/>
      </c>
      <c r="R205">
        <f>IF(OR($R204="",$R204="T"),"",IF($R204="B","S",IF($Q204+1&gt;$K$3,"T",IF(INDEX($M$4:$M$2003,MATCH($Q204+1,$P$4:$P$2003,0))&lt;&gt;INDEX($M$4:$M$2003,MATCH($Q204,$P$4:$P$2003,0)),"B","S"))))</f>
        <v/>
      </c>
      <c r="S205">
        <f>IF(Q205="","",IFERROR(MATCH(Q205,$P$4:$P$2003,0),""))</f>
        <v/>
      </c>
    </row>
    <row r="206">
      <c r="A206" s="4">
        <f>IF($R206="","",IF($R206="T","Gesamtergebnis",IF($R206="B",INDEX($M$4:$M$2003,$S206),INDEX($L$4:$L$2003,$S206))))</f>
        <v/>
      </c>
      <c r="B206" s="4">
        <f>IF($R206="","",IF($R206="T",$K$3,IF($R206="B",COUNTIFS($M$4:$M$2003,INDEX($M$4:$M$2003,$S206),$N$4:$N$2003,1),1)))</f>
        <v/>
      </c>
      <c r="L206">
        <f>IF($K$1="","",IFERROR(INDEX(Lines!$A:$AA,ROW()-2,$K$1),""))</f>
        <v/>
      </c>
      <c r="M206">
        <f>IF($K$2="","",IFERROR(INDEX(Lines!$A:$AA,ROW()-2,$K$2),""))</f>
        <v/>
      </c>
      <c r="N206">
        <f>IF(AND(L206&lt;&gt;"",LEFT(L206,1)="N",M206&lt;&gt;"PICKING",M206&lt;&gt;""),1,0)</f>
        <v/>
      </c>
      <c r="O206">
        <f>IF(N206=1,M206&amp;"|"&amp;L206,REPT("z",40))</f>
        <v/>
      </c>
      <c r="P206">
        <f>IF(N206=1,COUNTIF($O$4:$O$2003,"&lt;"&amp;O206)+1,"")</f>
        <v/>
      </c>
      <c r="Q206">
        <f>IF(OR($R205="",$R205="T"),"",IF($R205="B",$Q205,IF($Q205+1&gt;$K$3,"",$Q205+1)))</f>
        <v/>
      </c>
      <c r="R206">
        <f>IF(OR($R205="",$R205="T"),"",IF($R205="B","S",IF($Q205+1&gt;$K$3,"T",IF(INDEX($M$4:$M$2003,MATCH($Q205+1,$P$4:$P$2003,0))&lt;&gt;INDEX($M$4:$M$2003,MATCH($Q205,$P$4:$P$2003,0)),"B","S"))))</f>
        <v/>
      </c>
      <c r="S206">
        <f>IF(Q206="","",IFERROR(MATCH(Q206,$P$4:$P$2003,0),""))</f>
        <v/>
      </c>
    </row>
    <row r="207">
      <c r="A207" s="4">
        <f>IF($R207="","",IF($R207="T","Gesamtergebnis",IF($R207="B",INDEX($M$4:$M$2003,$S207),INDEX($L$4:$L$2003,$S207))))</f>
        <v/>
      </c>
      <c r="B207" s="4">
        <f>IF($R207="","",IF($R207="T",$K$3,IF($R207="B",COUNTIFS($M$4:$M$2003,INDEX($M$4:$M$2003,$S207),$N$4:$N$2003,1),1)))</f>
        <v/>
      </c>
      <c r="L207">
        <f>IF($K$1="","",IFERROR(INDEX(Lines!$A:$AA,ROW()-2,$K$1),""))</f>
        <v/>
      </c>
      <c r="M207">
        <f>IF($K$2="","",IFERROR(INDEX(Lines!$A:$AA,ROW()-2,$K$2),""))</f>
        <v/>
      </c>
      <c r="N207">
        <f>IF(AND(L207&lt;&gt;"",LEFT(L207,1)="N",M207&lt;&gt;"PICKING",M207&lt;&gt;""),1,0)</f>
        <v/>
      </c>
      <c r="O207">
        <f>IF(N207=1,M207&amp;"|"&amp;L207,REPT("z",40))</f>
        <v/>
      </c>
      <c r="P207">
        <f>IF(N207=1,COUNTIF($O$4:$O$2003,"&lt;"&amp;O207)+1,"")</f>
        <v/>
      </c>
      <c r="Q207">
        <f>IF(OR($R206="",$R206="T"),"",IF($R206="B",$Q206,IF($Q206+1&gt;$K$3,"",$Q206+1)))</f>
        <v/>
      </c>
      <c r="R207">
        <f>IF(OR($R206="",$R206="T"),"",IF($R206="B","S",IF($Q206+1&gt;$K$3,"T",IF(INDEX($M$4:$M$2003,MATCH($Q206+1,$P$4:$P$2003,0))&lt;&gt;INDEX($M$4:$M$2003,MATCH($Q206,$P$4:$P$2003,0)),"B","S"))))</f>
        <v/>
      </c>
      <c r="S207">
        <f>IF(Q207="","",IFERROR(MATCH(Q207,$P$4:$P$2003,0),""))</f>
        <v/>
      </c>
    </row>
    <row r="208">
      <c r="A208" s="4">
        <f>IF($R208="","",IF($R208="T","Gesamtergebnis",IF($R208="B",INDEX($M$4:$M$2003,$S208),INDEX($L$4:$L$2003,$S208))))</f>
        <v/>
      </c>
      <c r="B208" s="4">
        <f>IF($R208="","",IF($R208="T",$K$3,IF($R208="B",COUNTIFS($M$4:$M$2003,INDEX($M$4:$M$2003,$S208),$N$4:$N$2003,1),1)))</f>
        <v/>
      </c>
      <c r="L208">
        <f>IF($K$1="","",IFERROR(INDEX(Lines!$A:$AA,ROW()-2,$K$1),""))</f>
        <v/>
      </c>
      <c r="M208">
        <f>IF($K$2="","",IFERROR(INDEX(Lines!$A:$AA,ROW()-2,$K$2),""))</f>
        <v/>
      </c>
      <c r="N208">
        <f>IF(AND(L208&lt;&gt;"",LEFT(L208,1)="N",M208&lt;&gt;"PICKING",M208&lt;&gt;""),1,0)</f>
        <v/>
      </c>
      <c r="O208">
        <f>IF(N208=1,M208&amp;"|"&amp;L208,REPT("z",40))</f>
        <v/>
      </c>
      <c r="P208">
        <f>IF(N208=1,COUNTIF($O$4:$O$2003,"&lt;"&amp;O208)+1,"")</f>
        <v/>
      </c>
      <c r="Q208">
        <f>IF(OR($R207="",$R207="T"),"",IF($R207="B",$Q207,IF($Q207+1&gt;$K$3,"",$Q207+1)))</f>
        <v/>
      </c>
      <c r="R208">
        <f>IF(OR($R207="",$R207="T"),"",IF($R207="B","S",IF($Q207+1&gt;$K$3,"T",IF(INDEX($M$4:$M$2003,MATCH($Q207+1,$P$4:$P$2003,0))&lt;&gt;INDEX($M$4:$M$2003,MATCH($Q207,$P$4:$P$2003,0)),"B","S"))))</f>
        <v/>
      </c>
      <c r="S208">
        <f>IF(Q208="","",IFERROR(MATCH(Q208,$P$4:$P$2003,0),""))</f>
        <v/>
      </c>
    </row>
    <row r="209">
      <c r="A209" s="4">
        <f>IF($R209="","",IF($R209="T","Gesamtergebnis",IF($R209="B",INDEX($M$4:$M$2003,$S209),INDEX($L$4:$L$2003,$S209))))</f>
        <v/>
      </c>
      <c r="B209" s="4">
        <f>IF($R209="","",IF($R209="T",$K$3,IF($R209="B",COUNTIFS($M$4:$M$2003,INDEX($M$4:$M$2003,$S209),$N$4:$N$2003,1),1)))</f>
        <v/>
      </c>
      <c r="L209">
        <f>IF($K$1="","",IFERROR(INDEX(Lines!$A:$AA,ROW()-2,$K$1),""))</f>
        <v/>
      </c>
      <c r="M209">
        <f>IF($K$2="","",IFERROR(INDEX(Lines!$A:$AA,ROW()-2,$K$2),""))</f>
        <v/>
      </c>
      <c r="N209">
        <f>IF(AND(L209&lt;&gt;"",LEFT(L209,1)="N",M209&lt;&gt;"PICKING",M209&lt;&gt;""),1,0)</f>
        <v/>
      </c>
      <c r="O209">
        <f>IF(N209=1,M209&amp;"|"&amp;L209,REPT("z",40))</f>
        <v/>
      </c>
      <c r="P209">
        <f>IF(N209=1,COUNTIF($O$4:$O$2003,"&lt;"&amp;O209)+1,"")</f>
        <v/>
      </c>
      <c r="Q209">
        <f>IF(OR($R208="",$R208="T"),"",IF($R208="B",$Q208,IF($Q208+1&gt;$K$3,"",$Q208+1)))</f>
        <v/>
      </c>
      <c r="R209">
        <f>IF(OR($R208="",$R208="T"),"",IF($R208="B","S",IF($Q208+1&gt;$K$3,"T",IF(INDEX($M$4:$M$2003,MATCH($Q208+1,$P$4:$P$2003,0))&lt;&gt;INDEX($M$4:$M$2003,MATCH($Q208,$P$4:$P$2003,0)),"B","S"))))</f>
        <v/>
      </c>
      <c r="S209">
        <f>IF(Q209="","",IFERROR(MATCH(Q209,$P$4:$P$2003,0),""))</f>
        <v/>
      </c>
    </row>
    <row r="210">
      <c r="A210" s="4">
        <f>IF($R210="","",IF($R210="T","Gesamtergebnis",IF($R210="B",INDEX($M$4:$M$2003,$S210),INDEX($L$4:$L$2003,$S210))))</f>
        <v/>
      </c>
      <c r="B210" s="4">
        <f>IF($R210="","",IF($R210="T",$K$3,IF($R210="B",COUNTIFS($M$4:$M$2003,INDEX($M$4:$M$2003,$S210),$N$4:$N$2003,1),1)))</f>
        <v/>
      </c>
      <c r="L210">
        <f>IF($K$1="","",IFERROR(INDEX(Lines!$A:$AA,ROW()-2,$K$1),""))</f>
        <v/>
      </c>
      <c r="M210">
        <f>IF($K$2="","",IFERROR(INDEX(Lines!$A:$AA,ROW()-2,$K$2),""))</f>
        <v/>
      </c>
      <c r="N210">
        <f>IF(AND(L210&lt;&gt;"",LEFT(L210,1)="N",M210&lt;&gt;"PICKING",M210&lt;&gt;""),1,0)</f>
        <v/>
      </c>
      <c r="O210">
        <f>IF(N210=1,M210&amp;"|"&amp;L210,REPT("z",40))</f>
        <v/>
      </c>
      <c r="P210">
        <f>IF(N210=1,COUNTIF($O$4:$O$2003,"&lt;"&amp;O210)+1,"")</f>
        <v/>
      </c>
      <c r="Q210">
        <f>IF(OR($R209="",$R209="T"),"",IF($R209="B",$Q209,IF($Q209+1&gt;$K$3,"",$Q209+1)))</f>
        <v/>
      </c>
      <c r="R210">
        <f>IF(OR($R209="",$R209="T"),"",IF($R209="B","S",IF($Q209+1&gt;$K$3,"T",IF(INDEX($M$4:$M$2003,MATCH($Q209+1,$P$4:$P$2003,0))&lt;&gt;INDEX($M$4:$M$2003,MATCH($Q209,$P$4:$P$2003,0)),"B","S"))))</f>
        <v/>
      </c>
      <c r="S210">
        <f>IF(Q210="","",IFERROR(MATCH(Q210,$P$4:$P$2003,0),""))</f>
        <v/>
      </c>
    </row>
    <row r="211">
      <c r="A211" s="4">
        <f>IF($R211="","",IF($R211="T","Gesamtergebnis",IF($R211="B",INDEX($M$4:$M$2003,$S211),INDEX($L$4:$L$2003,$S211))))</f>
        <v/>
      </c>
      <c r="B211" s="4">
        <f>IF($R211="","",IF($R211="T",$K$3,IF($R211="B",COUNTIFS($M$4:$M$2003,INDEX($M$4:$M$2003,$S211),$N$4:$N$2003,1),1)))</f>
        <v/>
      </c>
      <c r="L211">
        <f>IF($K$1="","",IFERROR(INDEX(Lines!$A:$AA,ROW()-2,$K$1),""))</f>
        <v/>
      </c>
      <c r="M211">
        <f>IF($K$2="","",IFERROR(INDEX(Lines!$A:$AA,ROW()-2,$K$2),""))</f>
        <v/>
      </c>
      <c r="N211">
        <f>IF(AND(L211&lt;&gt;"",LEFT(L211,1)="N",M211&lt;&gt;"PICKING",M211&lt;&gt;""),1,0)</f>
        <v/>
      </c>
      <c r="O211">
        <f>IF(N211=1,M211&amp;"|"&amp;L211,REPT("z",40))</f>
        <v/>
      </c>
      <c r="P211">
        <f>IF(N211=1,COUNTIF($O$4:$O$2003,"&lt;"&amp;O211)+1,"")</f>
        <v/>
      </c>
      <c r="Q211">
        <f>IF(OR($R210="",$R210="T"),"",IF($R210="B",$Q210,IF($Q210+1&gt;$K$3,"",$Q210+1)))</f>
        <v/>
      </c>
      <c r="R211">
        <f>IF(OR($R210="",$R210="T"),"",IF($R210="B","S",IF($Q210+1&gt;$K$3,"T",IF(INDEX($M$4:$M$2003,MATCH($Q210+1,$P$4:$P$2003,0))&lt;&gt;INDEX($M$4:$M$2003,MATCH($Q210,$P$4:$P$2003,0)),"B","S"))))</f>
        <v/>
      </c>
      <c r="S211">
        <f>IF(Q211="","",IFERROR(MATCH(Q211,$P$4:$P$2003,0),""))</f>
        <v/>
      </c>
    </row>
    <row r="212">
      <c r="A212" s="4">
        <f>IF($R212="","",IF($R212="T","Gesamtergebnis",IF($R212="B",INDEX($M$4:$M$2003,$S212),INDEX($L$4:$L$2003,$S212))))</f>
        <v/>
      </c>
      <c r="B212" s="4">
        <f>IF($R212="","",IF($R212="T",$K$3,IF($R212="B",COUNTIFS($M$4:$M$2003,INDEX($M$4:$M$2003,$S212),$N$4:$N$2003,1),1)))</f>
        <v/>
      </c>
      <c r="L212">
        <f>IF($K$1="","",IFERROR(INDEX(Lines!$A:$AA,ROW()-2,$K$1),""))</f>
        <v/>
      </c>
      <c r="M212">
        <f>IF($K$2="","",IFERROR(INDEX(Lines!$A:$AA,ROW()-2,$K$2),""))</f>
        <v/>
      </c>
      <c r="N212">
        <f>IF(AND(L212&lt;&gt;"",LEFT(L212,1)="N",M212&lt;&gt;"PICKING",M212&lt;&gt;""),1,0)</f>
        <v/>
      </c>
      <c r="O212">
        <f>IF(N212=1,M212&amp;"|"&amp;L212,REPT("z",40))</f>
        <v/>
      </c>
      <c r="P212">
        <f>IF(N212=1,COUNTIF($O$4:$O$2003,"&lt;"&amp;O212)+1,"")</f>
        <v/>
      </c>
      <c r="Q212">
        <f>IF(OR($R211="",$R211="T"),"",IF($R211="B",$Q211,IF($Q211+1&gt;$K$3,"",$Q211+1)))</f>
        <v/>
      </c>
      <c r="R212">
        <f>IF(OR($R211="",$R211="T"),"",IF($R211="B","S",IF($Q211+1&gt;$K$3,"T",IF(INDEX($M$4:$M$2003,MATCH($Q211+1,$P$4:$P$2003,0))&lt;&gt;INDEX($M$4:$M$2003,MATCH($Q211,$P$4:$P$2003,0)),"B","S"))))</f>
        <v/>
      </c>
      <c r="S212">
        <f>IF(Q212="","",IFERROR(MATCH(Q212,$P$4:$P$2003,0),""))</f>
        <v/>
      </c>
    </row>
    <row r="213">
      <c r="A213" s="4">
        <f>IF($R213="","",IF($R213="T","Gesamtergebnis",IF($R213="B",INDEX($M$4:$M$2003,$S213),INDEX($L$4:$L$2003,$S213))))</f>
        <v/>
      </c>
      <c r="B213" s="4">
        <f>IF($R213="","",IF($R213="T",$K$3,IF($R213="B",COUNTIFS($M$4:$M$2003,INDEX($M$4:$M$2003,$S213),$N$4:$N$2003,1),1)))</f>
        <v/>
      </c>
      <c r="L213">
        <f>IF($K$1="","",IFERROR(INDEX(Lines!$A:$AA,ROW()-2,$K$1),""))</f>
        <v/>
      </c>
      <c r="M213">
        <f>IF($K$2="","",IFERROR(INDEX(Lines!$A:$AA,ROW()-2,$K$2),""))</f>
        <v/>
      </c>
      <c r="N213">
        <f>IF(AND(L213&lt;&gt;"",LEFT(L213,1)="N",M213&lt;&gt;"PICKING",M213&lt;&gt;""),1,0)</f>
        <v/>
      </c>
      <c r="O213">
        <f>IF(N213=1,M213&amp;"|"&amp;L213,REPT("z",40))</f>
        <v/>
      </c>
      <c r="P213">
        <f>IF(N213=1,COUNTIF($O$4:$O$2003,"&lt;"&amp;O213)+1,"")</f>
        <v/>
      </c>
      <c r="Q213">
        <f>IF(OR($R212="",$R212="T"),"",IF($R212="B",$Q212,IF($Q212+1&gt;$K$3,"",$Q212+1)))</f>
        <v/>
      </c>
      <c r="R213">
        <f>IF(OR($R212="",$R212="T"),"",IF($R212="B","S",IF($Q212+1&gt;$K$3,"T",IF(INDEX($M$4:$M$2003,MATCH($Q212+1,$P$4:$P$2003,0))&lt;&gt;INDEX($M$4:$M$2003,MATCH($Q212,$P$4:$P$2003,0)),"B","S"))))</f>
        <v/>
      </c>
      <c r="S213">
        <f>IF(Q213="","",IFERROR(MATCH(Q213,$P$4:$P$2003,0),""))</f>
        <v/>
      </c>
    </row>
    <row r="214">
      <c r="A214" s="4">
        <f>IF($R214="","",IF($R214="T","Gesamtergebnis",IF($R214="B",INDEX($M$4:$M$2003,$S214),INDEX($L$4:$L$2003,$S214))))</f>
        <v/>
      </c>
      <c r="B214" s="4">
        <f>IF($R214="","",IF($R214="T",$K$3,IF($R214="B",COUNTIFS($M$4:$M$2003,INDEX($M$4:$M$2003,$S214),$N$4:$N$2003,1),1)))</f>
        <v/>
      </c>
      <c r="L214">
        <f>IF($K$1="","",IFERROR(INDEX(Lines!$A:$AA,ROW()-2,$K$1),""))</f>
        <v/>
      </c>
      <c r="M214">
        <f>IF($K$2="","",IFERROR(INDEX(Lines!$A:$AA,ROW()-2,$K$2),""))</f>
        <v/>
      </c>
      <c r="N214">
        <f>IF(AND(L214&lt;&gt;"",LEFT(L214,1)="N",M214&lt;&gt;"PICKING",M214&lt;&gt;""),1,0)</f>
        <v/>
      </c>
      <c r="O214">
        <f>IF(N214=1,M214&amp;"|"&amp;L214,REPT("z",40))</f>
        <v/>
      </c>
      <c r="P214">
        <f>IF(N214=1,COUNTIF($O$4:$O$2003,"&lt;"&amp;O214)+1,"")</f>
        <v/>
      </c>
      <c r="Q214">
        <f>IF(OR($R213="",$R213="T"),"",IF($R213="B",$Q213,IF($Q213+1&gt;$K$3,"",$Q213+1)))</f>
        <v/>
      </c>
      <c r="R214">
        <f>IF(OR($R213="",$R213="T"),"",IF($R213="B","S",IF($Q213+1&gt;$K$3,"T",IF(INDEX($M$4:$M$2003,MATCH($Q213+1,$P$4:$P$2003,0))&lt;&gt;INDEX($M$4:$M$2003,MATCH($Q213,$P$4:$P$2003,0)),"B","S"))))</f>
        <v/>
      </c>
      <c r="S214">
        <f>IF(Q214="","",IFERROR(MATCH(Q214,$P$4:$P$2003,0),""))</f>
        <v/>
      </c>
    </row>
    <row r="215">
      <c r="A215" s="4">
        <f>IF($R215="","",IF($R215="T","Gesamtergebnis",IF($R215="B",INDEX($M$4:$M$2003,$S215),INDEX($L$4:$L$2003,$S215))))</f>
        <v/>
      </c>
      <c r="B215" s="4">
        <f>IF($R215="","",IF($R215="T",$K$3,IF($R215="B",COUNTIFS($M$4:$M$2003,INDEX($M$4:$M$2003,$S215),$N$4:$N$2003,1),1)))</f>
        <v/>
      </c>
      <c r="L215">
        <f>IF($K$1="","",IFERROR(INDEX(Lines!$A:$AA,ROW()-2,$K$1),""))</f>
        <v/>
      </c>
      <c r="M215">
        <f>IF($K$2="","",IFERROR(INDEX(Lines!$A:$AA,ROW()-2,$K$2),""))</f>
        <v/>
      </c>
      <c r="N215">
        <f>IF(AND(L215&lt;&gt;"",LEFT(L215,1)="N",M215&lt;&gt;"PICKING",M215&lt;&gt;""),1,0)</f>
        <v/>
      </c>
      <c r="O215">
        <f>IF(N215=1,M215&amp;"|"&amp;L215,REPT("z",40))</f>
        <v/>
      </c>
      <c r="P215">
        <f>IF(N215=1,COUNTIF($O$4:$O$2003,"&lt;"&amp;O215)+1,"")</f>
        <v/>
      </c>
      <c r="Q215">
        <f>IF(OR($R214="",$R214="T"),"",IF($R214="B",$Q214,IF($Q214+1&gt;$K$3,"",$Q214+1)))</f>
        <v/>
      </c>
      <c r="R215">
        <f>IF(OR($R214="",$R214="T"),"",IF($R214="B","S",IF($Q214+1&gt;$K$3,"T",IF(INDEX($M$4:$M$2003,MATCH($Q214+1,$P$4:$P$2003,0))&lt;&gt;INDEX($M$4:$M$2003,MATCH($Q214,$P$4:$P$2003,0)),"B","S"))))</f>
        <v/>
      </c>
      <c r="S215">
        <f>IF(Q215="","",IFERROR(MATCH(Q215,$P$4:$P$2003,0),""))</f>
        <v/>
      </c>
    </row>
    <row r="216">
      <c r="A216" s="4">
        <f>IF($R216="","",IF($R216="T","Gesamtergebnis",IF($R216="B",INDEX($M$4:$M$2003,$S216),INDEX($L$4:$L$2003,$S216))))</f>
        <v/>
      </c>
      <c r="B216" s="4">
        <f>IF($R216="","",IF($R216="T",$K$3,IF($R216="B",COUNTIFS($M$4:$M$2003,INDEX($M$4:$M$2003,$S216),$N$4:$N$2003,1),1)))</f>
        <v/>
      </c>
      <c r="L216">
        <f>IF($K$1="","",IFERROR(INDEX(Lines!$A:$AA,ROW()-2,$K$1),""))</f>
        <v/>
      </c>
      <c r="M216">
        <f>IF($K$2="","",IFERROR(INDEX(Lines!$A:$AA,ROW()-2,$K$2),""))</f>
        <v/>
      </c>
      <c r="N216">
        <f>IF(AND(L216&lt;&gt;"",LEFT(L216,1)="N",M216&lt;&gt;"PICKING",M216&lt;&gt;""),1,0)</f>
        <v/>
      </c>
      <c r="O216">
        <f>IF(N216=1,M216&amp;"|"&amp;L216,REPT("z",40))</f>
        <v/>
      </c>
      <c r="P216">
        <f>IF(N216=1,COUNTIF($O$4:$O$2003,"&lt;"&amp;O216)+1,"")</f>
        <v/>
      </c>
      <c r="Q216">
        <f>IF(OR($R215="",$R215="T"),"",IF($R215="B",$Q215,IF($Q215+1&gt;$K$3,"",$Q215+1)))</f>
        <v/>
      </c>
      <c r="R216">
        <f>IF(OR($R215="",$R215="T"),"",IF($R215="B","S",IF($Q215+1&gt;$K$3,"T",IF(INDEX($M$4:$M$2003,MATCH($Q215+1,$P$4:$P$2003,0))&lt;&gt;INDEX($M$4:$M$2003,MATCH($Q215,$P$4:$P$2003,0)),"B","S"))))</f>
        <v/>
      </c>
      <c r="S216">
        <f>IF(Q216="","",IFERROR(MATCH(Q216,$P$4:$P$2003,0),""))</f>
        <v/>
      </c>
    </row>
    <row r="217">
      <c r="A217" s="4">
        <f>IF($R217="","",IF($R217="T","Gesamtergebnis",IF($R217="B",INDEX($M$4:$M$2003,$S217),INDEX($L$4:$L$2003,$S217))))</f>
        <v/>
      </c>
      <c r="B217" s="4">
        <f>IF($R217="","",IF($R217="T",$K$3,IF($R217="B",COUNTIFS($M$4:$M$2003,INDEX($M$4:$M$2003,$S217),$N$4:$N$2003,1),1)))</f>
        <v/>
      </c>
      <c r="L217">
        <f>IF($K$1="","",IFERROR(INDEX(Lines!$A:$AA,ROW()-2,$K$1),""))</f>
        <v/>
      </c>
      <c r="M217">
        <f>IF($K$2="","",IFERROR(INDEX(Lines!$A:$AA,ROW()-2,$K$2),""))</f>
        <v/>
      </c>
      <c r="N217">
        <f>IF(AND(L217&lt;&gt;"",LEFT(L217,1)="N",M217&lt;&gt;"PICKING",M217&lt;&gt;""),1,0)</f>
        <v/>
      </c>
      <c r="O217">
        <f>IF(N217=1,M217&amp;"|"&amp;L217,REPT("z",40))</f>
        <v/>
      </c>
      <c r="P217">
        <f>IF(N217=1,COUNTIF($O$4:$O$2003,"&lt;"&amp;O217)+1,"")</f>
        <v/>
      </c>
      <c r="Q217">
        <f>IF(OR($R216="",$R216="T"),"",IF($R216="B",$Q216,IF($Q216+1&gt;$K$3,"",$Q216+1)))</f>
        <v/>
      </c>
      <c r="R217">
        <f>IF(OR($R216="",$R216="T"),"",IF($R216="B","S",IF($Q216+1&gt;$K$3,"T",IF(INDEX($M$4:$M$2003,MATCH($Q216+1,$P$4:$P$2003,0))&lt;&gt;INDEX($M$4:$M$2003,MATCH($Q216,$P$4:$P$2003,0)),"B","S"))))</f>
        <v/>
      </c>
      <c r="S217">
        <f>IF(Q217="","",IFERROR(MATCH(Q217,$P$4:$P$2003,0),""))</f>
        <v/>
      </c>
    </row>
    <row r="218">
      <c r="A218" s="4">
        <f>IF($R218="","",IF($R218="T","Gesamtergebnis",IF($R218="B",INDEX($M$4:$M$2003,$S218),INDEX($L$4:$L$2003,$S218))))</f>
        <v/>
      </c>
      <c r="B218" s="4">
        <f>IF($R218="","",IF($R218="T",$K$3,IF($R218="B",COUNTIFS($M$4:$M$2003,INDEX($M$4:$M$2003,$S218),$N$4:$N$2003,1),1)))</f>
        <v/>
      </c>
      <c r="L218">
        <f>IF($K$1="","",IFERROR(INDEX(Lines!$A:$AA,ROW()-2,$K$1),""))</f>
        <v/>
      </c>
      <c r="M218">
        <f>IF($K$2="","",IFERROR(INDEX(Lines!$A:$AA,ROW()-2,$K$2),""))</f>
        <v/>
      </c>
      <c r="N218">
        <f>IF(AND(L218&lt;&gt;"",LEFT(L218,1)="N",M218&lt;&gt;"PICKING",M218&lt;&gt;""),1,0)</f>
        <v/>
      </c>
      <c r="O218">
        <f>IF(N218=1,M218&amp;"|"&amp;L218,REPT("z",40))</f>
        <v/>
      </c>
      <c r="P218">
        <f>IF(N218=1,COUNTIF($O$4:$O$2003,"&lt;"&amp;O218)+1,"")</f>
        <v/>
      </c>
      <c r="Q218">
        <f>IF(OR($R217="",$R217="T"),"",IF($R217="B",$Q217,IF($Q217+1&gt;$K$3,"",$Q217+1)))</f>
        <v/>
      </c>
      <c r="R218">
        <f>IF(OR($R217="",$R217="T"),"",IF($R217="B","S",IF($Q217+1&gt;$K$3,"T",IF(INDEX($M$4:$M$2003,MATCH($Q217+1,$P$4:$P$2003,0))&lt;&gt;INDEX($M$4:$M$2003,MATCH($Q217,$P$4:$P$2003,0)),"B","S"))))</f>
        <v/>
      </c>
      <c r="S218">
        <f>IF(Q218="","",IFERROR(MATCH(Q218,$P$4:$P$2003,0),""))</f>
        <v/>
      </c>
    </row>
    <row r="219">
      <c r="A219" s="4">
        <f>IF($R219="","",IF($R219="T","Gesamtergebnis",IF($R219="B",INDEX($M$4:$M$2003,$S219),INDEX($L$4:$L$2003,$S219))))</f>
        <v/>
      </c>
      <c r="B219" s="4">
        <f>IF($R219="","",IF($R219="T",$K$3,IF($R219="B",COUNTIFS($M$4:$M$2003,INDEX($M$4:$M$2003,$S219),$N$4:$N$2003,1),1)))</f>
        <v/>
      </c>
      <c r="L219">
        <f>IF($K$1="","",IFERROR(INDEX(Lines!$A:$AA,ROW()-2,$K$1),""))</f>
        <v/>
      </c>
      <c r="M219">
        <f>IF($K$2="","",IFERROR(INDEX(Lines!$A:$AA,ROW()-2,$K$2),""))</f>
        <v/>
      </c>
      <c r="N219">
        <f>IF(AND(L219&lt;&gt;"",LEFT(L219,1)="N",M219&lt;&gt;"PICKING",M219&lt;&gt;""),1,0)</f>
        <v/>
      </c>
      <c r="O219">
        <f>IF(N219=1,M219&amp;"|"&amp;L219,REPT("z",40))</f>
        <v/>
      </c>
      <c r="P219">
        <f>IF(N219=1,COUNTIF($O$4:$O$2003,"&lt;"&amp;O219)+1,"")</f>
        <v/>
      </c>
      <c r="Q219">
        <f>IF(OR($R218="",$R218="T"),"",IF($R218="B",$Q218,IF($Q218+1&gt;$K$3,"",$Q218+1)))</f>
        <v/>
      </c>
      <c r="R219">
        <f>IF(OR($R218="",$R218="T"),"",IF($R218="B","S",IF($Q218+1&gt;$K$3,"T",IF(INDEX($M$4:$M$2003,MATCH($Q218+1,$P$4:$P$2003,0))&lt;&gt;INDEX($M$4:$M$2003,MATCH($Q218,$P$4:$P$2003,0)),"B","S"))))</f>
        <v/>
      </c>
      <c r="S219">
        <f>IF(Q219="","",IFERROR(MATCH(Q219,$P$4:$P$2003,0),""))</f>
        <v/>
      </c>
    </row>
    <row r="220">
      <c r="A220" s="4">
        <f>IF($R220="","",IF($R220="T","Gesamtergebnis",IF($R220="B",INDEX($M$4:$M$2003,$S220),INDEX($L$4:$L$2003,$S220))))</f>
        <v/>
      </c>
      <c r="B220" s="4">
        <f>IF($R220="","",IF($R220="T",$K$3,IF($R220="B",COUNTIFS($M$4:$M$2003,INDEX($M$4:$M$2003,$S220),$N$4:$N$2003,1),1)))</f>
        <v/>
      </c>
      <c r="L220">
        <f>IF($K$1="","",IFERROR(INDEX(Lines!$A:$AA,ROW()-2,$K$1),""))</f>
        <v/>
      </c>
      <c r="M220">
        <f>IF($K$2="","",IFERROR(INDEX(Lines!$A:$AA,ROW()-2,$K$2),""))</f>
        <v/>
      </c>
      <c r="N220">
        <f>IF(AND(L220&lt;&gt;"",LEFT(L220,1)="N",M220&lt;&gt;"PICKING",M220&lt;&gt;""),1,0)</f>
        <v/>
      </c>
      <c r="O220">
        <f>IF(N220=1,M220&amp;"|"&amp;L220,REPT("z",40))</f>
        <v/>
      </c>
      <c r="P220">
        <f>IF(N220=1,COUNTIF($O$4:$O$2003,"&lt;"&amp;O220)+1,"")</f>
        <v/>
      </c>
      <c r="Q220">
        <f>IF(OR($R219="",$R219="T"),"",IF($R219="B",$Q219,IF($Q219+1&gt;$K$3,"",$Q219+1)))</f>
        <v/>
      </c>
      <c r="R220">
        <f>IF(OR($R219="",$R219="T"),"",IF($R219="B","S",IF($Q219+1&gt;$K$3,"T",IF(INDEX($M$4:$M$2003,MATCH($Q219+1,$P$4:$P$2003,0))&lt;&gt;INDEX($M$4:$M$2003,MATCH($Q219,$P$4:$P$2003,0)),"B","S"))))</f>
        <v/>
      </c>
      <c r="S220">
        <f>IF(Q220="","",IFERROR(MATCH(Q220,$P$4:$P$2003,0),""))</f>
        <v/>
      </c>
    </row>
    <row r="221">
      <c r="A221" s="4">
        <f>IF($R221="","",IF($R221="T","Gesamtergebnis",IF($R221="B",INDEX($M$4:$M$2003,$S221),INDEX($L$4:$L$2003,$S221))))</f>
        <v/>
      </c>
      <c r="B221" s="4">
        <f>IF($R221="","",IF($R221="T",$K$3,IF($R221="B",COUNTIFS($M$4:$M$2003,INDEX($M$4:$M$2003,$S221),$N$4:$N$2003,1),1)))</f>
        <v/>
      </c>
      <c r="L221">
        <f>IF($K$1="","",IFERROR(INDEX(Lines!$A:$AA,ROW()-2,$K$1),""))</f>
        <v/>
      </c>
      <c r="M221">
        <f>IF($K$2="","",IFERROR(INDEX(Lines!$A:$AA,ROW()-2,$K$2),""))</f>
        <v/>
      </c>
      <c r="N221">
        <f>IF(AND(L221&lt;&gt;"",LEFT(L221,1)="N",M221&lt;&gt;"PICKING",M221&lt;&gt;""),1,0)</f>
        <v/>
      </c>
      <c r="O221">
        <f>IF(N221=1,M221&amp;"|"&amp;L221,REPT("z",40))</f>
        <v/>
      </c>
      <c r="P221">
        <f>IF(N221=1,COUNTIF($O$4:$O$2003,"&lt;"&amp;O221)+1,"")</f>
        <v/>
      </c>
      <c r="Q221">
        <f>IF(OR($R220="",$R220="T"),"",IF($R220="B",$Q220,IF($Q220+1&gt;$K$3,"",$Q220+1)))</f>
        <v/>
      </c>
      <c r="R221">
        <f>IF(OR($R220="",$R220="T"),"",IF($R220="B","S",IF($Q220+1&gt;$K$3,"T",IF(INDEX($M$4:$M$2003,MATCH($Q220+1,$P$4:$P$2003,0))&lt;&gt;INDEX($M$4:$M$2003,MATCH($Q220,$P$4:$P$2003,0)),"B","S"))))</f>
        <v/>
      </c>
      <c r="S221">
        <f>IF(Q221="","",IFERROR(MATCH(Q221,$P$4:$P$2003,0),""))</f>
        <v/>
      </c>
    </row>
    <row r="222">
      <c r="A222" s="4">
        <f>IF($R222="","",IF($R222="T","Gesamtergebnis",IF($R222="B",INDEX($M$4:$M$2003,$S222),INDEX($L$4:$L$2003,$S222))))</f>
        <v/>
      </c>
      <c r="B222" s="4">
        <f>IF($R222="","",IF($R222="T",$K$3,IF($R222="B",COUNTIFS($M$4:$M$2003,INDEX($M$4:$M$2003,$S222),$N$4:$N$2003,1),1)))</f>
        <v/>
      </c>
      <c r="L222">
        <f>IF($K$1="","",IFERROR(INDEX(Lines!$A:$AA,ROW()-2,$K$1),""))</f>
        <v/>
      </c>
      <c r="M222">
        <f>IF($K$2="","",IFERROR(INDEX(Lines!$A:$AA,ROW()-2,$K$2),""))</f>
        <v/>
      </c>
      <c r="N222">
        <f>IF(AND(L222&lt;&gt;"",LEFT(L222,1)="N",M222&lt;&gt;"PICKING",M222&lt;&gt;""),1,0)</f>
        <v/>
      </c>
      <c r="O222">
        <f>IF(N222=1,M222&amp;"|"&amp;L222,REPT("z",40))</f>
        <v/>
      </c>
      <c r="P222">
        <f>IF(N222=1,COUNTIF($O$4:$O$2003,"&lt;"&amp;O222)+1,"")</f>
        <v/>
      </c>
      <c r="Q222">
        <f>IF(OR($R221="",$R221="T"),"",IF($R221="B",$Q221,IF($Q221+1&gt;$K$3,"",$Q221+1)))</f>
        <v/>
      </c>
      <c r="R222">
        <f>IF(OR($R221="",$R221="T"),"",IF($R221="B","S",IF($Q221+1&gt;$K$3,"T",IF(INDEX($M$4:$M$2003,MATCH($Q221+1,$P$4:$P$2003,0))&lt;&gt;INDEX($M$4:$M$2003,MATCH($Q221,$P$4:$P$2003,0)),"B","S"))))</f>
        <v/>
      </c>
      <c r="S222">
        <f>IF(Q222="","",IFERROR(MATCH(Q222,$P$4:$P$2003,0),""))</f>
        <v/>
      </c>
    </row>
    <row r="223">
      <c r="A223" s="4">
        <f>IF($R223="","",IF($R223="T","Gesamtergebnis",IF($R223="B",INDEX($M$4:$M$2003,$S223),INDEX($L$4:$L$2003,$S223))))</f>
        <v/>
      </c>
      <c r="B223" s="4">
        <f>IF($R223="","",IF($R223="T",$K$3,IF($R223="B",COUNTIFS($M$4:$M$2003,INDEX($M$4:$M$2003,$S223),$N$4:$N$2003,1),1)))</f>
        <v/>
      </c>
      <c r="L223">
        <f>IF($K$1="","",IFERROR(INDEX(Lines!$A:$AA,ROW()-2,$K$1),""))</f>
        <v/>
      </c>
      <c r="M223">
        <f>IF($K$2="","",IFERROR(INDEX(Lines!$A:$AA,ROW()-2,$K$2),""))</f>
        <v/>
      </c>
      <c r="N223">
        <f>IF(AND(L223&lt;&gt;"",LEFT(L223,1)="N",M223&lt;&gt;"PICKING",M223&lt;&gt;""),1,0)</f>
        <v/>
      </c>
      <c r="O223">
        <f>IF(N223=1,M223&amp;"|"&amp;L223,REPT("z",40))</f>
        <v/>
      </c>
      <c r="P223">
        <f>IF(N223=1,COUNTIF($O$4:$O$2003,"&lt;"&amp;O223)+1,"")</f>
        <v/>
      </c>
      <c r="Q223">
        <f>IF(OR($R222="",$R222="T"),"",IF($R222="B",$Q222,IF($Q222+1&gt;$K$3,"",$Q222+1)))</f>
        <v/>
      </c>
      <c r="R223">
        <f>IF(OR($R222="",$R222="T"),"",IF($R222="B","S",IF($Q222+1&gt;$K$3,"T",IF(INDEX($M$4:$M$2003,MATCH($Q222+1,$P$4:$P$2003,0))&lt;&gt;INDEX($M$4:$M$2003,MATCH($Q222,$P$4:$P$2003,0)),"B","S"))))</f>
        <v/>
      </c>
      <c r="S223">
        <f>IF(Q223="","",IFERROR(MATCH(Q223,$P$4:$P$2003,0),""))</f>
        <v/>
      </c>
    </row>
    <row r="224">
      <c r="A224" s="4">
        <f>IF($R224="","",IF($R224="T","Gesamtergebnis",IF($R224="B",INDEX($M$4:$M$2003,$S224),INDEX($L$4:$L$2003,$S224))))</f>
        <v/>
      </c>
      <c r="B224" s="4">
        <f>IF($R224="","",IF($R224="T",$K$3,IF($R224="B",COUNTIFS($M$4:$M$2003,INDEX($M$4:$M$2003,$S224),$N$4:$N$2003,1),1)))</f>
        <v/>
      </c>
      <c r="L224">
        <f>IF($K$1="","",IFERROR(INDEX(Lines!$A:$AA,ROW()-2,$K$1),""))</f>
        <v/>
      </c>
      <c r="M224">
        <f>IF($K$2="","",IFERROR(INDEX(Lines!$A:$AA,ROW()-2,$K$2),""))</f>
        <v/>
      </c>
      <c r="N224">
        <f>IF(AND(L224&lt;&gt;"",LEFT(L224,1)="N",M224&lt;&gt;"PICKING",M224&lt;&gt;""),1,0)</f>
        <v/>
      </c>
      <c r="O224">
        <f>IF(N224=1,M224&amp;"|"&amp;L224,REPT("z",40))</f>
        <v/>
      </c>
      <c r="P224">
        <f>IF(N224=1,COUNTIF($O$4:$O$2003,"&lt;"&amp;O224)+1,"")</f>
        <v/>
      </c>
      <c r="Q224">
        <f>IF(OR($R223="",$R223="T"),"",IF($R223="B",$Q223,IF($Q223+1&gt;$K$3,"",$Q223+1)))</f>
        <v/>
      </c>
      <c r="R224">
        <f>IF(OR($R223="",$R223="T"),"",IF($R223="B","S",IF($Q223+1&gt;$K$3,"T",IF(INDEX($M$4:$M$2003,MATCH($Q223+1,$P$4:$P$2003,0))&lt;&gt;INDEX($M$4:$M$2003,MATCH($Q223,$P$4:$P$2003,0)),"B","S"))))</f>
        <v/>
      </c>
      <c r="S224">
        <f>IF(Q224="","",IFERROR(MATCH(Q224,$P$4:$P$2003,0),""))</f>
        <v/>
      </c>
    </row>
    <row r="225">
      <c r="A225" s="4">
        <f>IF($R225="","",IF($R225="T","Gesamtergebnis",IF($R225="B",INDEX($M$4:$M$2003,$S225),INDEX($L$4:$L$2003,$S225))))</f>
        <v/>
      </c>
      <c r="B225" s="4">
        <f>IF($R225="","",IF($R225="T",$K$3,IF($R225="B",COUNTIFS($M$4:$M$2003,INDEX($M$4:$M$2003,$S225),$N$4:$N$2003,1),1)))</f>
        <v/>
      </c>
      <c r="L225">
        <f>IF($K$1="","",IFERROR(INDEX(Lines!$A:$AA,ROW()-2,$K$1),""))</f>
        <v/>
      </c>
      <c r="M225">
        <f>IF($K$2="","",IFERROR(INDEX(Lines!$A:$AA,ROW()-2,$K$2),""))</f>
        <v/>
      </c>
      <c r="N225">
        <f>IF(AND(L225&lt;&gt;"",LEFT(L225,1)="N",M225&lt;&gt;"PICKING",M225&lt;&gt;""),1,0)</f>
        <v/>
      </c>
      <c r="O225">
        <f>IF(N225=1,M225&amp;"|"&amp;L225,REPT("z",40))</f>
        <v/>
      </c>
      <c r="P225">
        <f>IF(N225=1,COUNTIF($O$4:$O$2003,"&lt;"&amp;O225)+1,"")</f>
        <v/>
      </c>
      <c r="Q225">
        <f>IF(OR($R224="",$R224="T"),"",IF($R224="B",$Q224,IF($Q224+1&gt;$K$3,"",$Q224+1)))</f>
        <v/>
      </c>
      <c r="R225">
        <f>IF(OR($R224="",$R224="T"),"",IF($R224="B","S",IF($Q224+1&gt;$K$3,"T",IF(INDEX($M$4:$M$2003,MATCH($Q224+1,$P$4:$P$2003,0))&lt;&gt;INDEX($M$4:$M$2003,MATCH($Q224,$P$4:$P$2003,0)),"B","S"))))</f>
        <v/>
      </c>
      <c r="S225">
        <f>IF(Q225="","",IFERROR(MATCH(Q225,$P$4:$P$2003,0),""))</f>
        <v/>
      </c>
    </row>
    <row r="226">
      <c r="A226" s="4">
        <f>IF($R226="","",IF($R226="T","Gesamtergebnis",IF($R226="B",INDEX($M$4:$M$2003,$S226),INDEX($L$4:$L$2003,$S226))))</f>
        <v/>
      </c>
      <c r="B226" s="4">
        <f>IF($R226="","",IF($R226="T",$K$3,IF($R226="B",COUNTIFS($M$4:$M$2003,INDEX($M$4:$M$2003,$S226),$N$4:$N$2003,1),1)))</f>
        <v/>
      </c>
      <c r="L226">
        <f>IF($K$1="","",IFERROR(INDEX(Lines!$A:$AA,ROW()-2,$K$1),""))</f>
        <v/>
      </c>
      <c r="M226">
        <f>IF($K$2="","",IFERROR(INDEX(Lines!$A:$AA,ROW()-2,$K$2),""))</f>
        <v/>
      </c>
      <c r="N226">
        <f>IF(AND(L226&lt;&gt;"",LEFT(L226,1)="N",M226&lt;&gt;"PICKING",M226&lt;&gt;""),1,0)</f>
        <v/>
      </c>
      <c r="O226">
        <f>IF(N226=1,M226&amp;"|"&amp;L226,REPT("z",40))</f>
        <v/>
      </c>
      <c r="P226">
        <f>IF(N226=1,COUNTIF($O$4:$O$2003,"&lt;"&amp;O226)+1,"")</f>
        <v/>
      </c>
      <c r="Q226">
        <f>IF(OR($R225="",$R225="T"),"",IF($R225="B",$Q225,IF($Q225+1&gt;$K$3,"",$Q225+1)))</f>
        <v/>
      </c>
      <c r="R226">
        <f>IF(OR($R225="",$R225="T"),"",IF($R225="B","S",IF($Q225+1&gt;$K$3,"T",IF(INDEX($M$4:$M$2003,MATCH($Q225+1,$P$4:$P$2003,0))&lt;&gt;INDEX($M$4:$M$2003,MATCH($Q225,$P$4:$P$2003,0)),"B","S"))))</f>
        <v/>
      </c>
      <c r="S226">
        <f>IF(Q226="","",IFERROR(MATCH(Q226,$P$4:$P$2003,0),""))</f>
        <v/>
      </c>
    </row>
    <row r="227">
      <c r="A227" s="4">
        <f>IF($R227="","",IF($R227="T","Gesamtergebnis",IF($R227="B",INDEX($M$4:$M$2003,$S227),INDEX($L$4:$L$2003,$S227))))</f>
        <v/>
      </c>
      <c r="B227" s="4">
        <f>IF($R227="","",IF($R227="T",$K$3,IF($R227="B",COUNTIFS($M$4:$M$2003,INDEX($M$4:$M$2003,$S227),$N$4:$N$2003,1),1)))</f>
        <v/>
      </c>
      <c r="L227">
        <f>IF($K$1="","",IFERROR(INDEX(Lines!$A:$AA,ROW()-2,$K$1),""))</f>
        <v/>
      </c>
      <c r="M227">
        <f>IF($K$2="","",IFERROR(INDEX(Lines!$A:$AA,ROW()-2,$K$2),""))</f>
        <v/>
      </c>
      <c r="N227">
        <f>IF(AND(L227&lt;&gt;"",LEFT(L227,1)="N",M227&lt;&gt;"PICKING",M227&lt;&gt;""),1,0)</f>
        <v/>
      </c>
      <c r="O227">
        <f>IF(N227=1,M227&amp;"|"&amp;L227,REPT("z",40))</f>
        <v/>
      </c>
      <c r="P227">
        <f>IF(N227=1,COUNTIF($O$4:$O$2003,"&lt;"&amp;O227)+1,"")</f>
        <v/>
      </c>
      <c r="Q227">
        <f>IF(OR($R226="",$R226="T"),"",IF($R226="B",$Q226,IF($Q226+1&gt;$K$3,"",$Q226+1)))</f>
        <v/>
      </c>
      <c r="R227">
        <f>IF(OR($R226="",$R226="T"),"",IF($R226="B","S",IF($Q226+1&gt;$K$3,"T",IF(INDEX($M$4:$M$2003,MATCH($Q226+1,$P$4:$P$2003,0))&lt;&gt;INDEX($M$4:$M$2003,MATCH($Q226,$P$4:$P$2003,0)),"B","S"))))</f>
        <v/>
      </c>
      <c r="S227">
        <f>IF(Q227="","",IFERROR(MATCH(Q227,$P$4:$P$2003,0),""))</f>
        <v/>
      </c>
    </row>
    <row r="228">
      <c r="A228" s="4">
        <f>IF($R228="","",IF($R228="T","Gesamtergebnis",IF($R228="B",INDEX($M$4:$M$2003,$S228),INDEX($L$4:$L$2003,$S228))))</f>
        <v/>
      </c>
      <c r="B228" s="4">
        <f>IF($R228="","",IF($R228="T",$K$3,IF($R228="B",COUNTIFS($M$4:$M$2003,INDEX($M$4:$M$2003,$S228),$N$4:$N$2003,1),1)))</f>
        <v/>
      </c>
      <c r="L228">
        <f>IF($K$1="","",IFERROR(INDEX(Lines!$A:$AA,ROW()-2,$K$1),""))</f>
        <v/>
      </c>
      <c r="M228">
        <f>IF($K$2="","",IFERROR(INDEX(Lines!$A:$AA,ROW()-2,$K$2),""))</f>
        <v/>
      </c>
      <c r="N228">
        <f>IF(AND(L228&lt;&gt;"",LEFT(L228,1)="N",M228&lt;&gt;"PICKING",M228&lt;&gt;""),1,0)</f>
        <v/>
      </c>
      <c r="O228">
        <f>IF(N228=1,M228&amp;"|"&amp;L228,REPT("z",40))</f>
        <v/>
      </c>
      <c r="P228">
        <f>IF(N228=1,COUNTIF($O$4:$O$2003,"&lt;"&amp;O228)+1,"")</f>
        <v/>
      </c>
      <c r="Q228">
        <f>IF(OR($R227="",$R227="T"),"",IF($R227="B",$Q227,IF($Q227+1&gt;$K$3,"",$Q227+1)))</f>
        <v/>
      </c>
      <c r="R228">
        <f>IF(OR($R227="",$R227="T"),"",IF($R227="B","S",IF($Q227+1&gt;$K$3,"T",IF(INDEX($M$4:$M$2003,MATCH($Q227+1,$P$4:$P$2003,0))&lt;&gt;INDEX($M$4:$M$2003,MATCH($Q227,$P$4:$P$2003,0)),"B","S"))))</f>
        <v/>
      </c>
      <c r="S228">
        <f>IF(Q228="","",IFERROR(MATCH(Q228,$P$4:$P$2003,0),""))</f>
        <v/>
      </c>
    </row>
    <row r="229">
      <c r="A229" s="4">
        <f>IF($R229="","",IF($R229="T","Gesamtergebnis",IF($R229="B",INDEX($M$4:$M$2003,$S229),INDEX($L$4:$L$2003,$S229))))</f>
        <v/>
      </c>
      <c r="B229" s="4">
        <f>IF($R229="","",IF($R229="T",$K$3,IF($R229="B",COUNTIFS($M$4:$M$2003,INDEX($M$4:$M$2003,$S229),$N$4:$N$2003,1),1)))</f>
        <v/>
      </c>
      <c r="L229">
        <f>IF($K$1="","",IFERROR(INDEX(Lines!$A:$AA,ROW()-2,$K$1),""))</f>
        <v/>
      </c>
      <c r="M229">
        <f>IF($K$2="","",IFERROR(INDEX(Lines!$A:$AA,ROW()-2,$K$2),""))</f>
        <v/>
      </c>
      <c r="N229">
        <f>IF(AND(L229&lt;&gt;"",LEFT(L229,1)="N",M229&lt;&gt;"PICKING",M229&lt;&gt;""),1,0)</f>
        <v/>
      </c>
      <c r="O229">
        <f>IF(N229=1,M229&amp;"|"&amp;L229,REPT("z",40))</f>
        <v/>
      </c>
      <c r="P229">
        <f>IF(N229=1,COUNTIF($O$4:$O$2003,"&lt;"&amp;O229)+1,"")</f>
        <v/>
      </c>
      <c r="Q229">
        <f>IF(OR($R228="",$R228="T"),"",IF($R228="B",$Q228,IF($Q228+1&gt;$K$3,"",$Q228+1)))</f>
        <v/>
      </c>
      <c r="R229">
        <f>IF(OR($R228="",$R228="T"),"",IF($R228="B","S",IF($Q228+1&gt;$K$3,"T",IF(INDEX($M$4:$M$2003,MATCH($Q228+1,$P$4:$P$2003,0))&lt;&gt;INDEX($M$4:$M$2003,MATCH($Q228,$P$4:$P$2003,0)),"B","S"))))</f>
        <v/>
      </c>
      <c r="S229">
        <f>IF(Q229="","",IFERROR(MATCH(Q229,$P$4:$P$2003,0),""))</f>
        <v/>
      </c>
    </row>
    <row r="230">
      <c r="A230" s="4">
        <f>IF($R230="","",IF($R230="T","Gesamtergebnis",IF($R230="B",INDEX($M$4:$M$2003,$S230),INDEX($L$4:$L$2003,$S230))))</f>
        <v/>
      </c>
      <c r="B230" s="4">
        <f>IF($R230="","",IF($R230="T",$K$3,IF($R230="B",COUNTIFS($M$4:$M$2003,INDEX($M$4:$M$2003,$S230),$N$4:$N$2003,1),1)))</f>
        <v/>
      </c>
      <c r="L230">
        <f>IF($K$1="","",IFERROR(INDEX(Lines!$A:$AA,ROW()-2,$K$1),""))</f>
        <v/>
      </c>
      <c r="M230">
        <f>IF($K$2="","",IFERROR(INDEX(Lines!$A:$AA,ROW()-2,$K$2),""))</f>
        <v/>
      </c>
      <c r="N230">
        <f>IF(AND(L230&lt;&gt;"",LEFT(L230,1)="N",M230&lt;&gt;"PICKING",M230&lt;&gt;""),1,0)</f>
        <v/>
      </c>
      <c r="O230">
        <f>IF(N230=1,M230&amp;"|"&amp;L230,REPT("z",40))</f>
        <v/>
      </c>
      <c r="P230">
        <f>IF(N230=1,COUNTIF($O$4:$O$2003,"&lt;"&amp;O230)+1,"")</f>
        <v/>
      </c>
      <c r="Q230">
        <f>IF(OR($R229="",$R229="T"),"",IF($R229="B",$Q229,IF($Q229+1&gt;$K$3,"",$Q229+1)))</f>
        <v/>
      </c>
      <c r="R230">
        <f>IF(OR($R229="",$R229="T"),"",IF($R229="B","S",IF($Q229+1&gt;$K$3,"T",IF(INDEX($M$4:$M$2003,MATCH($Q229+1,$P$4:$P$2003,0))&lt;&gt;INDEX($M$4:$M$2003,MATCH($Q229,$P$4:$P$2003,0)),"B","S"))))</f>
        <v/>
      </c>
      <c r="S230">
        <f>IF(Q230="","",IFERROR(MATCH(Q230,$P$4:$P$2003,0),""))</f>
        <v/>
      </c>
    </row>
    <row r="231">
      <c r="A231" s="4">
        <f>IF($R231="","",IF($R231="T","Gesamtergebnis",IF($R231="B",INDEX($M$4:$M$2003,$S231),INDEX($L$4:$L$2003,$S231))))</f>
        <v/>
      </c>
      <c r="B231" s="4">
        <f>IF($R231="","",IF($R231="T",$K$3,IF($R231="B",COUNTIFS($M$4:$M$2003,INDEX($M$4:$M$2003,$S231),$N$4:$N$2003,1),1)))</f>
        <v/>
      </c>
      <c r="L231">
        <f>IF($K$1="","",IFERROR(INDEX(Lines!$A:$AA,ROW()-2,$K$1),""))</f>
        <v/>
      </c>
      <c r="M231">
        <f>IF($K$2="","",IFERROR(INDEX(Lines!$A:$AA,ROW()-2,$K$2),""))</f>
        <v/>
      </c>
      <c r="N231">
        <f>IF(AND(L231&lt;&gt;"",LEFT(L231,1)="N",M231&lt;&gt;"PICKING",M231&lt;&gt;""),1,0)</f>
        <v/>
      </c>
      <c r="O231">
        <f>IF(N231=1,M231&amp;"|"&amp;L231,REPT("z",40))</f>
        <v/>
      </c>
      <c r="P231">
        <f>IF(N231=1,COUNTIF($O$4:$O$2003,"&lt;"&amp;O231)+1,"")</f>
        <v/>
      </c>
      <c r="Q231">
        <f>IF(OR($R230="",$R230="T"),"",IF($R230="B",$Q230,IF($Q230+1&gt;$K$3,"",$Q230+1)))</f>
        <v/>
      </c>
      <c r="R231">
        <f>IF(OR($R230="",$R230="T"),"",IF($R230="B","S",IF($Q230+1&gt;$K$3,"T",IF(INDEX($M$4:$M$2003,MATCH($Q230+1,$P$4:$P$2003,0))&lt;&gt;INDEX($M$4:$M$2003,MATCH($Q230,$P$4:$P$2003,0)),"B","S"))))</f>
        <v/>
      </c>
      <c r="S231">
        <f>IF(Q231="","",IFERROR(MATCH(Q231,$P$4:$P$2003,0),""))</f>
        <v/>
      </c>
    </row>
    <row r="232">
      <c r="A232" s="4">
        <f>IF($R232="","",IF($R232="T","Gesamtergebnis",IF($R232="B",INDEX($M$4:$M$2003,$S232),INDEX($L$4:$L$2003,$S232))))</f>
        <v/>
      </c>
      <c r="B232" s="4">
        <f>IF($R232="","",IF($R232="T",$K$3,IF($R232="B",COUNTIFS($M$4:$M$2003,INDEX($M$4:$M$2003,$S232),$N$4:$N$2003,1),1)))</f>
        <v/>
      </c>
      <c r="L232">
        <f>IF($K$1="","",IFERROR(INDEX(Lines!$A:$AA,ROW()-2,$K$1),""))</f>
        <v/>
      </c>
      <c r="M232">
        <f>IF($K$2="","",IFERROR(INDEX(Lines!$A:$AA,ROW()-2,$K$2),""))</f>
        <v/>
      </c>
      <c r="N232">
        <f>IF(AND(L232&lt;&gt;"",LEFT(L232,1)="N",M232&lt;&gt;"PICKING",M232&lt;&gt;""),1,0)</f>
        <v/>
      </c>
      <c r="O232">
        <f>IF(N232=1,M232&amp;"|"&amp;L232,REPT("z",40))</f>
        <v/>
      </c>
      <c r="P232">
        <f>IF(N232=1,COUNTIF($O$4:$O$2003,"&lt;"&amp;O232)+1,"")</f>
        <v/>
      </c>
      <c r="Q232">
        <f>IF(OR($R231="",$R231="T"),"",IF($R231="B",$Q231,IF($Q231+1&gt;$K$3,"",$Q231+1)))</f>
        <v/>
      </c>
      <c r="R232">
        <f>IF(OR($R231="",$R231="T"),"",IF($R231="B","S",IF($Q231+1&gt;$K$3,"T",IF(INDEX($M$4:$M$2003,MATCH($Q231+1,$P$4:$P$2003,0))&lt;&gt;INDEX($M$4:$M$2003,MATCH($Q231,$P$4:$P$2003,0)),"B","S"))))</f>
        <v/>
      </c>
      <c r="S232">
        <f>IF(Q232="","",IFERROR(MATCH(Q232,$P$4:$P$2003,0),""))</f>
        <v/>
      </c>
    </row>
    <row r="233">
      <c r="A233" s="4">
        <f>IF($R233="","",IF($R233="T","Gesamtergebnis",IF($R233="B",INDEX($M$4:$M$2003,$S233),INDEX($L$4:$L$2003,$S233))))</f>
        <v/>
      </c>
      <c r="B233" s="4">
        <f>IF($R233="","",IF($R233="T",$K$3,IF($R233="B",COUNTIFS($M$4:$M$2003,INDEX($M$4:$M$2003,$S233),$N$4:$N$2003,1),1)))</f>
        <v/>
      </c>
      <c r="L233">
        <f>IF($K$1="","",IFERROR(INDEX(Lines!$A:$AA,ROW()-2,$K$1),""))</f>
        <v/>
      </c>
      <c r="M233">
        <f>IF($K$2="","",IFERROR(INDEX(Lines!$A:$AA,ROW()-2,$K$2),""))</f>
        <v/>
      </c>
      <c r="N233">
        <f>IF(AND(L233&lt;&gt;"",LEFT(L233,1)="N",M233&lt;&gt;"PICKING",M233&lt;&gt;""),1,0)</f>
        <v/>
      </c>
      <c r="O233">
        <f>IF(N233=1,M233&amp;"|"&amp;L233,REPT("z",40))</f>
        <v/>
      </c>
      <c r="P233">
        <f>IF(N233=1,COUNTIF($O$4:$O$2003,"&lt;"&amp;O233)+1,"")</f>
        <v/>
      </c>
      <c r="Q233">
        <f>IF(OR($R232="",$R232="T"),"",IF($R232="B",$Q232,IF($Q232+1&gt;$K$3,"",$Q232+1)))</f>
        <v/>
      </c>
      <c r="R233">
        <f>IF(OR($R232="",$R232="T"),"",IF($R232="B","S",IF($Q232+1&gt;$K$3,"T",IF(INDEX($M$4:$M$2003,MATCH($Q232+1,$P$4:$P$2003,0))&lt;&gt;INDEX($M$4:$M$2003,MATCH($Q232,$P$4:$P$2003,0)),"B","S"))))</f>
        <v/>
      </c>
      <c r="S233">
        <f>IF(Q233="","",IFERROR(MATCH(Q233,$P$4:$P$2003,0),""))</f>
        <v/>
      </c>
    </row>
    <row r="234">
      <c r="A234" s="4">
        <f>IF($R234="","",IF($R234="T","Gesamtergebnis",IF($R234="B",INDEX($M$4:$M$2003,$S234),INDEX($L$4:$L$2003,$S234))))</f>
        <v/>
      </c>
      <c r="B234" s="4">
        <f>IF($R234="","",IF($R234="T",$K$3,IF($R234="B",COUNTIFS($M$4:$M$2003,INDEX($M$4:$M$2003,$S234),$N$4:$N$2003,1),1)))</f>
        <v/>
      </c>
      <c r="L234">
        <f>IF($K$1="","",IFERROR(INDEX(Lines!$A:$AA,ROW()-2,$K$1),""))</f>
        <v/>
      </c>
      <c r="M234">
        <f>IF($K$2="","",IFERROR(INDEX(Lines!$A:$AA,ROW()-2,$K$2),""))</f>
        <v/>
      </c>
      <c r="N234">
        <f>IF(AND(L234&lt;&gt;"",LEFT(L234,1)="N",M234&lt;&gt;"PICKING",M234&lt;&gt;""),1,0)</f>
        <v/>
      </c>
      <c r="O234">
        <f>IF(N234=1,M234&amp;"|"&amp;L234,REPT("z",40))</f>
        <v/>
      </c>
      <c r="P234">
        <f>IF(N234=1,COUNTIF($O$4:$O$2003,"&lt;"&amp;O234)+1,"")</f>
        <v/>
      </c>
      <c r="Q234">
        <f>IF(OR($R233="",$R233="T"),"",IF($R233="B",$Q233,IF($Q233+1&gt;$K$3,"",$Q233+1)))</f>
        <v/>
      </c>
      <c r="R234">
        <f>IF(OR($R233="",$R233="T"),"",IF($R233="B","S",IF($Q233+1&gt;$K$3,"T",IF(INDEX($M$4:$M$2003,MATCH($Q233+1,$P$4:$P$2003,0))&lt;&gt;INDEX($M$4:$M$2003,MATCH($Q233,$P$4:$P$2003,0)),"B","S"))))</f>
        <v/>
      </c>
      <c r="S234">
        <f>IF(Q234="","",IFERROR(MATCH(Q234,$P$4:$P$2003,0),""))</f>
        <v/>
      </c>
    </row>
    <row r="235">
      <c r="A235" s="4">
        <f>IF($R235="","",IF($R235="T","Gesamtergebnis",IF($R235="B",INDEX($M$4:$M$2003,$S235),INDEX($L$4:$L$2003,$S235))))</f>
        <v/>
      </c>
      <c r="B235" s="4">
        <f>IF($R235="","",IF($R235="T",$K$3,IF($R235="B",COUNTIFS($M$4:$M$2003,INDEX($M$4:$M$2003,$S235),$N$4:$N$2003,1),1)))</f>
        <v/>
      </c>
      <c r="L235">
        <f>IF($K$1="","",IFERROR(INDEX(Lines!$A:$AA,ROW()-2,$K$1),""))</f>
        <v/>
      </c>
      <c r="M235">
        <f>IF($K$2="","",IFERROR(INDEX(Lines!$A:$AA,ROW()-2,$K$2),""))</f>
        <v/>
      </c>
      <c r="N235">
        <f>IF(AND(L235&lt;&gt;"",LEFT(L235,1)="N",M235&lt;&gt;"PICKING",M235&lt;&gt;""),1,0)</f>
        <v/>
      </c>
      <c r="O235">
        <f>IF(N235=1,M235&amp;"|"&amp;L235,REPT("z",40))</f>
        <v/>
      </c>
      <c r="P235">
        <f>IF(N235=1,COUNTIF($O$4:$O$2003,"&lt;"&amp;O235)+1,"")</f>
        <v/>
      </c>
      <c r="Q235">
        <f>IF(OR($R234="",$R234="T"),"",IF($R234="B",$Q234,IF($Q234+1&gt;$K$3,"",$Q234+1)))</f>
        <v/>
      </c>
      <c r="R235">
        <f>IF(OR($R234="",$R234="T"),"",IF($R234="B","S",IF($Q234+1&gt;$K$3,"T",IF(INDEX($M$4:$M$2003,MATCH($Q234+1,$P$4:$P$2003,0))&lt;&gt;INDEX($M$4:$M$2003,MATCH($Q234,$P$4:$P$2003,0)),"B","S"))))</f>
        <v/>
      </c>
      <c r="S235">
        <f>IF(Q235="","",IFERROR(MATCH(Q235,$P$4:$P$2003,0),""))</f>
        <v/>
      </c>
    </row>
    <row r="236">
      <c r="A236" s="4">
        <f>IF($R236="","",IF($R236="T","Gesamtergebnis",IF($R236="B",INDEX($M$4:$M$2003,$S236),INDEX($L$4:$L$2003,$S236))))</f>
        <v/>
      </c>
      <c r="B236" s="4">
        <f>IF($R236="","",IF($R236="T",$K$3,IF($R236="B",COUNTIFS($M$4:$M$2003,INDEX($M$4:$M$2003,$S236),$N$4:$N$2003,1),1)))</f>
        <v/>
      </c>
      <c r="L236">
        <f>IF($K$1="","",IFERROR(INDEX(Lines!$A:$AA,ROW()-2,$K$1),""))</f>
        <v/>
      </c>
      <c r="M236">
        <f>IF($K$2="","",IFERROR(INDEX(Lines!$A:$AA,ROW()-2,$K$2),""))</f>
        <v/>
      </c>
      <c r="N236">
        <f>IF(AND(L236&lt;&gt;"",LEFT(L236,1)="N",M236&lt;&gt;"PICKING",M236&lt;&gt;""),1,0)</f>
        <v/>
      </c>
      <c r="O236">
        <f>IF(N236=1,M236&amp;"|"&amp;L236,REPT("z",40))</f>
        <v/>
      </c>
      <c r="P236">
        <f>IF(N236=1,COUNTIF($O$4:$O$2003,"&lt;"&amp;O236)+1,"")</f>
        <v/>
      </c>
      <c r="Q236">
        <f>IF(OR($R235="",$R235="T"),"",IF($R235="B",$Q235,IF($Q235+1&gt;$K$3,"",$Q235+1)))</f>
        <v/>
      </c>
      <c r="R236">
        <f>IF(OR($R235="",$R235="T"),"",IF($R235="B","S",IF($Q235+1&gt;$K$3,"T",IF(INDEX($M$4:$M$2003,MATCH($Q235+1,$P$4:$P$2003,0))&lt;&gt;INDEX($M$4:$M$2003,MATCH($Q235,$P$4:$P$2003,0)),"B","S"))))</f>
        <v/>
      </c>
      <c r="S236">
        <f>IF(Q236="","",IFERROR(MATCH(Q236,$P$4:$P$2003,0),""))</f>
        <v/>
      </c>
    </row>
    <row r="237">
      <c r="A237" s="4">
        <f>IF($R237="","",IF($R237="T","Gesamtergebnis",IF($R237="B",INDEX($M$4:$M$2003,$S237),INDEX($L$4:$L$2003,$S237))))</f>
        <v/>
      </c>
      <c r="B237" s="4">
        <f>IF($R237="","",IF($R237="T",$K$3,IF($R237="B",COUNTIFS($M$4:$M$2003,INDEX($M$4:$M$2003,$S237),$N$4:$N$2003,1),1)))</f>
        <v/>
      </c>
      <c r="L237">
        <f>IF($K$1="","",IFERROR(INDEX(Lines!$A:$AA,ROW()-2,$K$1),""))</f>
        <v/>
      </c>
      <c r="M237">
        <f>IF($K$2="","",IFERROR(INDEX(Lines!$A:$AA,ROW()-2,$K$2),""))</f>
        <v/>
      </c>
      <c r="N237">
        <f>IF(AND(L237&lt;&gt;"",LEFT(L237,1)="N",M237&lt;&gt;"PICKING",M237&lt;&gt;""),1,0)</f>
        <v/>
      </c>
      <c r="O237">
        <f>IF(N237=1,M237&amp;"|"&amp;L237,REPT("z",40))</f>
        <v/>
      </c>
      <c r="P237">
        <f>IF(N237=1,COUNTIF($O$4:$O$2003,"&lt;"&amp;O237)+1,"")</f>
        <v/>
      </c>
      <c r="Q237">
        <f>IF(OR($R236="",$R236="T"),"",IF($R236="B",$Q236,IF($Q236+1&gt;$K$3,"",$Q236+1)))</f>
        <v/>
      </c>
      <c r="R237">
        <f>IF(OR($R236="",$R236="T"),"",IF($R236="B","S",IF($Q236+1&gt;$K$3,"T",IF(INDEX($M$4:$M$2003,MATCH($Q236+1,$P$4:$P$2003,0))&lt;&gt;INDEX($M$4:$M$2003,MATCH($Q236,$P$4:$P$2003,0)),"B","S"))))</f>
        <v/>
      </c>
      <c r="S237">
        <f>IF(Q237="","",IFERROR(MATCH(Q237,$P$4:$P$2003,0),""))</f>
        <v/>
      </c>
    </row>
    <row r="238">
      <c r="A238" s="4">
        <f>IF($R238="","",IF($R238="T","Gesamtergebnis",IF($R238="B",INDEX($M$4:$M$2003,$S238),INDEX($L$4:$L$2003,$S238))))</f>
        <v/>
      </c>
      <c r="B238" s="4">
        <f>IF($R238="","",IF($R238="T",$K$3,IF($R238="B",COUNTIFS($M$4:$M$2003,INDEX($M$4:$M$2003,$S238),$N$4:$N$2003,1),1)))</f>
        <v/>
      </c>
      <c r="L238">
        <f>IF($K$1="","",IFERROR(INDEX(Lines!$A:$AA,ROW()-2,$K$1),""))</f>
        <v/>
      </c>
      <c r="M238">
        <f>IF($K$2="","",IFERROR(INDEX(Lines!$A:$AA,ROW()-2,$K$2),""))</f>
        <v/>
      </c>
      <c r="N238">
        <f>IF(AND(L238&lt;&gt;"",LEFT(L238,1)="N",M238&lt;&gt;"PICKING",M238&lt;&gt;""),1,0)</f>
        <v/>
      </c>
      <c r="O238">
        <f>IF(N238=1,M238&amp;"|"&amp;L238,REPT("z",40))</f>
        <v/>
      </c>
      <c r="P238">
        <f>IF(N238=1,COUNTIF($O$4:$O$2003,"&lt;"&amp;O238)+1,"")</f>
        <v/>
      </c>
      <c r="Q238">
        <f>IF(OR($R237="",$R237="T"),"",IF($R237="B",$Q237,IF($Q237+1&gt;$K$3,"",$Q237+1)))</f>
        <v/>
      </c>
      <c r="R238">
        <f>IF(OR($R237="",$R237="T"),"",IF($R237="B","S",IF($Q237+1&gt;$K$3,"T",IF(INDEX($M$4:$M$2003,MATCH($Q237+1,$P$4:$P$2003,0))&lt;&gt;INDEX($M$4:$M$2003,MATCH($Q237,$P$4:$P$2003,0)),"B","S"))))</f>
        <v/>
      </c>
      <c r="S238">
        <f>IF(Q238="","",IFERROR(MATCH(Q238,$P$4:$P$2003,0),""))</f>
        <v/>
      </c>
    </row>
    <row r="239">
      <c r="A239" s="4">
        <f>IF($R239="","",IF($R239="T","Gesamtergebnis",IF($R239="B",INDEX($M$4:$M$2003,$S239),INDEX($L$4:$L$2003,$S239))))</f>
        <v/>
      </c>
      <c r="B239" s="4">
        <f>IF($R239="","",IF($R239="T",$K$3,IF($R239="B",COUNTIFS($M$4:$M$2003,INDEX($M$4:$M$2003,$S239),$N$4:$N$2003,1),1)))</f>
        <v/>
      </c>
      <c r="L239">
        <f>IF($K$1="","",IFERROR(INDEX(Lines!$A:$AA,ROW()-2,$K$1),""))</f>
        <v/>
      </c>
      <c r="M239">
        <f>IF($K$2="","",IFERROR(INDEX(Lines!$A:$AA,ROW()-2,$K$2),""))</f>
        <v/>
      </c>
      <c r="N239">
        <f>IF(AND(L239&lt;&gt;"",LEFT(L239,1)="N",M239&lt;&gt;"PICKING",M239&lt;&gt;""),1,0)</f>
        <v/>
      </c>
      <c r="O239">
        <f>IF(N239=1,M239&amp;"|"&amp;L239,REPT("z",40))</f>
        <v/>
      </c>
      <c r="P239">
        <f>IF(N239=1,COUNTIF($O$4:$O$2003,"&lt;"&amp;O239)+1,"")</f>
        <v/>
      </c>
      <c r="Q239">
        <f>IF(OR($R238="",$R238="T"),"",IF($R238="B",$Q238,IF($Q238+1&gt;$K$3,"",$Q238+1)))</f>
        <v/>
      </c>
      <c r="R239">
        <f>IF(OR($R238="",$R238="T"),"",IF($R238="B","S",IF($Q238+1&gt;$K$3,"T",IF(INDEX($M$4:$M$2003,MATCH($Q238+1,$P$4:$P$2003,0))&lt;&gt;INDEX($M$4:$M$2003,MATCH($Q238,$P$4:$P$2003,0)),"B","S"))))</f>
        <v/>
      </c>
      <c r="S239">
        <f>IF(Q239="","",IFERROR(MATCH(Q239,$P$4:$P$2003,0),""))</f>
        <v/>
      </c>
    </row>
    <row r="240">
      <c r="A240" s="4">
        <f>IF($R240="","",IF($R240="T","Gesamtergebnis",IF($R240="B",INDEX($M$4:$M$2003,$S240),INDEX($L$4:$L$2003,$S240))))</f>
        <v/>
      </c>
      <c r="B240" s="4">
        <f>IF($R240="","",IF($R240="T",$K$3,IF($R240="B",COUNTIFS($M$4:$M$2003,INDEX($M$4:$M$2003,$S240),$N$4:$N$2003,1),1)))</f>
        <v/>
      </c>
      <c r="L240">
        <f>IF($K$1="","",IFERROR(INDEX(Lines!$A:$AA,ROW()-2,$K$1),""))</f>
        <v/>
      </c>
      <c r="M240">
        <f>IF($K$2="","",IFERROR(INDEX(Lines!$A:$AA,ROW()-2,$K$2),""))</f>
        <v/>
      </c>
      <c r="N240">
        <f>IF(AND(L240&lt;&gt;"",LEFT(L240,1)="N",M240&lt;&gt;"PICKING",M240&lt;&gt;""),1,0)</f>
        <v/>
      </c>
      <c r="O240">
        <f>IF(N240=1,M240&amp;"|"&amp;L240,REPT("z",40))</f>
        <v/>
      </c>
      <c r="P240">
        <f>IF(N240=1,COUNTIF($O$4:$O$2003,"&lt;"&amp;O240)+1,"")</f>
        <v/>
      </c>
      <c r="Q240">
        <f>IF(OR($R239="",$R239="T"),"",IF($R239="B",$Q239,IF($Q239+1&gt;$K$3,"",$Q239+1)))</f>
        <v/>
      </c>
      <c r="R240">
        <f>IF(OR($R239="",$R239="T"),"",IF($R239="B","S",IF($Q239+1&gt;$K$3,"T",IF(INDEX($M$4:$M$2003,MATCH($Q239+1,$P$4:$P$2003,0))&lt;&gt;INDEX($M$4:$M$2003,MATCH($Q239,$P$4:$P$2003,0)),"B","S"))))</f>
        <v/>
      </c>
      <c r="S240">
        <f>IF(Q240="","",IFERROR(MATCH(Q240,$P$4:$P$2003,0),""))</f>
        <v/>
      </c>
    </row>
    <row r="241">
      <c r="A241" s="4">
        <f>IF($R241="","",IF($R241="T","Gesamtergebnis",IF($R241="B",INDEX($M$4:$M$2003,$S241),INDEX($L$4:$L$2003,$S241))))</f>
        <v/>
      </c>
      <c r="B241" s="4">
        <f>IF($R241="","",IF($R241="T",$K$3,IF($R241="B",COUNTIFS($M$4:$M$2003,INDEX($M$4:$M$2003,$S241),$N$4:$N$2003,1),1)))</f>
        <v/>
      </c>
      <c r="L241">
        <f>IF($K$1="","",IFERROR(INDEX(Lines!$A:$AA,ROW()-2,$K$1),""))</f>
        <v/>
      </c>
      <c r="M241">
        <f>IF($K$2="","",IFERROR(INDEX(Lines!$A:$AA,ROW()-2,$K$2),""))</f>
        <v/>
      </c>
      <c r="N241">
        <f>IF(AND(L241&lt;&gt;"",LEFT(L241,1)="N",M241&lt;&gt;"PICKING",M241&lt;&gt;""),1,0)</f>
        <v/>
      </c>
      <c r="O241">
        <f>IF(N241=1,M241&amp;"|"&amp;L241,REPT("z",40))</f>
        <v/>
      </c>
      <c r="P241">
        <f>IF(N241=1,COUNTIF($O$4:$O$2003,"&lt;"&amp;O241)+1,"")</f>
        <v/>
      </c>
      <c r="Q241">
        <f>IF(OR($R240="",$R240="T"),"",IF($R240="B",$Q240,IF($Q240+1&gt;$K$3,"",$Q240+1)))</f>
        <v/>
      </c>
      <c r="R241">
        <f>IF(OR($R240="",$R240="T"),"",IF($R240="B","S",IF($Q240+1&gt;$K$3,"T",IF(INDEX($M$4:$M$2003,MATCH($Q240+1,$P$4:$P$2003,0))&lt;&gt;INDEX($M$4:$M$2003,MATCH($Q240,$P$4:$P$2003,0)),"B","S"))))</f>
        <v/>
      </c>
      <c r="S241">
        <f>IF(Q241="","",IFERROR(MATCH(Q241,$P$4:$P$2003,0),""))</f>
        <v/>
      </c>
    </row>
    <row r="242">
      <c r="A242" s="4">
        <f>IF($R242="","",IF($R242="T","Gesamtergebnis",IF($R242="B",INDEX($M$4:$M$2003,$S242),INDEX($L$4:$L$2003,$S242))))</f>
        <v/>
      </c>
      <c r="B242" s="4">
        <f>IF($R242="","",IF($R242="T",$K$3,IF($R242="B",COUNTIFS($M$4:$M$2003,INDEX($M$4:$M$2003,$S242),$N$4:$N$2003,1),1)))</f>
        <v/>
      </c>
      <c r="L242">
        <f>IF($K$1="","",IFERROR(INDEX(Lines!$A:$AA,ROW()-2,$K$1),""))</f>
        <v/>
      </c>
      <c r="M242">
        <f>IF($K$2="","",IFERROR(INDEX(Lines!$A:$AA,ROW()-2,$K$2),""))</f>
        <v/>
      </c>
      <c r="N242">
        <f>IF(AND(L242&lt;&gt;"",LEFT(L242,1)="N",M242&lt;&gt;"PICKING",M242&lt;&gt;""),1,0)</f>
        <v/>
      </c>
      <c r="O242">
        <f>IF(N242=1,M242&amp;"|"&amp;L242,REPT("z",40))</f>
        <v/>
      </c>
      <c r="P242">
        <f>IF(N242=1,COUNTIF($O$4:$O$2003,"&lt;"&amp;O242)+1,"")</f>
        <v/>
      </c>
      <c r="Q242">
        <f>IF(OR($R241="",$R241="T"),"",IF($R241="B",$Q241,IF($Q241+1&gt;$K$3,"",$Q241+1)))</f>
        <v/>
      </c>
      <c r="R242">
        <f>IF(OR($R241="",$R241="T"),"",IF($R241="B","S",IF($Q241+1&gt;$K$3,"T",IF(INDEX($M$4:$M$2003,MATCH($Q241+1,$P$4:$P$2003,0))&lt;&gt;INDEX($M$4:$M$2003,MATCH($Q241,$P$4:$P$2003,0)),"B","S"))))</f>
        <v/>
      </c>
      <c r="S242">
        <f>IF(Q242="","",IFERROR(MATCH(Q242,$P$4:$P$2003,0),""))</f>
        <v/>
      </c>
    </row>
    <row r="243">
      <c r="A243" s="4">
        <f>IF($R243="","",IF($R243="T","Gesamtergebnis",IF($R243="B",INDEX($M$4:$M$2003,$S243),INDEX($L$4:$L$2003,$S243))))</f>
        <v/>
      </c>
      <c r="B243" s="4">
        <f>IF($R243="","",IF($R243="T",$K$3,IF($R243="B",COUNTIFS($M$4:$M$2003,INDEX($M$4:$M$2003,$S243),$N$4:$N$2003,1),1)))</f>
        <v/>
      </c>
      <c r="L243">
        <f>IF($K$1="","",IFERROR(INDEX(Lines!$A:$AA,ROW()-2,$K$1),""))</f>
        <v/>
      </c>
      <c r="M243">
        <f>IF($K$2="","",IFERROR(INDEX(Lines!$A:$AA,ROW()-2,$K$2),""))</f>
        <v/>
      </c>
      <c r="N243">
        <f>IF(AND(L243&lt;&gt;"",LEFT(L243,1)="N",M243&lt;&gt;"PICKING",M243&lt;&gt;""),1,0)</f>
        <v/>
      </c>
      <c r="O243">
        <f>IF(N243=1,M243&amp;"|"&amp;L243,REPT("z",40))</f>
        <v/>
      </c>
      <c r="P243">
        <f>IF(N243=1,COUNTIF($O$4:$O$2003,"&lt;"&amp;O243)+1,"")</f>
        <v/>
      </c>
      <c r="Q243">
        <f>IF(OR($R242="",$R242="T"),"",IF($R242="B",$Q242,IF($Q242+1&gt;$K$3,"",$Q242+1)))</f>
        <v/>
      </c>
      <c r="R243">
        <f>IF(OR($R242="",$R242="T"),"",IF($R242="B","S",IF($Q242+1&gt;$K$3,"T",IF(INDEX($M$4:$M$2003,MATCH($Q242+1,$P$4:$P$2003,0))&lt;&gt;INDEX($M$4:$M$2003,MATCH($Q242,$P$4:$P$2003,0)),"B","S"))))</f>
        <v/>
      </c>
      <c r="S243">
        <f>IF(Q243="","",IFERROR(MATCH(Q243,$P$4:$P$2003,0),""))</f>
        <v/>
      </c>
    </row>
    <row r="244">
      <c r="A244" s="4">
        <f>IF($R244="","",IF($R244="T","Gesamtergebnis",IF($R244="B",INDEX($M$4:$M$2003,$S244),INDEX($L$4:$L$2003,$S244))))</f>
        <v/>
      </c>
      <c r="B244" s="4">
        <f>IF($R244="","",IF($R244="T",$K$3,IF($R244="B",COUNTIFS($M$4:$M$2003,INDEX($M$4:$M$2003,$S244),$N$4:$N$2003,1),1)))</f>
        <v/>
      </c>
      <c r="L244">
        <f>IF($K$1="","",IFERROR(INDEX(Lines!$A:$AA,ROW()-2,$K$1),""))</f>
        <v/>
      </c>
      <c r="M244">
        <f>IF($K$2="","",IFERROR(INDEX(Lines!$A:$AA,ROW()-2,$K$2),""))</f>
        <v/>
      </c>
      <c r="N244">
        <f>IF(AND(L244&lt;&gt;"",LEFT(L244,1)="N",M244&lt;&gt;"PICKING",M244&lt;&gt;""),1,0)</f>
        <v/>
      </c>
      <c r="O244">
        <f>IF(N244=1,M244&amp;"|"&amp;L244,REPT("z",40))</f>
        <v/>
      </c>
      <c r="P244">
        <f>IF(N244=1,COUNTIF($O$4:$O$2003,"&lt;"&amp;O244)+1,"")</f>
        <v/>
      </c>
      <c r="Q244">
        <f>IF(OR($R243="",$R243="T"),"",IF($R243="B",$Q243,IF($Q243+1&gt;$K$3,"",$Q243+1)))</f>
        <v/>
      </c>
      <c r="R244">
        <f>IF(OR($R243="",$R243="T"),"",IF($R243="B","S",IF($Q243+1&gt;$K$3,"T",IF(INDEX($M$4:$M$2003,MATCH($Q243+1,$P$4:$P$2003,0))&lt;&gt;INDEX($M$4:$M$2003,MATCH($Q243,$P$4:$P$2003,0)),"B","S"))))</f>
        <v/>
      </c>
      <c r="S244">
        <f>IF(Q244="","",IFERROR(MATCH(Q244,$P$4:$P$2003,0),""))</f>
        <v/>
      </c>
    </row>
    <row r="245">
      <c r="A245" s="4">
        <f>IF($R245="","",IF($R245="T","Gesamtergebnis",IF($R245="B",INDEX($M$4:$M$2003,$S245),INDEX($L$4:$L$2003,$S245))))</f>
        <v/>
      </c>
      <c r="B245" s="4">
        <f>IF($R245="","",IF($R245="T",$K$3,IF($R245="B",COUNTIFS($M$4:$M$2003,INDEX($M$4:$M$2003,$S245),$N$4:$N$2003,1),1)))</f>
        <v/>
      </c>
      <c r="L245">
        <f>IF($K$1="","",IFERROR(INDEX(Lines!$A:$AA,ROW()-2,$K$1),""))</f>
        <v/>
      </c>
      <c r="M245">
        <f>IF($K$2="","",IFERROR(INDEX(Lines!$A:$AA,ROW()-2,$K$2),""))</f>
        <v/>
      </c>
      <c r="N245">
        <f>IF(AND(L245&lt;&gt;"",LEFT(L245,1)="N",M245&lt;&gt;"PICKING",M245&lt;&gt;""),1,0)</f>
        <v/>
      </c>
      <c r="O245">
        <f>IF(N245=1,M245&amp;"|"&amp;L245,REPT("z",40))</f>
        <v/>
      </c>
      <c r="P245">
        <f>IF(N245=1,COUNTIF($O$4:$O$2003,"&lt;"&amp;O245)+1,"")</f>
        <v/>
      </c>
      <c r="Q245">
        <f>IF(OR($R244="",$R244="T"),"",IF($R244="B",$Q244,IF($Q244+1&gt;$K$3,"",$Q244+1)))</f>
        <v/>
      </c>
      <c r="R245">
        <f>IF(OR($R244="",$R244="T"),"",IF($R244="B","S",IF($Q244+1&gt;$K$3,"T",IF(INDEX($M$4:$M$2003,MATCH($Q244+1,$P$4:$P$2003,0))&lt;&gt;INDEX($M$4:$M$2003,MATCH($Q244,$P$4:$P$2003,0)),"B","S"))))</f>
        <v/>
      </c>
      <c r="S245">
        <f>IF(Q245="","",IFERROR(MATCH(Q245,$P$4:$P$2003,0),""))</f>
        <v/>
      </c>
    </row>
    <row r="246">
      <c r="A246" s="4">
        <f>IF($R246="","",IF($R246="T","Gesamtergebnis",IF($R246="B",INDEX($M$4:$M$2003,$S246),INDEX($L$4:$L$2003,$S246))))</f>
        <v/>
      </c>
      <c r="B246" s="4">
        <f>IF($R246="","",IF($R246="T",$K$3,IF($R246="B",COUNTIFS($M$4:$M$2003,INDEX($M$4:$M$2003,$S246),$N$4:$N$2003,1),1)))</f>
        <v/>
      </c>
      <c r="L246">
        <f>IF($K$1="","",IFERROR(INDEX(Lines!$A:$AA,ROW()-2,$K$1),""))</f>
        <v/>
      </c>
      <c r="M246">
        <f>IF($K$2="","",IFERROR(INDEX(Lines!$A:$AA,ROW()-2,$K$2),""))</f>
        <v/>
      </c>
      <c r="N246">
        <f>IF(AND(L246&lt;&gt;"",LEFT(L246,1)="N",M246&lt;&gt;"PICKING",M246&lt;&gt;""),1,0)</f>
        <v/>
      </c>
      <c r="O246">
        <f>IF(N246=1,M246&amp;"|"&amp;L246,REPT("z",40))</f>
        <v/>
      </c>
      <c r="P246">
        <f>IF(N246=1,COUNTIF($O$4:$O$2003,"&lt;"&amp;O246)+1,"")</f>
        <v/>
      </c>
      <c r="Q246">
        <f>IF(OR($R245="",$R245="T"),"",IF($R245="B",$Q245,IF($Q245+1&gt;$K$3,"",$Q245+1)))</f>
        <v/>
      </c>
      <c r="R246">
        <f>IF(OR($R245="",$R245="T"),"",IF($R245="B","S",IF($Q245+1&gt;$K$3,"T",IF(INDEX($M$4:$M$2003,MATCH($Q245+1,$P$4:$P$2003,0))&lt;&gt;INDEX($M$4:$M$2003,MATCH($Q245,$P$4:$P$2003,0)),"B","S"))))</f>
        <v/>
      </c>
      <c r="S246">
        <f>IF(Q246="","",IFERROR(MATCH(Q246,$P$4:$P$2003,0),""))</f>
        <v/>
      </c>
    </row>
    <row r="247">
      <c r="A247" s="4">
        <f>IF($R247="","",IF($R247="T","Gesamtergebnis",IF($R247="B",INDEX($M$4:$M$2003,$S247),INDEX($L$4:$L$2003,$S247))))</f>
        <v/>
      </c>
      <c r="B247" s="4">
        <f>IF($R247="","",IF($R247="T",$K$3,IF($R247="B",COUNTIFS($M$4:$M$2003,INDEX($M$4:$M$2003,$S247),$N$4:$N$2003,1),1)))</f>
        <v/>
      </c>
      <c r="L247">
        <f>IF($K$1="","",IFERROR(INDEX(Lines!$A:$AA,ROW()-2,$K$1),""))</f>
        <v/>
      </c>
      <c r="M247">
        <f>IF($K$2="","",IFERROR(INDEX(Lines!$A:$AA,ROW()-2,$K$2),""))</f>
        <v/>
      </c>
      <c r="N247">
        <f>IF(AND(L247&lt;&gt;"",LEFT(L247,1)="N",M247&lt;&gt;"PICKING",M247&lt;&gt;""),1,0)</f>
        <v/>
      </c>
      <c r="O247">
        <f>IF(N247=1,M247&amp;"|"&amp;L247,REPT("z",40))</f>
        <v/>
      </c>
      <c r="P247">
        <f>IF(N247=1,COUNTIF($O$4:$O$2003,"&lt;"&amp;O247)+1,"")</f>
        <v/>
      </c>
      <c r="Q247">
        <f>IF(OR($R246="",$R246="T"),"",IF($R246="B",$Q246,IF($Q246+1&gt;$K$3,"",$Q246+1)))</f>
        <v/>
      </c>
      <c r="R247">
        <f>IF(OR($R246="",$R246="T"),"",IF($R246="B","S",IF($Q246+1&gt;$K$3,"T",IF(INDEX($M$4:$M$2003,MATCH($Q246+1,$P$4:$P$2003,0))&lt;&gt;INDEX($M$4:$M$2003,MATCH($Q246,$P$4:$P$2003,0)),"B","S"))))</f>
        <v/>
      </c>
      <c r="S247">
        <f>IF(Q247="","",IFERROR(MATCH(Q247,$P$4:$P$2003,0),""))</f>
        <v/>
      </c>
    </row>
    <row r="248">
      <c r="A248" s="4">
        <f>IF($R248="","",IF($R248="T","Gesamtergebnis",IF($R248="B",INDEX($M$4:$M$2003,$S248),INDEX($L$4:$L$2003,$S248))))</f>
        <v/>
      </c>
      <c r="B248" s="4">
        <f>IF($R248="","",IF($R248="T",$K$3,IF($R248="B",COUNTIFS($M$4:$M$2003,INDEX($M$4:$M$2003,$S248),$N$4:$N$2003,1),1)))</f>
        <v/>
      </c>
      <c r="L248">
        <f>IF($K$1="","",IFERROR(INDEX(Lines!$A:$AA,ROW()-2,$K$1),""))</f>
        <v/>
      </c>
      <c r="M248">
        <f>IF($K$2="","",IFERROR(INDEX(Lines!$A:$AA,ROW()-2,$K$2),""))</f>
        <v/>
      </c>
      <c r="N248">
        <f>IF(AND(L248&lt;&gt;"",LEFT(L248,1)="N",M248&lt;&gt;"PICKING",M248&lt;&gt;""),1,0)</f>
        <v/>
      </c>
      <c r="O248">
        <f>IF(N248=1,M248&amp;"|"&amp;L248,REPT("z",40))</f>
        <v/>
      </c>
      <c r="P248">
        <f>IF(N248=1,COUNTIF($O$4:$O$2003,"&lt;"&amp;O248)+1,"")</f>
        <v/>
      </c>
      <c r="Q248">
        <f>IF(OR($R247="",$R247="T"),"",IF($R247="B",$Q247,IF($Q247+1&gt;$K$3,"",$Q247+1)))</f>
        <v/>
      </c>
      <c r="R248">
        <f>IF(OR($R247="",$R247="T"),"",IF($R247="B","S",IF($Q247+1&gt;$K$3,"T",IF(INDEX($M$4:$M$2003,MATCH($Q247+1,$P$4:$P$2003,0))&lt;&gt;INDEX($M$4:$M$2003,MATCH($Q247,$P$4:$P$2003,0)),"B","S"))))</f>
        <v/>
      </c>
      <c r="S248">
        <f>IF(Q248="","",IFERROR(MATCH(Q248,$P$4:$P$2003,0),""))</f>
        <v/>
      </c>
    </row>
    <row r="249">
      <c r="A249" s="4">
        <f>IF($R249="","",IF($R249="T","Gesamtergebnis",IF($R249="B",INDEX($M$4:$M$2003,$S249),INDEX($L$4:$L$2003,$S249))))</f>
        <v/>
      </c>
      <c r="B249" s="4">
        <f>IF($R249="","",IF($R249="T",$K$3,IF($R249="B",COUNTIFS($M$4:$M$2003,INDEX($M$4:$M$2003,$S249),$N$4:$N$2003,1),1)))</f>
        <v/>
      </c>
      <c r="L249">
        <f>IF($K$1="","",IFERROR(INDEX(Lines!$A:$AA,ROW()-2,$K$1),""))</f>
        <v/>
      </c>
      <c r="M249">
        <f>IF($K$2="","",IFERROR(INDEX(Lines!$A:$AA,ROW()-2,$K$2),""))</f>
        <v/>
      </c>
      <c r="N249">
        <f>IF(AND(L249&lt;&gt;"",LEFT(L249,1)="N",M249&lt;&gt;"PICKING",M249&lt;&gt;""),1,0)</f>
        <v/>
      </c>
      <c r="O249">
        <f>IF(N249=1,M249&amp;"|"&amp;L249,REPT("z",40))</f>
        <v/>
      </c>
      <c r="P249">
        <f>IF(N249=1,COUNTIF($O$4:$O$2003,"&lt;"&amp;O249)+1,"")</f>
        <v/>
      </c>
      <c r="Q249">
        <f>IF(OR($R248="",$R248="T"),"",IF($R248="B",$Q248,IF($Q248+1&gt;$K$3,"",$Q248+1)))</f>
        <v/>
      </c>
      <c r="R249">
        <f>IF(OR($R248="",$R248="T"),"",IF($R248="B","S",IF($Q248+1&gt;$K$3,"T",IF(INDEX($M$4:$M$2003,MATCH($Q248+1,$P$4:$P$2003,0))&lt;&gt;INDEX($M$4:$M$2003,MATCH($Q248,$P$4:$P$2003,0)),"B","S"))))</f>
        <v/>
      </c>
      <c r="S249">
        <f>IF(Q249="","",IFERROR(MATCH(Q249,$P$4:$P$2003,0),""))</f>
        <v/>
      </c>
    </row>
    <row r="250">
      <c r="A250" s="4">
        <f>IF($R250="","",IF($R250="T","Gesamtergebnis",IF($R250="B",INDEX($M$4:$M$2003,$S250),INDEX($L$4:$L$2003,$S250))))</f>
        <v/>
      </c>
      <c r="B250" s="4">
        <f>IF($R250="","",IF($R250="T",$K$3,IF($R250="B",COUNTIFS($M$4:$M$2003,INDEX($M$4:$M$2003,$S250),$N$4:$N$2003,1),1)))</f>
        <v/>
      </c>
      <c r="L250">
        <f>IF($K$1="","",IFERROR(INDEX(Lines!$A:$AA,ROW()-2,$K$1),""))</f>
        <v/>
      </c>
      <c r="M250">
        <f>IF($K$2="","",IFERROR(INDEX(Lines!$A:$AA,ROW()-2,$K$2),""))</f>
        <v/>
      </c>
      <c r="N250">
        <f>IF(AND(L250&lt;&gt;"",LEFT(L250,1)="N",M250&lt;&gt;"PICKING",M250&lt;&gt;""),1,0)</f>
        <v/>
      </c>
      <c r="O250">
        <f>IF(N250=1,M250&amp;"|"&amp;L250,REPT("z",40))</f>
        <v/>
      </c>
      <c r="P250">
        <f>IF(N250=1,COUNTIF($O$4:$O$2003,"&lt;"&amp;O250)+1,"")</f>
        <v/>
      </c>
      <c r="Q250">
        <f>IF(OR($R249="",$R249="T"),"",IF($R249="B",$Q249,IF($Q249+1&gt;$K$3,"",$Q249+1)))</f>
        <v/>
      </c>
      <c r="R250">
        <f>IF(OR($R249="",$R249="T"),"",IF($R249="B","S",IF($Q249+1&gt;$K$3,"T",IF(INDEX($M$4:$M$2003,MATCH($Q249+1,$P$4:$P$2003,0))&lt;&gt;INDEX($M$4:$M$2003,MATCH($Q249,$P$4:$P$2003,0)),"B","S"))))</f>
        <v/>
      </c>
      <c r="S250">
        <f>IF(Q250="","",IFERROR(MATCH(Q250,$P$4:$P$2003,0),""))</f>
        <v/>
      </c>
    </row>
    <row r="251">
      <c r="A251" s="4">
        <f>IF($R251="","",IF($R251="T","Gesamtergebnis",IF($R251="B",INDEX($M$4:$M$2003,$S251),INDEX($L$4:$L$2003,$S251))))</f>
        <v/>
      </c>
      <c r="B251" s="4">
        <f>IF($R251="","",IF($R251="T",$K$3,IF($R251="B",COUNTIFS($M$4:$M$2003,INDEX($M$4:$M$2003,$S251),$N$4:$N$2003,1),1)))</f>
        <v/>
      </c>
      <c r="L251">
        <f>IF($K$1="","",IFERROR(INDEX(Lines!$A:$AA,ROW()-2,$K$1),""))</f>
        <v/>
      </c>
      <c r="M251">
        <f>IF($K$2="","",IFERROR(INDEX(Lines!$A:$AA,ROW()-2,$K$2),""))</f>
        <v/>
      </c>
      <c r="N251">
        <f>IF(AND(L251&lt;&gt;"",LEFT(L251,1)="N",M251&lt;&gt;"PICKING",M251&lt;&gt;""),1,0)</f>
        <v/>
      </c>
      <c r="O251">
        <f>IF(N251=1,M251&amp;"|"&amp;L251,REPT("z",40))</f>
        <v/>
      </c>
      <c r="P251">
        <f>IF(N251=1,COUNTIF($O$4:$O$2003,"&lt;"&amp;O251)+1,"")</f>
        <v/>
      </c>
      <c r="Q251">
        <f>IF(OR($R250="",$R250="T"),"",IF($R250="B",$Q250,IF($Q250+1&gt;$K$3,"",$Q250+1)))</f>
        <v/>
      </c>
      <c r="R251">
        <f>IF(OR($R250="",$R250="T"),"",IF($R250="B","S",IF($Q250+1&gt;$K$3,"T",IF(INDEX($M$4:$M$2003,MATCH($Q250+1,$P$4:$P$2003,0))&lt;&gt;INDEX($M$4:$M$2003,MATCH($Q250,$P$4:$P$2003,0)),"B","S"))))</f>
        <v/>
      </c>
      <c r="S251">
        <f>IF(Q251="","",IFERROR(MATCH(Q251,$P$4:$P$2003,0),""))</f>
        <v/>
      </c>
    </row>
    <row r="252">
      <c r="A252" s="4">
        <f>IF($R252="","",IF($R252="T","Gesamtergebnis",IF($R252="B",INDEX($M$4:$M$2003,$S252),INDEX($L$4:$L$2003,$S252))))</f>
        <v/>
      </c>
      <c r="B252" s="4">
        <f>IF($R252="","",IF($R252="T",$K$3,IF($R252="B",COUNTIFS($M$4:$M$2003,INDEX($M$4:$M$2003,$S252),$N$4:$N$2003,1),1)))</f>
        <v/>
      </c>
      <c r="L252">
        <f>IF($K$1="","",IFERROR(INDEX(Lines!$A:$AA,ROW()-2,$K$1),""))</f>
        <v/>
      </c>
      <c r="M252">
        <f>IF($K$2="","",IFERROR(INDEX(Lines!$A:$AA,ROW()-2,$K$2),""))</f>
        <v/>
      </c>
      <c r="N252">
        <f>IF(AND(L252&lt;&gt;"",LEFT(L252,1)="N",M252&lt;&gt;"PICKING",M252&lt;&gt;""),1,0)</f>
        <v/>
      </c>
      <c r="O252">
        <f>IF(N252=1,M252&amp;"|"&amp;L252,REPT("z",40))</f>
        <v/>
      </c>
      <c r="P252">
        <f>IF(N252=1,COUNTIF($O$4:$O$2003,"&lt;"&amp;O252)+1,"")</f>
        <v/>
      </c>
      <c r="Q252">
        <f>IF(OR($R251="",$R251="T"),"",IF($R251="B",$Q251,IF($Q251+1&gt;$K$3,"",$Q251+1)))</f>
        <v/>
      </c>
      <c r="R252">
        <f>IF(OR($R251="",$R251="T"),"",IF($R251="B","S",IF($Q251+1&gt;$K$3,"T",IF(INDEX($M$4:$M$2003,MATCH($Q251+1,$P$4:$P$2003,0))&lt;&gt;INDEX($M$4:$M$2003,MATCH($Q251,$P$4:$P$2003,0)),"B","S"))))</f>
        <v/>
      </c>
      <c r="S252">
        <f>IF(Q252="","",IFERROR(MATCH(Q252,$P$4:$P$2003,0),""))</f>
        <v/>
      </c>
    </row>
    <row r="253">
      <c r="A253" s="4">
        <f>IF($R253="","",IF($R253="T","Gesamtergebnis",IF($R253="B",INDEX($M$4:$M$2003,$S253),INDEX($L$4:$L$2003,$S253))))</f>
        <v/>
      </c>
      <c r="B253" s="4">
        <f>IF($R253="","",IF($R253="T",$K$3,IF($R253="B",COUNTIFS($M$4:$M$2003,INDEX($M$4:$M$2003,$S253),$N$4:$N$2003,1),1)))</f>
        <v/>
      </c>
      <c r="L253">
        <f>IF($K$1="","",IFERROR(INDEX(Lines!$A:$AA,ROW()-2,$K$1),""))</f>
        <v/>
      </c>
      <c r="M253">
        <f>IF($K$2="","",IFERROR(INDEX(Lines!$A:$AA,ROW()-2,$K$2),""))</f>
        <v/>
      </c>
      <c r="N253">
        <f>IF(AND(L253&lt;&gt;"",LEFT(L253,1)="N",M253&lt;&gt;"PICKING",M253&lt;&gt;""),1,0)</f>
        <v/>
      </c>
      <c r="O253">
        <f>IF(N253=1,M253&amp;"|"&amp;L253,REPT("z",40))</f>
        <v/>
      </c>
      <c r="P253">
        <f>IF(N253=1,COUNTIF($O$4:$O$2003,"&lt;"&amp;O253)+1,"")</f>
        <v/>
      </c>
      <c r="Q253">
        <f>IF(OR($R252="",$R252="T"),"",IF($R252="B",$Q252,IF($Q252+1&gt;$K$3,"",$Q252+1)))</f>
        <v/>
      </c>
      <c r="R253">
        <f>IF(OR($R252="",$R252="T"),"",IF($R252="B","S",IF($Q252+1&gt;$K$3,"T",IF(INDEX($M$4:$M$2003,MATCH($Q252+1,$P$4:$P$2003,0))&lt;&gt;INDEX($M$4:$M$2003,MATCH($Q252,$P$4:$P$2003,0)),"B","S"))))</f>
        <v/>
      </c>
      <c r="S253">
        <f>IF(Q253="","",IFERROR(MATCH(Q253,$P$4:$P$2003,0),""))</f>
        <v/>
      </c>
    </row>
    <row r="254">
      <c r="A254" s="4">
        <f>IF($R254="","",IF($R254="T","Gesamtergebnis",IF($R254="B",INDEX($M$4:$M$2003,$S254),INDEX($L$4:$L$2003,$S254))))</f>
        <v/>
      </c>
      <c r="B254" s="4">
        <f>IF($R254="","",IF($R254="T",$K$3,IF($R254="B",COUNTIFS($M$4:$M$2003,INDEX($M$4:$M$2003,$S254),$N$4:$N$2003,1),1)))</f>
        <v/>
      </c>
      <c r="L254">
        <f>IF($K$1="","",IFERROR(INDEX(Lines!$A:$AA,ROW()-2,$K$1),""))</f>
        <v/>
      </c>
      <c r="M254">
        <f>IF($K$2="","",IFERROR(INDEX(Lines!$A:$AA,ROW()-2,$K$2),""))</f>
        <v/>
      </c>
      <c r="N254">
        <f>IF(AND(L254&lt;&gt;"",LEFT(L254,1)="N",M254&lt;&gt;"PICKING",M254&lt;&gt;""),1,0)</f>
        <v/>
      </c>
      <c r="O254">
        <f>IF(N254=1,M254&amp;"|"&amp;L254,REPT("z",40))</f>
        <v/>
      </c>
      <c r="P254">
        <f>IF(N254=1,COUNTIF($O$4:$O$2003,"&lt;"&amp;O254)+1,"")</f>
        <v/>
      </c>
      <c r="Q254">
        <f>IF(OR($R253="",$R253="T"),"",IF($R253="B",$Q253,IF($Q253+1&gt;$K$3,"",$Q253+1)))</f>
        <v/>
      </c>
      <c r="R254">
        <f>IF(OR($R253="",$R253="T"),"",IF($R253="B","S",IF($Q253+1&gt;$K$3,"T",IF(INDEX($M$4:$M$2003,MATCH($Q253+1,$P$4:$P$2003,0))&lt;&gt;INDEX($M$4:$M$2003,MATCH($Q253,$P$4:$P$2003,0)),"B","S"))))</f>
        <v/>
      </c>
      <c r="S254">
        <f>IF(Q254="","",IFERROR(MATCH(Q254,$P$4:$P$2003,0),""))</f>
        <v/>
      </c>
    </row>
    <row r="255">
      <c r="A255" s="4">
        <f>IF($R255="","",IF($R255="T","Gesamtergebnis",IF($R255="B",INDEX($M$4:$M$2003,$S255),INDEX($L$4:$L$2003,$S255))))</f>
        <v/>
      </c>
      <c r="B255" s="4">
        <f>IF($R255="","",IF($R255="T",$K$3,IF($R255="B",COUNTIFS($M$4:$M$2003,INDEX($M$4:$M$2003,$S255),$N$4:$N$2003,1),1)))</f>
        <v/>
      </c>
      <c r="L255">
        <f>IF($K$1="","",IFERROR(INDEX(Lines!$A:$AA,ROW()-2,$K$1),""))</f>
        <v/>
      </c>
      <c r="M255">
        <f>IF($K$2="","",IFERROR(INDEX(Lines!$A:$AA,ROW()-2,$K$2),""))</f>
        <v/>
      </c>
      <c r="N255">
        <f>IF(AND(L255&lt;&gt;"",LEFT(L255,1)="N",M255&lt;&gt;"PICKING",M255&lt;&gt;""),1,0)</f>
        <v/>
      </c>
      <c r="O255">
        <f>IF(N255=1,M255&amp;"|"&amp;L255,REPT("z",40))</f>
        <v/>
      </c>
      <c r="P255">
        <f>IF(N255=1,COUNTIF($O$4:$O$2003,"&lt;"&amp;O255)+1,"")</f>
        <v/>
      </c>
      <c r="Q255">
        <f>IF(OR($R254="",$R254="T"),"",IF($R254="B",$Q254,IF($Q254+1&gt;$K$3,"",$Q254+1)))</f>
        <v/>
      </c>
      <c r="R255">
        <f>IF(OR($R254="",$R254="T"),"",IF($R254="B","S",IF($Q254+1&gt;$K$3,"T",IF(INDEX($M$4:$M$2003,MATCH($Q254+1,$P$4:$P$2003,0))&lt;&gt;INDEX($M$4:$M$2003,MATCH($Q254,$P$4:$P$2003,0)),"B","S"))))</f>
        <v/>
      </c>
      <c r="S255">
        <f>IF(Q255="","",IFERROR(MATCH(Q255,$P$4:$P$2003,0),""))</f>
        <v/>
      </c>
    </row>
    <row r="256">
      <c r="A256" s="4">
        <f>IF($R256="","",IF($R256="T","Gesamtergebnis",IF($R256="B",INDEX($M$4:$M$2003,$S256),INDEX($L$4:$L$2003,$S256))))</f>
        <v/>
      </c>
      <c r="B256" s="4">
        <f>IF($R256="","",IF($R256="T",$K$3,IF($R256="B",COUNTIFS($M$4:$M$2003,INDEX($M$4:$M$2003,$S256),$N$4:$N$2003,1),1)))</f>
        <v/>
      </c>
      <c r="L256">
        <f>IF($K$1="","",IFERROR(INDEX(Lines!$A:$AA,ROW()-2,$K$1),""))</f>
        <v/>
      </c>
      <c r="M256">
        <f>IF($K$2="","",IFERROR(INDEX(Lines!$A:$AA,ROW()-2,$K$2),""))</f>
        <v/>
      </c>
      <c r="N256">
        <f>IF(AND(L256&lt;&gt;"",LEFT(L256,1)="N",M256&lt;&gt;"PICKING",M256&lt;&gt;""),1,0)</f>
        <v/>
      </c>
      <c r="O256">
        <f>IF(N256=1,M256&amp;"|"&amp;L256,REPT("z",40))</f>
        <v/>
      </c>
      <c r="P256">
        <f>IF(N256=1,COUNTIF($O$4:$O$2003,"&lt;"&amp;O256)+1,"")</f>
        <v/>
      </c>
      <c r="Q256">
        <f>IF(OR($R255="",$R255="T"),"",IF($R255="B",$Q255,IF($Q255+1&gt;$K$3,"",$Q255+1)))</f>
        <v/>
      </c>
      <c r="R256">
        <f>IF(OR($R255="",$R255="T"),"",IF($R255="B","S",IF($Q255+1&gt;$K$3,"T",IF(INDEX($M$4:$M$2003,MATCH($Q255+1,$P$4:$P$2003,0))&lt;&gt;INDEX($M$4:$M$2003,MATCH($Q255,$P$4:$P$2003,0)),"B","S"))))</f>
        <v/>
      </c>
      <c r="S256">
        <f>IF(Q256="","",IFERROR(MATCH(Q256,$P$4:$P$2003,0),""))</f>
        <v/>
      </c>
    </row>
    <row r="257">
      <c r="A257" s="4">
        <f>IF($R257="","",IF($R257="T","Gesamtergebnis",IF($R257="B",INDEX($M$4:$M$2003,$S257),INDEX($L$4:$L$2003,$S257))))</f>
        <v/>
      </c>
      <c r="B257" s="4">
        <f>IF($R257="","",IF($R257="T",$K$3,IF($R257="B",COUNTIFS($M$4:$M$2003,INDEX($M$4:$M$2003,$S257),$N$4:$N$2003,1),1)))</f>
        <v/>
      </c>
      <c r="L257">
        <f>IF($K$1="","",IFERROR(INDEX(Lines!$A:$AA,ROW()-2,$K$1),""))</f>
        <v/>
      </c>
      <c r="M257">
        <f>IF($K$2="","",IFERROR(INDEX(Lines!$A:$AA,ROW()-2,$K$2),""))</f>
        <v/>
      </c>
      <c r="N257">
        <f>IF(AND(L257&lt;&gt;"",LEFT(L257,1)="N",M257&lt;&gt;"PICKING",M257&lt;&gt;""),1,0)</f>
        <v/>
      </c>
      <c r="O257">
        <f>IF(N257=1,M257&amp;"|"&amp;L257,REPT("z",40))</f>
        <v/>
      </c>
      <c r="P257">
        <f>IF(N257=1,COUNTIF($O$4:$O$2003,"&lt;"&amp;O257)+1,"")</f>
        <v/>
      </c>
      <c r="Q257">
        <f>IF(OR($R256="",$R256="T"),"",IF($R256="B",$Q256,IF($Q256+1&gt;$K$3,"",$Q256+1)))</f>
        <v/>
      </c>
      <c r="R257">
        <f>IF(OR($R256="",$R256="T"),"",IF($R256="B","S",IF($Q256+1&gt;$K$3,"T",IF(INDEX($M$4:$M$2003,MATCH($Q256+1,$P$4:$P$2003,0))&lt;&gt;INDEX($M$4:$M$2003,MATCH($Q256,$P$4:$P$2003,0)),"B","S"))))</f>
        <v/>
      </c>
      <c r="S257">
        <f>IF(Q257="","",IFERROR(MATCH(Q257,$P$4:$P$2003,0),""))</f>
        <v/>
      </c>
    </row>
    <row r="258">
      <c r="A258" s="4">
        <f>IF($R258="","",IF($R258="T","Gesamtergebnis",IF($R258="B",INDEX($M$4:$M$2003,$S258),INDEX($L$4:$L$2003,$S258))))</f>
        <v/>
      </c>
      <c r="B258" s="4">
        <f>IF($R258="","",IF($R258="T",$K$3,IF($R258="B",COUNTIFS($M$4:$M$2003,INDEX($M$4:$M$2003,$S258),$N$4:$N$2003,1),1)))</f>
        <v/>
      </c>
      <c r="L258">
        <f>IF($K$1="","",IFERROR(INDEX(Lines!$A:$AA,ROW()-2,$K$1),""))</f>
        <v/>
      </c>
      <c r="M258">
        <f>IF($K$2="","",IFERROR(INDEX(Lines!$A:$AA,ROW()-2,$K$2),""))</f>
        <v/>
      </c>
      <c r="N258">
        <f>IF(AND(L258&lt;&gt;"",LEFT(L258,1)="N",M258&lt;&gt;"PICKING",M258&lt;&gt;""),1,0)</f>
        <v/>
      </c>
      <c r="O258">
        <f>IF(N258=1,M258&amp;"|"&amp;L258,REPT("z",40))</f>
        <v/>
      </c>
      <c r="P258">
        <f>IF(N258=1,COUNTIF($O$4:$O$2003,"&lt;"&amp;O258)+1,"")</f>
        <v/>
      </c>
      <c r="Q258">
        <f>IF(OR($R257="",$R257="T"),"",IF($R257="B",$Q257,IF($Q257+1&gt;$K$3,"",$Q257+1)))</f>
        <v/>
      </c>
      <c r="R258">
        <f>IF(OR($R257="",$R257="T"),"",IF($R257="B","S",IF($Q257+1&gt;$K$3,"T",IF(INDEX($M$4:$M$2003,MATCH($Q257+1,$P$4:$P$2003,0))&lt;&gt;INDEX($M$4:$M$2003,MATCH($Q257,$P$4:$P$2003,0)),"B","S"))))</f>
        <v/>
      </c>
      <c r="S258">
        <f>IF(Q258="","",IFERROR(MATCH(Q258,$P$4:$P$2003,0),""))</f>
        <v/>
      </c>
    </row>
    <row r="259">
      <c r="A259" s="4">
        <f>IF($R259="","",IF($R259="T","Gesamtergebnis",IF($R259="B",INDEX($M$4:$M$2003,$S259),INDEX($L$4:$L$2003,$S259))))</f>
        <v/>
      </c>
      <c r="B259" s="4">
        <f>IF($R259="","",IF($R259="T",$K$3,IF($R259="B",COUNTIFS($M$4:$M$2003,INDEX($M$4:$M$2003,$S259),$N$4:$N$2003,1),1)))</f>
        <v/>
      </c>
      <c r="L259">
        <f>IF($K$1="","",IFERROR(INDEX(Lines!$A:$AA,ROW()-2,$K$1),""))</f>
        <v/>
      </c>
      <c r="M259">
        <f>IF($K$2="","",IFERROR(INDEX(Lines!$A:$AA,ROW()-2,$K$2),""))</f>
        <v/>
      </c>
      <c r="N259">
        <f>IF(AND(L259&lt;&gt;"",LEFT(L259,1)="N",M259&lt;&gt;"PICKING",M259&lt;&gt;""),1,0)</f>
        <v/>
      </c>
      <c r="O259">
        <f>IF(N259=1,M259&amp;"|"&amp;L259,REPT("z",40))</f>
        <v/>
      </c>
      <c r="P259">
        <f>IF(N259=1,COUNTIF($O$4:$O$2003,"&lt;"&amp;O259)+1,"")</f>
        <v/>
      </c>
      <c r="Q259">
        <f>IF(OR($R258="",$R258="T"),"",IF($R258="B",$Q258,IF($Q258+1&gt;$K$3,"",$Q258+1)))</f>
        <v/>
      </c>
      <c r="R259">
        <f>IF(OR($R258="",$R258="T"),"",IF($R258="B","S",IF($Q258+1&gt;$K$3,"T",IF(INDEX($M$4:$M$2003,MATCH($Q258+1,$P$4:$P$2003,0))&lt;&gt;INDEX($M$4:$M$2003,MATCH($Q258,$P$4:$P$2003,0)),"B","S"))))</f>
        <v/>
      </c>
      <c r="S259">
        <f>IF(Q259="","",IFERROR(MATCH(Q259,$P$4:$P$2003,0),""))</f>
        <v/>
      </c>
    </row>
    <row r="260">
      <c r="A260" s="4">
        <f>IF($R260="","",IF($R260="T","Gesamtergebnis",IF($R260="B",INDEX($M$4:$M$2003,$S260),INDEX($L$4:$L$2003,$S260))))</f>
        <v/>
      </c>
      <c r="B260" s="4">
        <f>IF($R260="","",IF($R260="T",$K$3,IF($R260="B",COUNTIFS($M$4:$M$2003,INDEX($M$4:$M$2003,$S260),$N$4:$N$2003,1),1)))</f>
        <v/>
      </c>
      <c r="L260">
        <f>IF($K$1="","",IFERROR(INDEX(Lines!$A:$AA,ROW()-2,$K$1),""))</f>
        <v/>
      </c>
      <c r="M260">
        <f>IF($K$2="","",IFERROR(INDEX(Lines!$A:$AA,ROW()-2,$K$2),""))</f>
        <v/>
      </c>
      <c r="N260">
        <f>IF(AND(L260&lt;&gt;"",LEFT(L260,1)="N",M260&lt;&gt;"PICKING",M260&lt;&gt;""),1,0)</f>
        <v/>
      </c>
      <c r="O260">
        <f>IF(N260=1,M260&amp;"|"&amp;L260,REPT("z",40))</f>
        <v/>
      </c>
      <c r="P260">
        <f>IF(N260=1,COUNTIF($O$4:$O$2003,"&lt;"&amp;O260)+1,"")</f>
        <v/>
      </c>
      <c r="Q260">
        <f>IF(OR($R259="",$R259="T"),"",IF($R259="B",$Q259,IF($Q259+1&gt;$K$3,"",$Q259+1)))</f>
        <v/>
      </c>
      <c r="R260">
        <f>IF(OR($R259="",$R259="T"),"",IF($R259="B","S",IF($Q259+1&gt;$K$3,"T",IF(INDEX($M$4:$M$2003,MATCH($Q259+1,$P$4:$P$2003,0))&lt;&gt;INDEX($M$4:$M$2003,MATCH($Q259,$P$4:$P$2003,0)),"B","S"))))</f>
        <v/>
      </c>
      <c r="S260">
        <f>IF(Q260="","",IFERROR(MATCH(Q260,$P$4:$P$2003,0),""))</f>
        <v/>
      </c>
    </row>
    <row r="261">
      <c r="A261" s="4">
        <f>IF($R261="","",IF($R261="T","Gesamtergebnis",IF($R261="B",INDEX($M$4:$M$2003,$S261),INDEX($L$4:$L$2003,$S261))))</f>
        <v/>
      </c>
      <c r="B261" s="4">
        <f>IF($R261="","",IF($R261="T",$K$3,IF($R261="B",COUNTIFS($M$4:$M$2003,INDEX($M$4:$M$2003,$S261),$N$4:$N$2003,1),1)))</f>
        <v/>
      </c>
      <c r="L261">
        <f>IF($K$1="","",IFERROR(INDEX(Lines!$A:$AA,ROW()-2,$K$1),""))</f>
        <v/>
      </c>
      <c r="M261">
        <f>IF($K$2="","",IFERROR(INDEX(Lines!$A:$AA,ROW()-2,$K$2),""))</f>
        <v/>
      </c>
      <c r="N261">
        <f>IF(AND(L261&lt;&gt;"",LEFT(L261,1)="N",M261&lt;&gt;"PICKING",M261&lt;&gt;""),1,0)</f>
        <v/>
      </c>
      <c r="O261">
        <f>IF(N261=1,M261&amp;"|"&amp;L261,REPT("z",40))</f>
        <v/>
      </c>
      <c r="P261">
        <f>IF(N261=1,COUNTIF($O$4:$O$2003,"&lt;"&amp;O261)+1,"")</f>
        <v/>
      </c>
      <c r="Q261">
        <f>IF(OR($R260="",$R260="T"),"",IF($R260="B",$Q260,IF($Q260+1&gt;$K$3,"",$Q260+1)))</f>
        <v/>
      </c>
      <c r="R261">
        <f>IF(OR($R260="",$R260="T"),"",IF($R260="B","S",IF($Q260+1&gt;$K$3,"T",IF(INDEX($M$4:$M$2003,MATCH($Q260+1,$P$4:$P$2003,0))&lt;&gt;INDEX($M$4:$M$2003,MATCH($Q260,$P$4:$P$2003,0)),"B","S"))))</f>
        <v/>
      </c>
      <c r="S261">
        <f>IF(Q261="","",IFERROR(MATCH(Q261,$P$4:$P$2003,0),""))</f>
        <v/>
      </c>
    </row>
    <row r="262">
      <c r="A262" s="4">
        <f>IF($R262="","",IF($R262="T","Gesamtergebnis",IF($R262="B",INDEX($M$4:$M$2003,$S262),INDEX($L$4:$L$2003,$S262))))</f>
        <v/>
      </c>
      <c r="B262" s="4">
        <f>IF($R262="","",IF($R262="T",$K$3,IF($R262="B",COUNTIFS($M$4:$M$2003,INDEX($M$4:$M$2003,$S262),$N$4:$N$2003,1),1)))</f>
        <v/>
      </c>
      <c r="L262">
        <f>IF($K$1="","",IFERROR(INDEX(Lines!$A:$AA,ROW()-2,$K$1),""))</f>
        <v/>
      </c>
      <c r="M262">
        <f>IF($K$2="","",IFERROR(INDEX(Lines!$A:$AA,ROW()-2,$K$2),""))</f>
        <v/>
      </c>
      <c r="N262">
        <f>IF(AND(L262&lt;&gt;"",LEFT(L262,1)="N",M262&lt;&gt;"PICKING",M262&lt;&gt;""),1,0)</f>
        <v/>
      </c>
      <c r="O262">
        <f>IF(N262=1,M262&amp;"|"&amp;L262,REPT("z",40))</f>
        <v/>
      </c>
      <c r="P262">
        <f>IF(N262=1,COUNTIF($O$4:$O$2003,"&lt;"&amp;O262)+1,"")</f>
        <v/>
      </c>
      <c r="Q262">
        <f>IF(OR($R261="",$R261="T"),"",IF($R261="B",$Q261,IF($Q261+1&gt;$K$3,"",$Q261+1)))</f>
        <v/>
      </c>
      <c r="R262">
        <f>IF(OR($R261="",$R261="T"),"",IF($R261="B","S",IF($Q261+1&gt;$K$3,"T",IF(INDEX($M$4:$M$2003,MATCH($Q261+1,$P$4:$P$2003,0))&lt;&gt;INDEX($M$4:$M$2003,MATCH($Q261,$P$4:$P$2003,0)),"B","S"))))</f>
        <v/>
      </c>
      <c r="S262">
        <f>IF(Q262="","",IFERROR(MATCH(Q262,$P$4:$P$2003,0),""))</f>
        <v/>
      </c>
    </row>
    <row r="263">
      <c r="A263" s="4">
        <f>IF($R263="","",IF($R263="T","Gesamtergebnis",IF($R263="B",INDEX($M$4:$M$2003,$S263),INDEX($L$4:$L$2003,$S263))))</f>
        <v/>
      </c>
      <c r="B263" s="4">
        <f>IF($R263="","",IF($R263="T",$K$3,IF($R263="B",COUNTIFS($M$4:$M$2003,INDEX($M$4:$M$2003,$S263),$N$4:$N$2003,1),1)))</f>
        <v/>
      </c>
      <c r="L263">
        <f>IF($K$1="","",IFERROR(INDEX(Lines!$A:$AA,ROW()-2,$K$1),""))</f>
        <v/>
      </c>
      <c r="M263">
        <f>IF($K$2="","",IFERROR(INDEX(Lines!$A:$AA,ROW()-2,$K$2),""))</f>
        <v/>
      </c>
      <c r="N263">
        <f>IF(AND(L263&lt;&gt;"",LEFT(L263,1)="N",M263&lt;&gt;"PICKING",M263&lt;&gt;""),1,0)</f>
        <v/>
      </c>
      <c r="O263">
        <f>IF(N263=1,M263&amp;"|"&amp;L263,REPT("z",40))</f>
        <v/>
      </c>
      <c r="P263">
        <f>IF(N263=1,COUNTIF($O$4:$O$2003,"&lt;"&amp;O263)+1,"")</f>
        <v/>
      </c>
      <c r="Q263">
        <f>IF(OR($R262="",$R262="T"),"",IF($R262="B",$Q262,IF($Q262+1&gt;$K$3,"",$Q262+1)))</f>
        <v/>
      </c>
      <c r="R263">
        <f>IF(OR($R262="",$R262="T"),"",IF($R262="B","S",IF($Q262+1&gt;$K$3,"T",IF(INDEX($M$4:$M$2003,MATCH($Q262+1,$P$4:$P$2003,0))&lt;&gt;INDEX($M$4:$M$2003,MATCH($Q262,$P$4:$P$2003,0)),"B","S"))))</f>
        <v/>
      </c>
      <c r="S263">
        <f>IF(Q263="","",IFERROR(MATCH(Q263,$P$4:$P$2003,0),""))</f>
        <v/>
      </c>
    </row>
    <row r="264">
      <c r="A264" s="4">
        <f>IF($R264="","",IF($R264="T","Gesamtergebnis",IF($R264="B",INDEX($M$4:$M$2003,$S264),INDEX($L$4:$L$2003,$S264))))</f>
        <v/>
      </c>
      <c r="B264" s="4">
        <f>IF($R264="","",IF($R264="T",$K$3,IF($R264="B",COUNTIFS($M$4:$M$2003,INDEX($M$4:$M$2003,$S264),$N$4:$N$2003,1),1)))</f>
        <v/>
      </c>
      <c r="L264">
        <f>IF($K$1="","",IFERROR(INDEX(Lines!$A:$AA,ROW()-2,$K$1),""))</f>
        <v/>
      </c>
      <c r="M264">
        <f>IF($K$2="","",IFERROR(INDEX(Lines!$A:$AA,ROW()-2,$K$2),""))</f>
        <v/>
      </c>
      <c r="N264">
        <f>IF(AND(L264&lt;&gt;"",LEFT(L264,1)="N",M264&lt;&gt;"PICKING",M264&lt;&gt;""),1,0)</f>
        <v/>
      </c>
      <c r="O264">
        <f>IF(N264=1,M264&amp;"|"&amp;L264,REPT("z",40))</f>
        <v/>
      </c>
      <c r="P264">
        <f>IF(N264=1,COUNTIF($O$4:$O$2003,"&lt;"&amp;O264)+1,"")</f>
        <v/>
      </c>
      <c r="Q264">
        <f>IF(OR($R263="",$R263="T"),"",IF($R263="B",$Q263,IF($Q263+1&gt;$K$3,"",$Q263+1)))</f>
        <v/>
      </c>
      <c r="R264">
        <f>IF(OR($R263="",$R263="T"),"",IF($R263="B","S",IF($Q263+1&gt;$K$3,"T",IF(INDEX($M$4:$M$2003,MATCH($Q263+1,$P$4:$P$2003,0))&lt;&gt;INDEX($M$4:$M$2003,MATCH($Q263,$P$4:$P$2003,0)),"B","S"))))</f>
        <v/>
      </c>
      <c r="S264">
        <f>IF(Q264="","",IFERROR(MATCH(Q264,$P$4:$P$2003,0),""))</f>
        <v/>
      </c>
    </row>
    <row r="265">
      <c r="A265" s="4">
        <f>IF($R265="","",IF($R265="T","Gesamtergebnis",IF($R265="B",INDEX($M$4:$M$2003,$S265),INDEX($L$4:$L$2003,$S265))))</f>
        <v/>
      </c>
      <c r="B265" s="4">
        <f>IF($R265="","",IF($R265="T",$K$3,IF($R265="B",COUNTIFS($M$4:$M$2003,INDEX($M$4:$M$2003,$S265),$N$4:$N$2003,1),1)))</f>
        <v/>
      </c>
      <c r="L265">
        <f>IF($K$1="","",IFERROR(INDEX(Lines!$A:$AA,ROW()-2,$K$1),""))</f>
        <v/>
      </c>
      <c r="M265">
        <f>IF($K$2="","",IFERROR(INDEX(Lines!$A:$AA,ROW()-2,$K$2),""))</f>
        <v/>
      </c>
      <c r="N265">
        <f>IF(AND(L265&lt;&gt;"",LEFT(L265,1)="N",M265&lt;&gt;"PICKING",M265&lt;&gt;""),1,0)</f>
        <v/>
      </c>
      <c r="O265">
        <f>IF(N265=1,M265&amp;"|"&amp;L265,REPT("z",40))</f>
        <v/>
      </c>
      <c r="P265">
        <f>IF(N265=1,COUNTIF($O$4:$O$2003,"&lt;"&amp;O265)+1,"")</f>
        <v/>
      </c>
      <c r="Q265">
        <f>IF(OR($R264="",$R264="T"),"",IF($R264="B",$Q264,IF($Q264+1&gt;$K$3,"",$Q264+1)))</f>
        <v/>
      </c>
      <c r="R265">
        <f>IF(OR($R264="",$R264="T"),"",IF($R264="B","S",IF($Q264+1&gt;$K$3,"T",IF(INDEX($M$4:$M$2003,MATCH($Q264+1,$P$4:$P$2003,0))&lt;&gt;INDEX($M$4:$M$2003,MATCH($Q264,$P$4:$P$2003,0)),"B","S"))))</f>
        <v/>
      </c>
      <c r="S265">
        <f>IF(Q265="","",IFERROR(MATCH(Q265,$P$4:$P$2003,0),""))</f>
        <v/>
      </c>
    </row>
    <row r="266">
      <c r="A266" s="4">
        <f>IF($R266="","",IF($R266="T","Gesamtergebnis",IF($R266="B",INDEX($M$4:$M$2003,$S266),INDEX($L$4:$L$2003,$S266))))</f>
        <v/>
      </c>
      <c r="B266" s="4">
        <f>IF($R266="","",IF($R266="T",$K$3,IF($R266="B",COUNTIFS($M$4:$M$2003,INDEX($M$4:$M$2003,$S266),$N$4:$N$2003,1),1)))</f>
        <v/>
      </c>
      <c r="L266">
        <f>IF($K$1="","",IFERROR(INDEX(Lines!$A:$AA,ROW()-2,$K$1),""))</f>
        <v/>
      </c>
      <c r="M266">
        <f>IF($K$2="","",IFERROR(INDEX(Lines!$A:$AA,ROW()-2,$K$2),""))</f>
        <v/>
      </c>
      <c r="N266">
        <f>IF(AND(L266&lt;&gt;"",LEFT(L266,1)="N",M266&lt;&gt;"PICKING",M266&lt;&gt;""),1,0)</f>
        <v/>
      </c>
      <c r="O266">
        <f>IF(N266=1,M266&amp;"|"&amp;L266,REPT("z",40))</f>
        <v/>
      </c>
      <c r="P266">
        <f>IF(N266=1,COUNTIF($O$4:$O$2003,"&lt;"&amp;O266)+1,"")</f>
        <v/>
      </c>
      <c r="Q266">
        <f>IF(OR($R265="",$R265="T"),"",IF($R265="B",$Q265,IF($Q265+1&gt;$K$3,"",$Q265+1)))</f>
        <v/>
      </c>
      <c r="R266">
        <f>IF(OR($R265="",$R265="T"),"",IF($R265="B","S",IF($Q265+1&gt;$K$3,"T",IF(INDEX($M$4:$M$2003,MATCH($Q265+1,$P$4:$P$2003,0))&lt;&gt;INDEX($M$4:$M$2003,MATCH($Q265,$P$4:$P$2003,0)),"B","S"))))</f>
        <v/>
      </c>
      <c r="S266">
        <f>IF(Q266="","",IFERROR(MATCH(Q266,$P$4:$P$2003,0),""))</f>
        <v/>
      </c>
    </row>
    <row r="267">
      <c r="A267" s="4">
        <f>IF($R267="","",IF($R267="T","Gesamtergebnis",IF($R267="B",INDEX($M$4:$M$2003,$S267),INDEX($L$4:$L$2003,$S267))))</f>
        <v/>
      </c>
      <c r="B267" s="4">
        <f>IF($R267="","",IF($R267="T",$K$3,IF($R267="B",COUNTIFS($M$4:$M$2003,INDEX($M$4:$M$2003,$S267),$N$4:$N$2003,1),1)))</f>
        <v/>
      </c>
      <c r="L267">
        <f>IF($K$1="","",IFERROR(INDEX(Lines!$A:$AA,ROW()-2,$K$1),""))</f>
        <v/>
      </c>
      <c r="M267">
        <f>IF($K$2="","",IFERROR(INDEX(Lines!$A:$AA,ROW()-2,$K$2),""))</f>
        <v/>
      </c>
      <c r="N267">
        <f>IF(AND(L267&lt;&gt;"",LEFT(L267,1)="N",M267&lt;&gt;"PICKING",M267&lt;&gt;""),1,0)</f>
        <v/>
      </c>
      <c r="O267">
        <f>IF(N267=1,M267&amp;"|"&amp;L267,REPT("z",40))</f>
        <v/>
      </c>
      <c r="P267">
        <f>IF(N267=1,COUNTIF($O$4:$O$2003,"&lt;"&amp;O267)+1,"")</f>
        <v/>
      </c>
      <c r="Q267">
        <f>IF(OR($R266="",$R266="T"),"",IF($R266="B",$Q266,IF($Q266+1&gt;$K$3,"",$Q266+1)))</f>
        <v/>
      </c>
      <c r="R267">
        <f>IF(OR($R266="",$R266="T"),"",IF($R266="B","S",IF($Q266+1&gt;$K$3,"T",IF(INDEX($M$4:$M$2003,MATCH($Q266+1,$P$4:$P$2003,0))&lt;&gt;INDEX($M$4:$M$2003,MATCH($Q266,$P$4:$P$2003,0)),"B","S"))))</f>
        <v/>
      </c>
      <c r="S267">
        <f>IF(Q267="","",IFERROR(MATCH(Q267,$P$4:$P$2003,0),""))</f>
        <v/>
      </c>
    </row>
    <row r="268">
      <c r="A268" s="4">
        <f>IF($R268="","",IF($R268="T","Gesamtergebnis",IF($R268="B",INDEX($M$4:$M$2003,$S268),INDEX($L$4:$L$2003,$S268))))</f>
        <v/>
      </c>
      <c r="B268" s="4">
        <f>IF($R268="","",IF($R268="T",$K$3,IF($R268="B",COUNTIFS($M$4:$M$2003,INDEX($M$4:$M$2003,$S268),$N$4:$N$2003,1),1)))</f>
        <v/>
      </c>
      <c r="L268">
        <f>IF($K$1="","",IFERROR(INDEX(Lines!$A:$AA,ROW()-2,$K$1),""))</f>
        <v/>
      </c>
      <c r="M268">
        <f>IF($K$2="","",IFERROR(INDEX(Lines!$A:$AA,ROW()-2,$K$2),""))</f>
        <v/>
      </c>
      <c r="N268">
        <f>IF(AND(L268&lt;&gt;"",LEFT(L268,1)="N",M268&lt;&gt;"PICKING",M268&lt;&gt;""),1,0)</f>
        <v/>
      </c>
      <c r="O268">
        <f>IF(N268=1,M268&amp;"|"&amp;L268,REPT("z",40))</f>
        <v/>
      </c>
      <c r="P268">
        <f>IF(N268=1,COUNTIF($O$4:$O$2003,"&lt;"&amp;O268)+1,"")</f>
        <v/>
      </c>
      <c r="Q268">
        <f>IF(OR($R267="",$R267="T"),"",IF($R267="B",$Q267,IF($Q267+1&gt;$K$3,"",$Q267+1)))</f>
        <v/>
      </c>
      <c r="R268">
        <f>IF(OR($R267="",$R267="T"),"",IF($R267="B","S",IF($Q267+1&gt;$K$3,"T",IF(INDEX($M$4:$M$2003,MATCH($Q267+1,$P$4:$P$2003,0))&lt;&gt;INDEX($M$4:$M$2003,MATCH($Q267,$P$4:$P$2003,0)),"B","S"))))</f>
        <v/>
      </c>
      <c r="S268">
        <f>IF(Q268="","",IFERROR(MATCH(Q268,$P$4:$P$2003,0),""))</f>
        <v/>
      </c>
    </row>
    <row r="269">
      <c r="A269" s="4">
        <f>IF($R269="","",IF($R269="T","Gesamtergebnis",IF($R269="B",INDEX($M$4:$M$2003,$S269),INDEX($L$4:$L$2003,$S269))))</f>
        <v/>
      </c>
      <c r="B269" s="4">
        <f>IF($R269="","",IF($R269="T",$K$3,IF($R269="B",COUNTIFS($M$4:$M$2003,INDEX($M$4:$M$2003,$S269),$N$4:$N$2003,1),1)))</f>
        <v/>
      </c>
      <c r="L269">
        <f>IF($K$1="","",IFERROR(INDEX(Lines!$A:$AA,ROW()-2,$K$1),""))</f>
        <v/>
      </c>
      <c r="M269">
        <f>IF($K$2="","",IFERROR(INDEX(Lines!$A:$AA,ROW()-2,$K$2),""))</f>
        <v/>
      </c>
      <c r="N269">
        <f>IF(AND(L269&lt;&gt;"",LEFT(L269,1)="N",M269&lt;&gt;"PICKING",M269&lt;&gt;""),1,0)</f>
        <v/>
      </c>
      <c r="O269">
        <f>IF(N269=1,M269&amp;"|"&amp;L269,REPT("z",40))</f>
        <v/>
      </c>
      <c r="P269">
        <f>IF(N269=1,COUNTIF($O$4:$O$2003,"&lt;"&amp;O269)+1,"")</f>
        <v/>
      </c>
      <c r="Q269">
        <f>IF(OR($R268="",$R268="T"),"",IF($R268="B",$Q268,IF($Q268+1&gt;$K$3,"",$Q268+1)))</f>
        <v/>
      </c>
      <c r="R269">
        <f>IF(OR($R268="",$R268="T"),"",IF($R268="B","S",IF($Q268+1&gt;$K$3,"T",IF(INDEX($M$4:$M$2003,MATCH($Q268+1,$P$4:$P$2003,0))&lt;&gt;INDEX($M$4:$M$2003,MATCH($Q268,$P$4:$P$2003,0)),"B","S"))))</f>
        <v/>
      </c>
      <c r="S269">
        <f>IF(Q269="","",IFERROR(MATCH(Q269,$P$4:$P$2003,0),""))</f>
        <v/>
      </c>
    </row>
    <row r="270">
      <c r="A270" s="4">
        <f>IF($R270="","",IF($R270="T","Gesamtergebnis",IF($R270="B",INDEX($M$4:$M$2003,$S270),INDEX($L$4:$L$2003,$S270))))</f>
        <v/>
      </c>
      <c r="B270" s="4">
        <f>IF($R270="","",IF($R270="T",$K$3,IF($R270="B",COUNTIFS($M$4:$M$2003,INDEX($M$4:$M$2003,$S270),$N$4:$N$2003,1),1)))</f>
        <v/>
      </c>
      <c r="L270">
        <f>IF($K$1="","",IFERROR(INDEX(Lines!$A:$AA,ROW()-2,$K$1),""))</f>
        <v/>
      </c>
      <c r="M270">
        <f>IF($K$2="","",IFERROR(INDEX(Lines!$A:$AA,ROW()-2,$K$2),""))</f>
        <v/>
      </c>
      <c r="N270">
        <f>IF(AND(L270&lt;&gt;"",LEFT(L270,1)="N",M270&lt;&gt;"PICKING",M270&lt;&gt;""),1,0)</f>
        <v/>
      </c>
      <c r="O270">
        <f>IF(N270=1,M270&amp;"|"&amp;L270,REPT("z",40))</f>
        <v/>
      </c>
      <c r="P270">
        <f>IF(N270=1,COUNTIF($O$4:$O$2003,"&lt;"&amp;O270)+1,"")</f>
        <v/>
      </c>
      <c r="Q270">
        <f>IF(OR($R269="",$R269="T"),"",IF($R269="B",$Q269,IF($Q269+1&gt;$K$3,"",$Q269+1)))</f>
        <v/>
      </c>
      <c r="R270">
        <f>IF(OR($R269="",$R269="T"),"",IF($R269="B","S",IF($Q269+1&gt;$K$3,"T",IF(INDEX($M$4:$M$2003,MATCH($Q269+1,$P$4:$P$2003,0))&lt;&gt;INDEX($M$4:$M$2003,MATCH($Q269,$P$4:$P$2003,0)),"B","S"))))</f>
        <v/>
      </c>
      <c r="S270">
        <f>IF(Q270="","",IFERROR(MATCH(Q270,$P$4:$P$2003,0),""))</f>
        <v/>
      </c>
    </row>
    <row r="271">
      <c r="A271" s="4">
        <f>IF($R271="","",IF($R271="T","Gesamtergebnis",IF($R271="B",INDEX($M$4:$M$2003,$S271),INDEX($L$4:$L$2003,$S271))))</f>
        <v/>
      </c>
      <c r="B271" s="4">
        <f>IF($R271="","",IF($R271="T",$K$3,IF($R271="B",COUNTIFS($M$4:$M$2003,INDEX($M$4:$M$2003,$S271),$N$4:$N$2003,1),1)))</f>
        <v/>
      </c>
      <c r="L271">
        <f>IF($K$1="","",IFERROR(INDEX(Lines!$A:$AA,ROW()-2,$K$1),""))</f>
        <v/>
      </c>
      <c r="M271">
        <f>IF($K$2="","",IFERROR(INDEX(Lines!$A:$AA,ROW()-2,$K$2),""))</f>
        <v/>
      </c>
      <c r="N271">
        <f>IF(AND(L271&lt;&gt;"",LEFT(L271,1)="N",M271&lt;&gt;"PICKING",M271&lt;&gt;""),1,0)</f>
        <v/>
      </c>
      <c r="O271">
        <f>IF(N271=1,M271&amp;"|"&amp;L271,REPT("z",40))</f>
        <v/>
      </c>
      <c r="P271">
        <f>IF(N271=1,COUNTIF($O$4:$O$2003,"&lt;"&amp;O271)+1,"")</f>
        <v/>
      </c>
      <c r="Q271">
        <f>IF(OR($R270="",$R270="T"),"",IF($R270="B",$Q270,IF($Q270+1&gt;$K$3,"",$Q270+1)))</f>
        <v/>
      </c>
      <c r="R271">
        <f>IF(OR($R270="",$R270="T"),"",IF($R270="B","S",IF($Q270+1&gt;$K$3,"T",IF(INDEX($M$4:$M$2003,MATCH($Q270+1,$P$4:$P$2003,0))&lt;&gt;INDEX($M$4:$M$2003,MATCH($Q270,$P$4:$P$2003,0)),"B","S"))))</f>
        <v/>
      </c>
      <c r="S271">
        <f>IF(Q271="","",IFERROR(MATCH(Q271,$P$4:$P$2003,0),""))</f>
        <v/>
      </c>
    </row>
    <row r="272">
      <c r="A272" s="4">
        <f>IF($R272="","",IF($R272="T","Gesamtergebnis",IF($R272="B",INDEX($M$4:$M$2003,$S272),INDEX($L$4:$L$2003,$S272))))</f>
        <v/>
      </c>
      <c r="B272" s="4">
        <f>IF($R272="","",IF($R272="T",$K$3,IF($R272="B",COUNTIFS($M$4:$M$2003,INDEX($M$4:$M$2003,$S272),$N$4:$N$2003,1),1)))</f>
        <v/>
      </c>
      <c r="L272">
        <f>IF($K$1="","",IFERROR(INDEX(Lines!$A:$AA,ROW()-2,$K$1),""))</f>
        <v/>
      </c>
      <c r="M272">
        <f>IF($K$2="","",IFERROR(INDEX(Lines!$A:$AA,ROW()-2,$K$2),""))</f>
        <v/>
      </c>
      <c r="N272">
        <f>IF(AND(L272&lt;&gt;"",LEFT(L272,1)="N",M272&lt;&gt;"PICKING",M272&lt;&gt;""),1,0)</f>
        <v/>
      </c>
      <c r="O272">
        <f>IF(N272=1,M272&amp;"|"&amp;L272,REPT("z",40))</f>
        <v/>
      </c>
      <c r="P272">
        <f>IF(N272=1,COUNTIF($O$4:$O$2003,"&lt;"&amp;O272)+1,"")</f>
        <v/>
      </c>
      <c r="Q272">
        <f>IF(OR($R271="",$R271="T"),"",IF($R271="B",$Q271,IF($Q271+1&gt;$K$3,"",$Q271+1)))</f>
        <v/>
      </c>
      <c r="R272">
        <f>IF(OR($R271="",$R271="T"),"",IF($R271="B","S",IF($Q271+1&gt;$K$3,"T",IF(INDEX($M$4:$M$2003,MATCH($Q271+1,$P$4:$P$2003,0))&lt;&gt;INDEX($M$4:$M$2003,MATCH($Q271,$P$4:$P$2003,0)),"B","S"))))</f>
        <v/>
      </c>
      <c r="S272">
        <f>IF(Q272="","",IFERROR(MATCH(Q272,$P$4:$P$2003,0),""))</f>
        <v/>
      </c>
    </row>
    <row r="273">
      <c r="A273" s="4">
        <f>IF($R273="","",IF($R273="T","Gesamtergebnis",IF($R273="B",INDEX($M$4:$M$2003,$S273),INDEX($L$4:$L$2003,$S273))))</f>
        <v/>
      </c>
      <c r="B273" s="4">
        <f>IF($R273="","",IF($R273="T",$K$3,IF($R273="B",COUNTIFS($M$4:$M$2003,INDEX($M$4:$M$2003,$S273),$N$4:$N$2003,1),1)))</f>
        <v/>
      </c>
      <c r="L273">
        <f>IF($K$1="","",IFERROR(INDEX(Lines!$A:$AA,ROW()-2,$K$1),""))</f>
        <v/>
      </c>
      <c r="M273">
        <f>IF($K$2="","",IFERROR(INDEX(Lines!$A:$AA,ROW()-2,$K$2),""))</f>
        <v/>
      </c>
      <c r="N273">
        <f>IF(AND(L273&lt;&gt;"",LEFT(L273,1)="N",M273&lt;&gt;"PICKING",M273&lt;&gt;""),1,0)</f>
        <v/>
      </c>
      <c r="O273">
        <f>IF(N273=1,M273&amp;"|"&amp;L273,REPT("z",40))</f>
        <v/>
      </c>
      <c r="P273">
        <f>IF(N273=1,COUNTIF($O$4:$O$2003,"&lt;"&amp;O273)+1,"")</f>
        <v/>
      </c>
      <c r="Q273">
        <f>IF(OR($R272="",$R272="T"),"",IF($R272="B",$Q272,IF($Q272+1&gt;$K$3,"",$Q272+1)))</f>
        <v/>
      </c>
      <c r="R273">
        <f>IF(OR($R272="",$R272="T"),"",IF($R272="B","S",IF($Q272+1&gt;$K$3,"T",IF(INDEX($M$4:$M$2003,MATCH($Q272+1,$P$4:$P$2003,0))&lt;&gt;INDEX($M$4:$M$2003,MATCH($Q272,$P$4:$P$2003,0)),"B","S"))))</f>
        <v/>
      </c>
      <c r="S273">
        <f>IF(Q273="","",IFERROR(MATCH(Q273,$P$4:$P$2003,0),""))</f>
        <v/>
      </c>
    </row>
    <row r="274">
      <c r="A274" s="4">
        <f>IF($R274="","",IF($R274="T","Gesamtergebnis",IF($R274="B",INDEX($M$4:$M$2003,$S274),INDEX($L$4:$L$2003,$S274))))</f>
        <v/>
      </c>
      <c r="B274" s="4">
        <f>IF($R274="","",IF($R274="T",$K$3,IF($R274="B",COUNTIFS($M$4:$M$2003,INDEX($M$4:$M$2003,$S274),$N$4:$N$2003,1),1)))</f>
        <v/>
      </c>
      <c r="L274">
        <f>IF($K$1="","",IFERROR(INDEX(Lines!$A:$AA,ROW()-2,$K$1),""))</f>
        <v/>
      </c>
      <c r="M274">
        <f>IF($K$2="","",IFERROR(INDEX(Lines!$A:$AA,ROW()-2,$K$2),""))</f>
        <v/>
      </c>
      <c r="N274">
        <f>IF(AND(L274&lt;&gt;"",LEFT(L274,1)="N",M274&lt;&gt;"PICKING",M274&lt;&gt;""),1,0)</f>
        <v/>
      </c>
      <c r="O274">
        <f>IF(N274=1,M274&amp;"|"&amp;L274,REPT("z",40))</f>
        <v/>
      </c>
      <c r="P274">
        <f>IF(N274=1,COUNTIF($O$4:$O$2003,"&lt;"&amp;O274)+1,"")</f>
        <v/>
      </c>
      <c r="Q274">
        <f>IF(OR($R273="",$R273="T"),"",IF($R273="B",$Q273,IF($Q273+1&gt;$K$3,"",$Q273+1)))</f>
        <v/>
      </c>
      <c r="R274">
        <f>IF(OR($R273="",$R273="T"),"",IF($R273="B","S",IF($Q273+1&gt;$K$3,"T",IF(INDEX($M$4:$M$2003,MATCH($Q273+1,$P$4:$P$2003,0))&lt;&gt;INDEX($M$4:$M$2003,MATCH($Q273,$P$4:$P$2003,0)),"B","S"))))</f>
        <v/>
      </c>
      <c r="S274">
        <f>IF(Q274="","",IFERROR(MATCH(Q274,$P$4:$P$2003,0),""))</f>
        <v/>
      </c>
    </row>
    <row r="275">
      <c r="A275" s="4">
        <f>IF($R275="","",IF($R275="T","Gesamtergebnis",IF($R275="B",INDEX($M$4:$M$2003,$S275),INDEX($L$4:$L$2003,$S275))))</f>
        <v/>
      </c>
      <c r="B275" s="4">
        <f>IF($R275="","",IF($R275="T",$K$3,IF($R275="B",COUNTIFS($M$4:$M$2003,INDEX($M$4:$M$2003,$S275),$N$4:$N$2003,1),1)))</f>
        <v/>
      </c>
      <c r="L275">
        <f>IF($K$1="","",IFERROR(INDEX(Lines!$A:$AA,ROW()-2,$K$1),""))</f>
        <v/>
      </c>
      <c r="M275">
        <f>IF($K$2="","",IFERROR(INDEX(Lines!$A:$AA,ROW()-2,$K$2),""))</f>
        <v/>
      </c>
      <c r="N275">
        <f>IF(AND(L275&lt;&gt;"",LEFT(L275,1)="N",M275&lt;&gt;"PICKING",M275&lt;&gt;""),1,0)</f>
        <v/>
      </c>
      <c r="O275">
        <f>IF(N275=1,M275&amp;"|"&amp;L275,REPT("z",40))</f>
        <v/>
      </c>
      <c r="P275">
        <f>IF(N275=1,COUNTIF($O$4:$O$2003,"&lt;"&amp;O275)+1,"")</f>
        <v/>
      </c>
      <c r="Q275">
        <f>IF(OR($R274="",$R274="T"),"",IF($R274="B",$Q274,IF($Q274+1&gt;$K$3,"",$Q274+1)))</f>
        <v/>
      </c>
      <c r="R275">
        <f>IF(OR($R274="",$R274="T"),"",IF($R274="B","S",IF($Q274+1&gt;$K$3,"T",IF(INDEX($M$4:$M$2003,MATCH($Q274+1,$P$4:$P$2003,0))&lt;&gt;INDEX($M$4:$M$2003,MATCH($Q274,$P$4:$P$2003,0)),"B","S"))))</f>
        <v/>
      </c>
      <c r="S275">
        <f>IF(Q275="","",IFERROR(MATCH(Q275,$P$4:$P$2003,0),""))</f>
        <v/>
      </c>
    </row>
    <row r="276">
      <c r="A276" s="4">
        <f>IF($R276="","",IF($R276="T","Gesamtergebnis",IF($R276="B",INDEX($M$4:$M$2003,$S276),INDEX($L$4:$L$2003,$S276))))</f>
        <v/>
      </c>
      <c r="B276" s="4">
        <f>IF($R276="","",IF($R276="T",$K$3,IF($R276="B",COUNTIFS($M$4:$M$2003,INDEX($M$4:$M$2003,$S276),$N$4:$N$2003,1),1)))</f>
        <v/>
      </c>
      <c r="L276">
        <f>IF($K$1="","",IFERROR(INDEX(Lines!$A:$AA,ROW()-2,$K$1),""))</f>
        <v/>
      </c>
      <c r="M276">
        <f>IF($K$2="","",IFERROR(INDEX(Lines!$A:$AA,ROW()-2,$K$2),""))</f>
        <v/>
      </c>
      <c r="N276">
        <f>IF(AND(L276&lt;&gt;"",LEFT(L276,1)="N",M276&lt;&gt;"PICKING",M276&lt;&gt;""),1,0)</f>
        <v/>
      </c>
      <c r="O276">
        <f>IF(N276=1,M276&amp;"|"&amp;L276,REPT("z",40))</f>
        <v/>
      </c>
      <c r="P276">
        <f>IF(N276=1,COUNTIF($O$4:$O$2003,"&lt;"&amp;O276)+1,"")</f>
        <v/>
      </c>
      <c r="Q276">
        <f>IF(OR($R275="",$R275="T"),"",IF($R275="B",$Q275,IF($Q275+1&gt;$K$3,"",$Q275+1)))</f>
        <v/>
      </c>
      <c r="R276">
        <f>IF(OR($R275="",$R275="T"),"",IF($R275="B","S",IF($Q275+1&gt;$K$3,"T",IF(INDEX($M$4:$M$2003,MATCH($Q275+1,$P$4:$P$2003,0))&lt;&gt;INDEX($M$4:$M$2003,MATCH($Q275,$P$4:$P$2003,0)),"B","S"))))</f>
        <v/>
      </c>
      <c r="S276">
        <f>IF(Q276="","",IFERROR(MATCH(Q276,$P$4:$P$2003,0),""))</f>
        <v/>
      </c>
    </row>
    <row r="277">
      <c r="A277" s="4">
        <f>IF($R277="","",IF($R277="T","Gesamtergebnis",IF($R277="B",INDEX($M$4:$M$2003,$S277),INDEX($L$4:$L$2003,$S277))))</f>
        <v/>
      </c>
      <c r="B277" s="4">
        <f>IF($R277="","",IF($R277="T",$K$3,IF($R277="B",COUNTIFS($M$4:$M$2003,INDEX($M$4:$M$2003,$S277),$N$4:$N$2003,1),1)))</f>
        <v/>
      </c>
      <c r="L277">
        <f>IF($K$1="","",IFERROR(INDEX(Lines!$A:$AA,ROW()-2,$K$1),""))</f>
        <v/>
      </c>
      <c r="M277">
        <f>IF($K$2="","",IFERROR(INDEX(Lines!$A:$AA,ROW()-2,$K$2),""))</f>
        <v/>
      </c>
      <c r="N277">
        <f>IF(AND(L277&lt;&gt;"",LEFT(L277,1)="N",M277&lt;&gt;"PICKING",M277&lt;&gt;""),1,0)</f>
        <v/>
      </c>
      <c r="O277">
        <f>IF(N277=1,M277&amp;"|"&amp;L277,REPT("z",40))</f>
        <v/>
      </c>
      <c r="P277">
        <f>IF(N277=1,COUNTIF($O$4:$O$2003,"&lt;"&amp;O277)+1,"")</f>
        <v/>
      </c>
      <c r="Q277">
        <f>IF(OR($R276="",$R276="T"),"",IF($R276="B",$Q276,IF($Q276+1&gt;$K$3,"",$Q276+1)))</f>
        <v/>
      </c>
      <c r="R277">
        <f>IF(OR($R276="",$R276="T"),"",IF($R276="B","S",IF($Q276+1&gt;$K$3,"T",IF(INDEX($M$4:$M$2003,MATCH($Q276+1,$P$4:$P$2003,0))&lt;&gt;INDEX($M$4:$M$2003,MATCH($Q276,$P$4:$P$2003,0)),"B","S"))))</f>
        <v/>
      </c>
      <c r="S277">
        <f>IF(Q277="","",IFERROR(MATCH(Q277,$P$4:$P$2003,0),""))</f>
        <v/>
      </c>
    </row>
    <row r="278">
      <c r="A278" s="4">
        <f>IF($R278="","",IF($R278="T","Gesamtergebnis",IF($R278="B",INDEX($M$4:$M$2003,$S278),INDEX($L$4:$L$2003,$S278))))</f>
        <v/>
      </c>
      <c r="B278" s="4">
        <f>IF($R278="","",IF($R278="T",$K$3,IF($R278="B",COUNTIFS($M$4:$M$2003,INDEX($M$4:$M$2003,$S278),$N$4:$N$2003,1),1)))</f>
        <v/>
      </c>
      <c r="L278">
        <f>IF($K$1="","",IFERROR(INDEX(Lines!$A:$AA,ROW()-2,$K$1),""))</f>
        <v/>
      </c>
      <c r="M278">
        <f>IF($K$2="","",IFERROR(INDEX(Lines!$A:$AA,ROW()-2,$K$2),""))</f>
        <v/>
      </c>
      <c r="N278">
        <f>IF(AND(L278&lt;&gt;"",LEFT(L278,1)="N",M278&lt;&gt;"PICKING",M278&lt;&gt;""),1,0)</f>
        <v/>
      </c>
      <c r="O278">
        <f>IF(N278=1,M278&amp;"|"&amp;L278,REPT("z",40))</f>
        <v/>
      </c>
      <c r="P278">
        <f>IF(N278=1,COUNTIF($O$4:$O$2003,"&lt;"&amp;O278)+1,"")</f>
        <v/>
      </c>
      <c r="Q278">
        <f>IF(OR($R277="",$R277="T"),"",IF($R277="B",$Q277,IF($Q277+1&gt;$K$3,"",$Q277+1)))</f>
        <v/>
      </c>
      <c r="R278">
        <f>IF(OR($R277="",$R277="T"),"",IF($R277="B","S",IF($Q277+1&gt;$K$3,"T",IF(INDEX($M$4:$M$2003,MATCH($Q277+1,$P$4:$P$2003,0))&lt;&gt;INDEX($M$4:$M$2003,MATCH($Q277,$P$4:$P$2003,0)),"B","S"))))</f>
        <v/>
      </c>
      <c r="S278">
        <f>IF(Q278="","",IFERROR(MATCH(Q278,$P$4:$P$2003,0),""))</f>
        <v/>
      </c>
    </row>
    <row r="279">
      <c r="A279" s="4">
        <f>IF($R279="","",IF($R279="T","Gesamtergebnis",IF($R279="B",INDEX($M$4:$M$2003,$S279),INDEX($L$4:$L$2003,$S279))))</f>
        <v/>
      </c>
      <c r="B279" s="4">
        <f>IF($R279="","",IF($R279="T",$K$3,IF($R279="B",COUNTIFS($M$4:$M$2003,INDEX($M$4:$M$2003,$S279),$N$4:$N$2003,1),1)))</f>
        <v/>
      </c>
      <c r="L279">
        <f>IF($K$1="","",IFERROR(INDEX(Lines!$A:$AA,ROW()-2,$K$1),""))</f>
        <v/>
      </c>
      <c r="M279">
        <f>IF($K$2="","",IFERROR(INDEX(Lines!$A:$AA,ROW()-2,$K$2),""))</f>
        <v/>
      </c>
      <c r="N279">
        <f>IF(AND(L279&lt;&gt;"",LEFT(L279,1)="N",M279&lt;&gt;"PICKING",M279&lt;&gt;""),1,0)</f>
        <v/>
      </c>
      <c r="O279">
        <f>IF(N279=1,M279&amp;"|"&amp;L279,REPT("z",40))</f>
        <v/>
      </c>
      <c r="P279">
        <f>IF(N279=1,COUNTIF($O$4:$O$2003,"&lt;"&amp;O279)+1,"")</f>
        <v/>
      </c>
      <c r="Q279">
        <f>IF(OR($R278="",$R278="T"),"",IF($R278="B",$Q278,IF($Q278+1&gt;$K$3,"",$Q278+1)))</f>
        <v/>
      </c>
      <c r="R279">
        <f>IF(OR($R278="",$R278="T"),"",IF($R278="B","S",IF($Q278+1&gt;$K$3,"T",IF(INDEX($M$4:$M$2003,MATCH($Q278+1,$P$4:$P$2003,0))&lt;&gt;INDEX($M$4:$M$2003,MATCH($Q278,$P$4:$P$2003,0)),"B","S"))))</f>
        <v/>
      </c>
      <c r="S279">
        <f>IF(Q279="","",IFERROR(MATCH(Q279,$P$4:$P$2003,0),""))</f>
        <v/>
      </c>
    </row>
    <row r="280">
      <c r="A280" s="4">
        <f>IF($R280="","",IF($R280="T","Gesamtergebnis",IF($R280="B",INDEX($M$4:$M$2003,$S280),INDEX($L$4:$L$2003,$S280))))</f>
        <v/>
      </c>
      <c r="B280" s="4">
        <f>IF($R280="","",IF($R280="T",$K$3,IF($R280="B",COUNTIFS($M$4:$M$2003,INDEX($M$4:$M$2003,$S280),$N$4:$N$2003,1),1)))</f>
        <v/>
      </c>
      <c r="L280">
        <f>IF($K$1="","",IFERROR(INDEX(Lines!$A:$AA,ROW()-2,$K$1),""))</f>
        <v/>
      </c>
      <c r="M280">
        <f>IF($K$2="","",IFERROR(INDEX(Lines!$A:$AA,ROW()-2,$K$2),""))</f>
        <v/>
      </c>
      <c r="N280">
        <f>IF(AND(L280&lt;&gt;"",LEFT(L280,1)="N",M280&lt;&gt;"PICKING",M280&lt;&gt;""),1,0)</f>
        <v/>
      </c>
      <c r="O280">
        <f>IF(N280=1,M280&amp;"|"&amp;L280,REPT("z",40))</f>
        <v/>
      </c>
      <c r="P280">
        <f>IF(N280=1,COUNTIF($O$4:$O$2003,"&lt;"&amp;O280)+1,"")</f>
        <v/>
      </c>
      <c r="Q280">
        <f>IF(OR($R279="",$R279="T"),"",IF($R279="B",$Q279,IF($Q279+1&gt;$K$3,"",$Q279+1)))</f>
        <v/>
      </c>
      <c r="R280">
        <f>IF(OR($R279="",$R279="T"),"",IF($R279="B","S",IF($Q279+1&gt;$K$3,"T",IF(INDEX($M$4:$M$2003,MATCH($Q279+1,$P$4:$P$2003,0))&lt;&gt;INDEX($M$4:$M$2003,MATCH($Q279,$P$4:$P$2003,0)),"B","S"))))</f>
        <v/>
      </c>
      <c r="S280">
        <f>IF(Q280="","",IFERROR(MATCH(Q280,$P$4:$P$2003,0),""))</f>
        <v/>
      </c>
    </row>
    <row r="281">
      <c r="A281" s="4">
        <f>IF($R281="","",IF($R281="T","Gesamtergebnis",IF($R281="B",INDEX($M$4:$M$2003,$S281),INDEX($L$4:$L$2003,$S281))))</f>
        <v/>
      </c>
      <c r="B281" s="4">
        <f>IF($R281="","",IF($R281="T",$K$3,IF($R281="B",COUNTIFS($M$4:$M$2003,INDEX($M$4:$M$2003,$S281),$N$4:$N$2003,1),1)))</f>
        <v/>
      </c>
      <c r="L281">
        <f>IF($K$1="","",IFERROR(INDEX(Lines!$A:$AA,ROW()-2,$K$1),""))</f>
        <v/>
      </c>
      <c r="M281">
        <f>IF($K$2="","",IFERROR(INDEX(Lines!$A:$AA,ROW()-2,$K$2),""))</f>
        <v/>
      </c>
      <c r="N281">
        <f>IF(AND(L281&lt;&gt;"",LEFT(L281,1)="N",M281&lt;&gt;"PICKING",M281&lt;&gt;""),1,0)</f>
        <v/>
      </c>
      <c r="O281">
        <f>IF(N281=1,M281&amp;"|"&amp;L281,REPT("z",40))</f>
        <v/>
      </c>
      <c r="P281">
        <f>IF(N281=1,COUNTIF($O$4:$O$2003,"&lt;"&amp;O281)+1,"")</f>
        <v/>
      </c>
      <c r="Q281">
        <f>IF(OR($R280="",$R280="T"),"",IF($R280="B",$Q280,IF($Q280+1&gt;$K$3,"",$Q280+1)))</f>
        <v/>
      </c>
      <c r="R281">
        <f>IF(OR($R280="",$R280="T"),"",IF($R280="B","S",IF($Q280+1&gt;$K$3,"T",IF(INDEX($M$4:$M$2003,MATCH($Q280+1,$P$4:$P$2003,0))&lt;&gt;INDEX($M$4:$M$2003,MATCH($Q280,$P$4:$P$2003,0)),"B","S"))))</f>
        <v/>
      </c>
      <c r="S281">
        <f>IF(Q281="","",IFERROR(MATCH(Q281,$P$4:$P$2003,0),""))</f>
        <v/>
      </c>
    </row>
    <row r="282">
      <c r="A282" s="4">
        <f>IF($R282="","",IF($R282="T","Gesamtergebnis",IF($R282="B",INDEX($M$4:$M$2003,$S282),INDEX($L$4:$L$2003,$S282))))</f>
        <v/>
      </c>
      <c r="B282" s="4">
        <f>IF($R282="","",IF($R282="T",$K$3,IF($R282="B",COUNTIFS($M$4:$M$2003,INDEX($M$4:$M$2003,$S282),$N$4:$N$2003,1),1)))</f>
        <v/>
      </c>
      <c r="L282">
        <f>IF($K$1="","",IFERROR(INDEX(Lines!$A:$AA,ROW()-2,$K$1),""))</f>
        <v/>
      </c>
      <c r="M282">
        <f>IF($K$2="","",IFERROR(INDEX(Lines!$A:$AA,ROW()-2,$K$2),""))</f>
        <v/>
      </c>
      <c r="N282">
        <f>IF(AND(L282&lt;&gt;"",LEFT(L282,1)="N",M282&lt;&gt;"PICKING",M282&lt;&gt;""),1,0)</f>
        <v/>
      </c>
      <c r="O282">
        <f>IF(N282=1,M282&amp;"|"&amp;L282,REPT("z",40))</f>
        <v/>
      </c>
      <c r="P282">
        <f>IF(N282=1,COUNTIF($O$4:$O$2003,"&lt;"&amp;O282)+1,"")</f>
        <v/>
      </c>
      <c r="Q282">
        <f>IF(OR($R281="",$R281="T"),"",IF($R281="B",$Q281,IF($Q281+1&gt;$K$3,"",$Q281+1)))</f>
        <v/>
      </c>
      <c r="R282">
        <f>IF(OR($R281="",$R281="T"),"",IF($R281="B","S",IF($Q281+1&gt;$K$3,"T",IF(INDEX($M$4:$M$2003,MATCH($Q281+1,$P$4:$P$2003,0))&lt;&gt;INDEX($M$4:$M$2003,MATCH($Q281,$P$4:$P$2003,0)),"B","S"))))</f>
        <v/>
      </c>
      <c r="S282">
        <f>IF(Q282="","",IFERROR(MATCH(Q282,$P$4:$P$2003,0),""))</f>
        <v/>
      </c>
    </row>
    <row r="283">
      <c r="A283" s="4">
        <f>IF($R283="","",IF($R283="T","Gesamtergebnis",IF($R283="B",INDEX($M$4:$M$2003,$S283),INDEX($L$4:$L$2003,$S283))))</f>
        <v/>
      </c>
      <c r="B283" s="4">
        <f>IF($R283="","",IF($R283="T",$K$3,IF($R283="B",COUNTIFS($M$4:$M$2003,INDEX($M$4:$M$2003,$S283),$N$4:$N$2003,1),1)))</f>
        <v/>
      </c>
      <c r="L283">
        <f>IF($K$1="","",IFERROR(INDEX(Lines!$A:$AA,ROW()-2,$K$1),""))</f>
        <v/>
      </c>
      <c r="M283">
        <f>IF($K$2="","",IFERROR(INDEX(Lines!$A:$AA,ROW()-2,$K$2),""))</f>
        <v/>
      </c>
      <c r="N283">
        <f>IF(AND(L283&lt;&gt;"",LEFT(L283,1)="N",M283&lt;&gt;"PICKING",M283&lt;&gt;""),1,0)</f>
        <v/>
      </c>
      <c r="O283">
        <f>IF(N283=1,M283&amp;"|"&amp;L283,REPT("z",40))</f>
        <v/>
      </c>
      <c r="P283">
        <f>IF(N283=1,COUNTIF($O$4:$O$2003,"&lt;"&amp;O283)+1,"")</f>
        <v/>
      </c>
      <c r="Q283">
        <f>IF(OR($R282="",$R282="T"),"",IF($R282="B",$Q282,IF($Q282+1&gt;$K$3,"",$Q282+1)))</f>
        <v/>
      </c>
      <c r="R283">
        <f>IF(OR($R282="",$R282="T"),"",IF($R282="B","S",IF($Q282+1&gt;$K$3,"T",IF(INDEX($M$4:$M$2003,MATCH($Q282+1,$P$4:$P$2003,0))&lt;&gt;INDEX($M$4:$M$2003,MATCH($Q282,$P$4:$P$2003,0)),"B","S"))))</f>
        <v/>
      </c>
      <c r="S283">
        <f>IF(Q283="","",IFERROR(MATCH(Q283,$P$4:$P$2003,0),""))</f>
        <v/>
      </c>
    </row>
    <row r="284">
      <c r="A284" s="4">
        <f>IF($R284="","",IF($R284="T","Gesamtergebnis",IF($R284="B",INDEX($M$4:$M$2003,$S284),INDEX($L$4:$L$2003,$S284))))</f>
        <v/>
      </c>
      <c r="B284" s="4">
        <f>IF($R284="","",IF($R284="T",$K$3,IF($R284="B",COUNTIFS($M$4:$M$2003,INDEX($M$4:$M$2003,$S284),$N$4:$N$2003,1),1)))</f>
        <v/>
      </c>
      <c r="L284">
        <f>IF($K$1="","",IFERROR(INDEX(Lines!$A:$AA,ROW()-2,$K$1),""))</f>
        <v/>
      </c>
      <c r="M284">
        <f>IF($K$2="","",IFERROR(INDEX(Lines!$A:$AA,ROW()-2,$K$2),""))</f>
        <v/>
      </c>
      <c r="N284">
        <f>IF(AND(L284&lt;&gt;"",LEFT(L284,1)="N",M284&lt;&gt;"PICKING",M284&lt;&gt;""),1,0)</f>
        <v/>
      </c>
      <c r="O284">
        <f>IF(N284=1,M284&amp;"|"&amp;L284,REPT("z",40))</f>
        <v/>
      </c>
      <c r="P284">
        <f>IF(N284=1,COUNTIF($O$4:$O$2003,"&lt;"&amp;O284)+1,"")</f>
        <v/>
      </c>
      <c r="Q284">
        <f>IF(OR($R283="",$R283="T"),"",IF($R283="B",$Q283,IF($Q283+1&gt;$K$3,"",$Q283+1)))</f>
        <v/>
      </c>
      <c r="R284">
        <f>IF(OR($R283="",$R283="T"),"",IF($R283="B","S",IF($Q283+1&gt;$K$3,"T",IF(INDEX($M$4:$M$2003,MATCH($Q283+1,$P$4:$P$2003,0))&lt;&gt;INDEX($M$4:$M$2003,MATCH($Q283,$P$4:$P$2003,0)),"B","S"))))</f>
        <v/>
      </c>
      <c r="S284">
        <f>IF(Q284="","",IFERROR(MATCH(Q284,$P$4:$P$2003,0),""))</f>
        <v/>
      </c>
    </row>
    <row r="285">
      <c r="A285" s="4">
        <f>IF($R285="","",IF($R285="T","Gesamtergebnis",IF($R285="B",INDEX($M$4:$M$2003,$S285),INDEX($L$4:$L$2003,$S285))))</f>
        <v/>
      </c>
      <c r="B285" s="4">
        <f>IF($R285="","",IF($R285="T",$K$3,IF($R285="B",COUNTIFS($M$4:$M$2003,INDEX($M$4:$M$2003,$S285),$N$4:$N$2003,1),1)))</f>
        <v/>
      </c>
      <c r="L285">
        <f>IF($K$1="","",IFERROR(INDEX(Lines!$A:$AA,ROW()-2,$K$1),""))</f>
        <v/>
      </c>
      <c r="M285">
        <f>IF($K$2="","",IFERROR(INDEX(Lines!$A:$AA,ROW()-2,$K$2),""))</f>
        <v/>
      </c>
      <c r="N285">
        <f>IF(AND(L285&lt;&gt;"",LEFT(L285,1)="N",M285&lt;&gt;"PICKING",M285&lt;&gt;""),1,0)</f>
        <v/>
      </c>
      <c r="O285">
        <f>IF(N285=1,M285&amp;"|"&amp;L285,REPT("z",40))</f>
        <v/>
      </c>
      <c r="P285">
        <f>IF(N285=1,COUNTIF($O$4:$O$2003,"&lt;"&amp;O285)+1,"")</f>
        <v/>
      </c>
      <c r="Q285">
        <f>IF(OR($R284="",$R284="T"),"",IF($R284="B",$Q284,IF($Q284+1&gt;$K$3,"",$Q284+1)))</f>
        <v/>
      </c>
      <c r="R285">
        <f>IF(OR($R284="",$R284="T"),"",IF($R284="B","S",IF($Q284+1&gt;$K$3,"T",IF(INDEX($M$4:$M$2003,MATCH($Q284+1,$P$4:$P$2003,0))&lt;&gt;INDEX($M$4:$M$2003,MATCH($Q284,$P$4:$P$2003,0)),"B","S"))))</f>
        <v/>
      </c>
      <c r="S285">
        <f>IF(Q285="","",IFERROR(MATCH(Q285,$P$4:$P$2003,0),""))</f>
        <v/>
      </c>
    </row>
    <row r="286">
      <c r="A286" s="4">
        <f>IF($R286="","",IF($R286="T","Gesamtergebnis",IF($R286="B",INDEX($M$4:$M$2003,$S286),INDEX($L$4:$L$2003,$S286))))</f>
        <v/>
      </c>
      <c r="B286" s="4">
        <f>IF($R286="","",IF($R286="T",$K$3,IF($R286="B",COUNTIFS($M$4:$M$2003,INDEX($M$4:$M$2003,$S286),$N$4:$N$2003,1),1)))</f>
        <v/>
      </c>
      <c r="L286">
        <f>IF($K$1="","",IFERROR(INDEX(Lines!$A:$AA,ROW()-2,$K$1),""))</f>
        <v/>
      </c>
      <c r="M286">
        <f>IF($K$2="","",IFERROR(INDEX(Lines!$A:$AA,ROW()-2,$K$2),""))</f>
        <v/>
      </c>
      <c r="N286">
        <f>IF(AND(L286&lt;&gt;"",LEFT(L286,1)="N",M286&lt;&gt;"PICKING",M286&lt;&gt;""),1,0)</f>
        <v/>
      </c>
      <c r="O286">
        <f>IF(N286=1,M286&amp;"|"&amp;L286,REPT("z",40))</f>
        <v/>
      </c>
      <c r="P286">
        <f>IF(N286=1,COUNTIF($O$4:$O$2003,"&lt;"&amp;O286)+1,"")</f>
        <v/>
      </c>
      <c r="Q286">
        <f>IF(OR($R285="",$R285="T"),"",IF($R285="B",$Q285,IF($Q285+1&gt;$K$3,"",$Q285+1)))</f>
        <v/>
      </c>
      <c r="R286">
        <f>IF(OR($R285="",$R285="T"),"",IF($R285="B","S",IF($Q285+1&gt;$K$3,"T",IF(INDEX($M$4:$M$2003,MATCH($Q285+1,$P$4:$P$2003,0))&lt;&gt;INDEX($M$4:$M$2003,MATCH($Q285,$P$4:$P$2003,0)),"B","S"))))</f>
        <v/>
      </c>
      <c r="S286">
        <f>IF(Q286="","",IFERROR(MATCH(Q286,$P$4:$P$2003,0),""))</f>
        <v/>
      </c>
    </row>
    <row r="287">
      <c r="A287" s="4">
        <f>IF($R287="","",IF($R287="T","Gesamtergebnis",IF($R287="B",INDEX($M$4:$M$2003,$S287),INDEX($L$4:$L$2003,$S287))))</f>
        <v/>
      </c>
      <c r="B287" s="4">
        <f>IF($R287="","",IF($R287="T",$K$3,IF($R287="B",COUNTIFS($M$4:$M$2003,INDEX($M$4:$M$2003,$S287),$N$4:$N$2003,1),1)))</f>
        <v/>
      </c>
      <c r="L287">
        <f>IF($K$1="","",IFERROR(INDEX(Lines!$A:$AA,ROW()-2,$K$1),""))</f>
        <v/>
      </c>
      <c r="M287">
        <f>IF($K$2="","",IFERROR(INDEX(Lines!$A:$AA,ROW()-2,$K$2),""))</f>
        <v/>
      </c>
      <c r="N287">
        <f>IF(AND(L287&lt;&gt;"",LEFT(L287,1)="N",M287&lt;&gt;"PICKING",M287&lt;&gt;""),1,0)</f>
        <v/>
      </c>
      <c r="O287">
        <f>IF(N287=1,M287&amp;"|"&amp;L287,REPT("z",40))</f>
        <v/>
      </c>
      <c r="P287">
        <f>IF(N287=1,COUNTIF($O$4:$O$2003,"&lt;"&amp;O287)+1,"")</f>
        <v/>
      </c>
      <c r="Q287">
        <f>IF(OR($R286="",$R286="T"),"",IF($R286="B",$Q286,IF($Q286+1&gt;$K$3,"",$Q286+1)))</f>
        <v/>
      </c>
      <c r="R287">
        <f>IF(OR($R286="",$R286="T"),"",IF($R286="B","S",IF($Q286+1&gt;$K$3,"T",IF(INDEX($M$4:$M$2003,MATCH($Q286+1,$P$4:$P$2003,0))&lt;&gt;INDEX($M$4:$M$2003,MATCH($Q286,$P$4:$P$2003,0)),"B","S"))))</f>
        <v/>
      </c>
      <c r="S287">
        <f>IF(Q287="","",IFERROR(MATCH(Q287,$P$4:$P$2003,0),""))</f>
        <v/>
      </c>
    </row>
    <row r="288">
      <c r="A288" s="4">
        <f>IF($R288="","",IF($R288="T","Gesamtergebnis",IF($R288="B",INDEX($M$4:$M$2003,$S288),INDEX($L$4:$L$2003,$S288))))</f>
        <v/>
      </c>
      <c r="B288" s="4">
        <f>IF($R288="","",IF($R288="T",$K$3,IF($R288="B",COUNTIFS($M$4:$M$2003,INDEX($M$4:$M$2003,$S288),$N$4:$N$2003,1),1)))</f>
        <v/>
      </c>
      <c r="L288">
        <f>IF($K$1="","",IFERROR(INDEX(Lines!$A:$AA,ROW()-2,$K$1),""))</f>
        <v/>
      </c>
      <c r="M288">
        <f>IF($K$2="","",IFERROR(INDEX(Lines!$A:$AA,ROW()-2,$K$2),""))</f>
        <v/>
      </c>
      <c r="N288">
        <f>IF(AND(L288&lt;&gt;"",LEFT(L288,1)="N",M288&lt;&gt;"PICKING",M288&lt;&gt;""),1,0)</f>
        <v/>
      </c>
      <c r="O288">
        <f>IF(N288=1,M288&amp;"|"&amp;L288,REPT("z",40))</f>
        <v/>
      </c>
      <c r="P288">
        <f>IF(N288=1,COUNTIF($O$4:$O$2003,"&lt;"&amp;O288)+1,"")</f>
        <v/>
      </c>
      <c r="Q288">
        <f>IF(OR($R287="",$R287="T"),"",IF($R287="B",$Q287,IF($Q287+1&gt;$K$3,"",$Q287+1)))</f>
        <v/>
      </c>
      <c r="R288">
        <f>IF(OR($R287="",$R287="T"),"",IF($R287="B","S",IF($Q287+1&gt;$K$3,"T",IF(INDEX($M$4:$M$2003,MATCH($Q287+1,$P$4:$P$2003,0))&lt;&gt;INDEX($M$4:$M$2003,MATCH($Q287,$P$4:$P$2003,0)),"B","S"))))</f>
        <v/>
      </c>
      <c r="S288">
        <f>IF(Q288="","",IFERROR(MATCH(Q288,$P$4:$P$2003,0),""))</f>
        <v/>
      </c>
    </row>
    <row r="289">
      <c r="A289" s="4">
        <f>IF($R289="","",IF($R289="T","Gesamtergebnis",IF($R289="B",INDEX($M$4:$M$2003,$S289),INDEX($L$4:$L$2003,$S289))))</f>
        <v/>
      </c>
      <c r="B289" s="4">
        <f>IF($R289="","",IF($R289="T",$K$3,IF($R289="B",COUNTIFS($M$4:$M$2003,INDEX($M$4:$M$2003,$S289),$N$4:$N$2003,1),1)))</f>
        <v/>
      </c>
      <c r="L289">
        <f>IF($K$1="","",IFERROR(INDEX(Lines!$A:$AA,ROW()-2,$K$1),""))</f>
        <v/>
      </c>
      <c r="M289">
        <f>IF($K$2="","",IFERROR(INDEX(Lines!$A:$AA,ROW()-2,$K$2),""))</f>
        <v/>
      </c>
      <c r="N289">
        <f>IF(AND(L289&lt;&gt;"",LEFT(L289,1)="N",M289&lt;&gt;"PICKING",M289&lt;&gt;""),1,0)</f>
        <v/>
      </c>
      <c r="O289">
        <f>IF(N289=1,M289&amp;"|"&amp;L289,REPT("z",40))</f>
        <v/>
      </c>
      <c r="P289">
        <f>IF(N289=1,COUNTIF($O$4:$O$2003,"&lt;"&amp;O289)+1,"")</f>
        <v/>
      </c>
      <c r="Q289">
        <f>IF(OR($R288="",$R288="T"),"",IF($R288="B",$Q288,IF($Q288+1&gt;$K$3,"",$Q288+1)))</f>
        <v/>
      </c>
      <c r="R289">
        <f>IF(OR($R288="",$R288="T"),"",IF($R288="B","S",IF($Q288+1&gt;$K$3,"T",IF(INDEX($M$4:$M$2003,MATCH($Q288+1,$P$4:$P$2003,0))&lt;&gt;INDEX($M$4:$M$2003,MATCH($Q288,$P$4:$P$2003,0)),"B","S"))))</f>
        <v/>
      </c>
      <c r="S289">
        <f>IF(Q289="","",IFERROR(MATCH(Q289,$P$4:$P$2003,0),""))</f>
        <v/>
      </c>
    </row>
    <row r="290">
      <c r="A290" s="4">
        <f>IF($R290="","",IF($R290="T","Gesamtergebnis",IF($R290="B",INDEX($M$4:$M$2003,$S290),INDEX($L$4:$L$2003,$S290))))</f>
        <v/>
      </c>
      <c r="B290" s="4">
        <f>IF($R290="","",IF($R290="T",$K$3,IF($R290="B",COUNTIFS($M$4:$M$2003,INDEX($M$4:$M$2003,$S290),$N$4:$N$2003,1),1)))</f>
        <v/>
      </c>
      <c r="L290">
        <f>IF($K$1="","",IFERROR(INDEX(Lines!$A:$AA,ROW()-2,$K$1),""))</f>
        <v/>
      </c>
      <c r="M290">
        <f>IF($K$2="","",IFERROR(INDEX(Lines!$A:$AA,ROW()-2,$K$2),""))</f>
        <v/>
      </c>
      <c r="N290">
        <f>IF(AND(L290&lt;&gt;"",LEFT(L290,1)="N",M290&lt;&gt;"PICKING",M290&lt;&gt;""),1,0)</f>
        <v/>
      </c>
      <c r="O290">
        <f>IF(N290=1,M290&amp;"|"&amp;L290,REPT("z",40))</f>
        <v/>
      </c>
      <c r="P290">
        <f>IF(N290=1,COUNTIF($O$4:$O$2003,"&lt;"&amp;O290)+1,"")</f>
        <v/>
      </c>
      <c r="Q290">
        <f>IF(OR($R289="",$R289="T"),"",IF($R289="B",$Q289,IF($Q289+1&gt;$K$3,"",$Q289+1)))</f>
        <v/>
      </c>
      <c r="R290">
        <f>IF(OR($R289="",$R289="T"),"",IF($R289="B","S",IF($Q289+1&gt;$K$3,"T",IF(INDEX($M$4:$M$2003,MATCH($Q289+1,$P$4:$P$2003,0))&lt;&gt;INDEX($M$4:$M$2003,MATCH($Q289,$P$4:$P$2003,0)),"B","S"))))</f>
        <v/>
      </c>
      <c r="S290">
        <f>IF(Q290="","",IFERROR(MATCH(Q290,$P$4:$P$2003,0),""))</f>
        <v/>
      </c>
    </row>
    <row r="291">
      <c r="A291" s="4">
        <f>IF($R291="","",IF($R291="T","Gesamtergebnis",IF($R291="B",INDEX($M$4:$M$2003,$S291),INDEX($L$4:$L$2003,$S291))))</f>
        <v/>
      </c>
      <c r="B291" s="4">
        <f>IF($R291="","",IF($R291="T",$K$3,IF($R291="B",COUNTIFS($M$4:$M$2003,INDEX($M$4:$M$2003,$S291),$N$4:$N$2003,1),1)))</f>
        <v/>
      </c>
      <c r="L291">
        <f>IF($K$1="","",IFERROR(INDEX(Lines!$A:$AA,ROW()-2,$K$1),""))</f>
        <v/>
      </c>
      <c r="M291">
        <f>IF($K$2="","",IFERROR(INDEX(Lines!$A:$AA,ROW()-2,$K$2),""))</f>
        <v/>
      </c>
      <c r="N291">
        <f>IF(AND(L291&lt;&gt;"",LEFT(L291,1)="N",M291&lt;&gt;"PICKING",M291&lt;&gt;""),1,0)</f>
        <v/>
      </c>
      <c r="O291">
        <f>IF(N291=1,M291&amp;"|"&amp;L291,REPT("z",40))</f>
        <v/>
      </c>
      <c r="P291">
        <f>IF(N291=1,COUNTIF($O$4:$O$2003,"&lt;"&amp;O291)+1,"")</f>
        <v/>
      </c>
      <c r="Q291">
        <f>IF(OR($R290="",$R290="T"),"",IF($R290="B",$Q290,IF($Q290+1&gt;$K$3,"",$Q290+1)))</f>
        <v/>
      </c>
      <c r="R291">
        <f>IF(OR($R290="",$R290="T"),"",IF($R290="B","S",IF($Q290+1&gt;$K$3,"T",IF(INDEX($M$4:$M$2003,MATCH($Q290+1,$P$4:$P$2003,0))&lt;&gt;INDEX($M$4:$M$2003,MATCH($Q290,$P$4:$P$2003,0)),"B","S"))))</f>
        <v/>
      </c>
      <c r="S291">
        <f>IF(Q291="","",IFERROR(MATCH(Q291,$P$4:$P$2003,0),""))</f>
        <v/>
      </c>
    </row>
    <row r="292">
      <c r="A292" s="4">
        <f>IF($R292="","",IF($R292="T","Gesamtergebnis",IF($R292="B",INDEX($M$4:$M$2003,$S292),INDEX($L$4:$L$2003,$S292))))</f>
        <v/>
      </c>
      <c r="B292" s="4">
        <f>IF($R292="","",IF($R292="T",$K$3,IF($R292="B",COUNTIFS($M$4:$M$2003,INDEX($M$4:$M$2003,$S292),$N$4:$N$2003,1),1)))</f>
        <v/>
      </c>
      <c r="L292">
        <f>IF($K$1="","",IFERROR(INDEX(Lines!$A:$AA,ROW()-2,$K$1),""))</f>
        <v/>
      </c>
      <c r="M292">
        <f>IF($K$2="","",IFERROR(INDEX(Lines!$A:$AA,ROW()-2,$K$2),""))</f>
        <v/>
      </c>
      <c r="N292">
        <f>IF(AND(L292&lt;&gt;"",LEFT(L292,1)="N",M292&lt;&gt;"PICKING",M292&lt;&gt;""),1,0)</f>
        <v/>
      </c>
      <c r="O292">
        <f>IF(N292=1,M292&amp;"|"&amp;L292,REPT("z",40))</f>
        <v/>
      </c>
      <c r="P292">
        <f>IF(N292=1,COUNTIF($O$4:$O$2003,"&lt;"&amp;O292)+1,"")</f>
        <v/>
      </c>
      <c r="Q292">
        <f>IF(OR($R291="",$R291="T"),"",IF($R291="B",$Q291,IF($Q291+1&gt;$K$3,"",$Q291+1)))</f>
        <v/>
      </c>
      <c r="R292">
        <f>IF(OR($R291="",$R291="T"),"",IF($R291="B","S",IF($Q291+1&gt;$K$3,"T",IF(INDEX($M$4:$M$2003,MATCH($Q291+1,$P$4:$P$2003,0))&lt;&gt;INDEX($M$4:$M$2003,MATCH($Q291,$P$4:$P$2003,0)),"B","S"))))</f>
        <v/>
      </c>
      <c r="S292">
        <f>IF(Q292="","",IFERROR(MATCH(Q292,$P$4:$P$2003,0),""))</f>
        <v/>
      </c>
    </row>
    <row r="293">
      <c r="A293" s="4">
        <f>IF($R293="","",IF($R293="T","Gesamtergebnis",IF($R293="B",INDEX($M$4:$M$2003,$S293),INDEX($L$4:$L$2003,$S293))))</f>
        <v/>
      </c>
      <c r="B293" s="4">
        <f>IF($R293="","",IF($R293="T",$K$3,IF($R293="B",COUNTIFS($M$4:$M$2003,INDEX($M$4:$M$2003,$S293),$N$4:$N$2003,1),1)))</f>
        <v/>
      </c>
      <c r="L293">
        <f>IF($K$1="","",IFERROR(INDEX(Lines!$A:$AA,ROW()-2,$K$1),""))</f>
        <v/>
      </c>
      <c r="M293">
        <f>IF($K$2="","",IFERROR(INDEX(Lines!$A:$AA,ROW()-2,$K$2),""))</f>
        <v/>
      </c>
      <c r="N293">
        <f>IF(AND(L293&lt;&gt;"",LEFT(L293,1)="N",M293&lt;&gt;"PICKING",M293&lt;&gt;""),1,0)</f>
        <v/>
      </c>
      <c r="O293">
        <f>IF(N293=1,M293&amp;"|"&amp;L293,REPT("z",40))</f>
        <v/>
      </c>
      <c r="P293">
        <f>IF(N293=1,COUNTIF($O$4:$O$2003,"&lt;"&amp;O293)+1,"")</f>
        <v/>
      </c>
      <c r="Q293">
        <f>IF(OR($R292="",$R292="T"),"",IF($R292="B",$Q292,IF($Q292+1&gt;$K$3,"",$Q292+1)))</f>
        <v/>
      </c>
      <c r="R293">
        <f>IF(OR($R292="",$R292="T"),"",IF($R292="B","S",IF($Q292+1&gt;$K$3,"T",IF(INDEX($M$4:$M$2003,MATCH($Q292+1,$P$4:$P$2003,0))&lt;&gt;INDEX($M$4:$M$2003,MATCH($Q292,$P$4:$P$2003,0)),"B","S"))))</f>
        <v/>
      </c>
      <c r="S293">
        <f>IF(Q293="","",IFERROR(MATCH(Q293,$P$4:$P$2003,0),""))</f>
        <v/>
      </c>
    </row>
    <row r="294">
      <c r="A294" s="4">
        <f>IF($R294="","",IF($R294="T","Gesamtergebnis",IF($R294="B",INDEX($M$4:$M$2003,$S294),INDEX($L$4:$L$2003,$S294))))</f>
        <v/>
      </c>
      <c r="B294" s="4">
        <f>IF($R294="","",IF($R294="T",$K$3,IF($R294="B",COUNTIFS($M$4:$M$2003,INDEX($M$4:$M$2003,$S294),$N$4:$N$2003,1),1)))</f>
        <v/>
      </c>
      <c r="L294">
        <f>IF($K$1="","",IFERROR(INDEX(Lines!$A:$AA,ROW()-2,$K$1),""))</f>
        <v/>
      </c>
      <c r="M294">
        <f>IF($K$2="","",IFERROR(INDEX(Lines!$A:$AA,ROW()-2,$K$2),""))</f>
        <v/>
      </c>
      <c r="N294">
        <f>IF(AND(L294&lt;&gt;"",LEFT(L294,1)="N",M294&lt;&gt;"PICKING",M294&lt;&gt;""),1,0)</f>
        <v/>
      </c>
      <c r="O294">
        <f>IF(N294=1,M294&amp;"|"&amp;L294,REPT("z",40))</f>
        <v/>
      </c>
      <c r="P294">
        <f>IF(N294=1,COUNTIF($O$4:$O$2003,"&lt;"&amp;O294)+1,"")</f>
        <v/>
      </c>
      <c r="Q294">
        <f>IF(OR($R293="",$R293="T"),"",IF($R293="B",$Q293,IF($Q293+1&gt;$K$3,"",$Q293+1)))</f>
        <v/>
      </c>
      <c r="R294">
        <f>IF(OR($R293="",$R293="T"),"",IF($R293="B","S",IF($Q293+1&gt;$K$3,"T",IF(INDEX($M$4:$M$2003,MATCH($Q293+1,$P$4:$P$2003,0))&lt;&gt;INDEX($M$4:$M$2003,MATCH($Q293,$P$4:$P$2003,0)),"B","S"))))</f>
        <v/>
      </c>
      <c r="S294">
        <f>IF(Q294="","",IFERROR(MATCH(Q294,$P$4:$P$2003,0),""))</f>
        <v/>
      </c>
    </row>
    <row r="295">
      <c r="A295" s="4">
        <f>IF($R295="","",IF($R295="T","Gesamtergebnis",IF($R295="B",INDEX($M$4:$M$2003,$S295),INDEX($L$4:$L$2003,$S295))))</f>
        <v/>
      </c>
      <c r="B295" s="4">
        <f>IF($R295="","",IF($R295="T",$K$3,IF($R295="B",COUNTIFS($M$4:$M$2003,INDEX($M$4:$M$2003,$S295),$N$4:$N$2003,1),1)))</f>
        <v/>
      </c>
      <c r="L295">
        <f>IF($K$1="","",IFERROR(INDEX(Lines!$A:$AA,ROW()-2,$K$1),""))</f>
        <v/>
      </c>
      <c r="M295">
        <f>IF($K$2="","",IFERROR(INDEX(Lines!$A:$AA,ROW()-2,$K$2),""))</f>
        <v/>
      </c>
      <c r="N295">
        <f>IF(AND(L295&lt;&gt;"",LEFT(L295,1)="N",M295&lt;&gt;"PICKING",M295&lt;&gt;""),1,0)</f>
        <v/>
      </c>
      <c r="O295">
        <f>IF(N295=1,M295&amp;"|"&amp;L295,REPT("z",40))</f>
        <v/>
      </c>
      <c r="P295">
        <f>IF(N295=1,COUNTIF($O$4:$O$2003,"&lt;"&amp;O295)+1,"")</f>
        <v/>
      </c>
      <c r="Q295">
        <f>IF(OR($R294="",$R294="T"),"",IF($R294="B",$Q294,IF($Q294+1&gt;$K$3,"",$Q294+1)))</f>
        <v/>
      </c>
      <c r="R295">
        <f>IF(OR($R294="",$R294="T"),"",IF($R294="B","S",IF($Q294+1&gt;$K$3,"T",IF(INDEX($M$4:$M$2003,MATCH($Q294+1,$P$4:$P$2003,0))&lt;&gt;INDEX($M$4:$M$2003,MATCH($Q294,$P$4:$P$2003,0)),"B","S"))))</f>
        <v/>
      </c>
      <c r="S295">
        <f>IF(Q295="","",IFERROR(MATCH(Q295,$P$4:$P$2003,0),""))</f>
        <v/>
      </c>
    </row>
    <row r="296">
      <c r="A296" s="4">
        <f>IF($R296="","",IF($R296="T","Gesamtergebnis",IF($R296="B",INDEX($M$4:$M$2003,$S296),INDEX($L$4:$L$2003,$S296))))</f>
        <v/>
      </c>
      <c r="B296" s="4">
        <f>IF($R296="","",IF($R296="T",$K$3,IF($R296="B",COUNTIFS($M$4:$M$2003,INDEX($M$4:$M$2003,$S296),$N$4:$N$2003,1),1)))</f>
        <v/>
      </c>
      <c r="L296">
        <f>IF($K$1="","",IFERROR(INDEX(Lines!$A:$AA,ROW()-2,$K$1),""))</f>
        <v/>
      </c>
      <c r="M296">
        <f>IF($K$2="","",IFERROR(INDEX(Lines!$A:$AA,ROW()-2,$K$2),""))</f>
        <v/>
      </c>
      <c r="N296">
        <f>IF(AND(L296&lt;&gt;"",LEFT(L296,1)="N",M296&lt;&gt;"PICKING",M296&lt;&gt;""),1,0)</f>
        <v/>
      </c>
      <c r="O296">
        <f>IF(N296=1,M296&amp;"|"&amp;L296,REPT("z",40))</f>
        <v/>
      </c>
      <c r="P296">
        <f>IF(N296=1,COUNTIF($O$4:$O$2003,"&lt;"&amp;O296)+1,"")</f>
        <v/>
      </c>
      <c r="Q296">
        <f>IF(OR($R295="",$R295="T"),"",IF($R295="B",$Q295,IF($Q295+1&gt;$K$3,"",$Q295+1)))</f>
        <v/>
      </c>
      <c r="R296">
        <f>IF(OR($R295="",$R295="T"),"",IF($R295="B","S",IF($Q295+1&gt;$K$3,"T",IF(INDEX($M$4:$M$2003,MATCH($Q295+1,$P$4:$P$2003,0))&lt;&gt;INDEX($M$4:$M$2003,MATCH($Q295,$P$4:$P$2003,0)),"B","S"))))</f>
        <v/>
      </c>
      <c r="S296">
        <f>IF(Q296="","",IFERROR(MATCH(Q296,$P$4:$P$2003,0),""))</f>
        <v/>
      </c>
    </row>
    <row r="297">
      <c r="A297" s="4">
        <f>IF($R297="","",IF($R297="T","Gesamtergebnis",IF($R297="B",INDEX($M$4:$M$2003,$S297),INDEX($L$4:$L$2003,$S297))))</f>
        <v/>
      </c>
      <c r="B297" s="4">
        <f>IF($R297="","",IF($R297="T",$K$3,IF($R297="B",COUNTIFS($M$4:$M$2003,INDEX($M$4:$M$2003,$S297),$N$4:$N$2003,1),1)))</f>
        <v/>
      </c>
      <c r="L297">
        <f>IF($K$1="","",IFERROR(INDEX(Lines!$A:$AA,ROW()-2,$K$1),""))</f>
        <v/>
      </c>
      <c r="M297">
        <f>IF($K$2="","",IFERROR(INDEX(Lines!$A:$AA,ROW()-2,$K$2),""))</f>
        <v/>
      </c>
      <c r="N297">
        <f>IF(AND(L297&lt;&gt;"",LEFT(L297,1)="N",M297&lt;&gt;"PICKING",M297&lt;&gt;""),1,0)</f>
        <v/>
      </c>
      <c r="O297">
        <f>IF(N297=1,M297&amp;"|"&amp;L297,REPT("z",40))</f>
        <v/>
      </c>
      <c r="P297">
        <f>IF(N297=1,COUNTIF($O$4:$O$2003,"&lt;"&amp;O297)+1,"")</f>
        <v/>
      </c>
      <c r="Q297">
        <f>IF(OR($R296="",$R296="T"),"",IF($R296="B",$Q296,IF($Q296+1&gt;$K$3,"",$Q296+1)))</f>
        <v/>
      </c>
      <c r="R297">
        <f>IF(OR($R296="",$R296="T"),"",IF($R296="B","S",IF($Q296+1&gt;$K$3,"T",IF(INDEX($M$4:$M$2003,MATCH($Q296+1,$P$4:$P$2003,0))&lt;&gt;INDEX($M$4:$M$2003,MATCH($Q296,$P$4:$P$2003,0)),"B","S"))))</f>
        <v/>
      </c>
      <c r="S297">
        <f>IF(Q297="","",IFERROR(MATCH(Q297,$P$4:$P$2003,0),""))</f>
        <v/>
      </c>
    </row>
    <row r="298">
      <c r="A298" s="4">
        <f>IF($R298="","",IF($R298="T","Gesamtergebnis",IF($R298="B",INDEX($M$4:$M$2003,$S298),INDEX($L$4:$L$2003,$S298))))</f>
        <v/>
      </c>
      <c r="B298" s="4">
        <f>IF($R298="","",IF($R298="T",$K$3,IF($R298="B",COUNTIFS($M$4:$M$2003,INDEX($M$4:$M$2003,$S298),$N$4:$N$2003,1),1)))</f>
        <v/>
      </c>
      <c r="L298">
        <f>IF($K$1="","",IFERROR(INDEX(Lines!$A:$AA,ROW()-2,$K$1),""))</f>
        <v/>
      </c>
      <c r="M298">
        <f>IF($K$2="","",IFERROR(INDEX(Lines!$A:$AA,ROW()-2,$K$2),""))</f>
        <v/>
      </c>
      <c r="N298">
        <f>IF(AND(L298&lt;&gt;"",LEFT(L298,1)="N",M298&lt;&gt;"PICKING",M298&lt;&gt;""),1,0)</f>
        <v/>
      </c>
      <c r="O298">
        <f>IF(N298=1,M298&amp;"|"&amp;L298,REPT("z",40))</f>
        <v/>
      </c>
      <c r="P298">
        <f>IF(N298=1,COUNTIF($O$4:$O$2003,"&lt;"&amp;O298)+1,"")</f>
        <v/>
      </c>
      <c r="Q298">
        <f>IF(OR($R297="",$R297="T"),"",IF($R297="B",$Q297,IF($Q297+1&gt;$K$3,"",$Q297+1)))</f>
        <v/>
      </c>
      <c r="R298">
        <f>IF(OR($R297="",$R297="T"),"",IF($R297="B","S",IF($Q297+1&gt;$K$3,"T",IF(INDEX($M$4:$M$2003,MATCH($Q297+1,$P$4:$P$2003,0))&lt;&gt;INDEX($M$4:$M$2003,MATCH($Q297,$P$4:$P$2003,0)),"B","S"))))</f>
        <v/>
      </c>
      <c r="S298">
        <f>IF(Q298="","",IFERROR(MATCH(Q298,$P$4:$P$2003,0),""))</f>
        <v/>
      </c>
    </row>
    <row r="299">
      <c r="A299" s="4">
        <f>IF($R299="","",IF($R299="T","Gesamtergebnis",IF($R299="B",INDEX($M$4:$M$2003,$S299),INDEX($L$4:$L$2003,$S299))))</f>
        <v/>
      </c>
      <c r="B299" s="4">
        <f>IF($R299="","",IF($R299="T",$K$3,IF($R299="B",COUNTIFS($M$4:$M$2003,INDEX($M$4:$M$2003,$S299),$N$4:$N$2003,1),1)))</f>
        <v/>
      </c>
      <c r="L299">
        <f>IF($K$1="","",IFERROR(INDEX(Lines!$A:$AA,ROW()-2,$K$1),""))</f>
        <v/>
      </c>
      <c r="M299">
        <f>IF($K$2="","",IFERROR(INDEX(Lines!$A:$AA,ROW()-2,$K$2),""))</f>
        <v/>
      </c>
      <c r="N299">
        <f>IF(AND(L299&lt;&gt;"",LEFT(L299,1)="N",M299&lt;&gt;"PICKING",M299&lt;&gt;""),1,0)</f>
        <v/>
      </c>
      <c r="O299">
        <f>IF(N299=1,M299&amp;"|"&amp;L299,REPT("z",40))</f>
        <v/>
      </c>
      <c r="P299">
        <f>IF(N299=1,COUNTIF($O$4:$O$2003,"&lt;"&amp;O299)+1,"")</f>
        <v/>
      </c>
      <c r="Q299">
        <f>IF(OR($R298="",$R298="T"),"",IF($R298="B",$Q298,IF($Q298+1&gt;$K$3,"",$Q298+1)))</f>
        <v/>
      </c>
      <c r="R299">
        <f>IF(OR($R298="",$R298="T"),"",IF($R298="B","S",IF($Q298+1&gt;$K$3,"T",IF(INDEX($M$4:$M$2003,MATCH($Q298+1,$P$4:$P$2003,0))&lt;&gt;INDEX($M$4:$M$2003,MATCH($Q298,$P$4:$P$2003,0)),"B","S"))))</f>
        <v/>
      </c>
      <c r="S299">
        <f>IF(Q299="","",IFERROR(MATCH(Q299,$P$4:$P$2003,0),""))</f>
        <v/>
      </c>
    </row>
    <row r="300">
      <c r="A300" s="4">
        <f>IF($R300="","",IF($R300="T","Gesamtergebnis",IF($R300="B",INDEX($M$4:$M$2003,$S300),INDEX($L$4:$L$2003,$S300))))</f>
        <v/>
      </c>
      <c r="B300" s="4">
        <f>IF($R300="","",IF($R300="T",$K$3,IF($R300="B",COUNTIFS($M$4:$M$2003,INDEX($M$4:$M$2003,$S300),$N$4:$N$2003,1),1)))</f>
        <v/>
      </c>
      <c r="L300">
        <f>IF($K$1="","",IFERROR(INDEX(Lines!$A:$AA,ROW()-2,$K$1),""))</f>
        <v/>
      </c>
      <c r="M300">
        <f>IF($K$2="","",IFERROR(INDEX(Lines!$A:$AA,ROW()-2,$K$2),""))</f>
        <v/>
      </c>
      <c r="N300">
        <f>IF(AND(L300&lt;&gt;"",LEFT(L300,1)="N",M300&lt;&gt;"PICKING",M300&lt;&gt;""),1,0)</f>
        <v/>
      </c>
      <c r="O300">
        <f>IF(N300=1,M300&amp;"|"&amp;L300,REPT("z",40))</f>
        <v/>
      </c>
      <c r="P300">
        <f>IF(N300=1,COUNTIF($O$4:$O$2003,"&lt;"&amp;O300)+1,"")</f>
        <v/>
      </c>
      <c r="Q300">
        <f>IF(OR($R299="",$R299="T"),"",IF($R299="B",$Q299,IF($Q299+1&gt;$K$3,"",$Q299+1)))</f>
        <v/>
      </c>
      <c r="R300">
        <f>IF(OR($R299="",$R299="T"),"",IF($R299="B","S",IF($Q299+1&gt;$K$3,"T",IF(INDEX($M$4:$M$2003,MATCH($Q299+1,$P$4:$P$2003,0))&lt;&gt;INDEX($M$4:$M$2003,MATCH($Q299,$P$4:$P$2003,0)),"B","S"))))</f>
        <v/>
      </c>
      <c r="S300">
        <f>IF(Q300="","",IFERROR(MATCH(Q300,$P$4:$P$2003,0),""))</f>
        <v/>
      </c>
    </row>
    <row r="301">
      <c r="A301" s="4">
        <f>IF($R301="","",IF($R301="T","Gesamtergebnis",IF($R301="B",INDEX($M$4:$M$2003,$S301),INDEX($L$4:$L$2003,$S301))))</f>
        <v/>
      </c>
      <c r="B301" s="4">
        <f>IF($R301="","",IF($R301="T",$K$3,IF($R301="B",COUNTIFS($M$4:$M$2003,INDEX($M$4:$M$2003,$S301),$N$4:$N$2003,1),1)))</f>
        <v/>
      </c>
      <c r="L301">
        <f>IF($K$1="","",IFERROR(INDEX(Lines!$A:$AA,ROW()-2,$K$1),""))</f>
        <v/>
      </c>
      <c r="M301">
        <f>IF($K$2="","",IFERROR(INDEX(Lines!$A:$AA,ROW()-2,$K$2),""))</f>
        <v/>
      </c>
      <c r="N301">
        <f>IF(AND(L301&lt;&gt;"",LEFT(L301,1)="N",M301&lt;&gt;"PICKING",M301&lt;&gt;""),1,0)</f>
        <v/>
      </c>
      <c r="O301">
        <f>IF(N301=1,M301&amp;"|"&amp;L301,REPT("z",40))</f>
        <v/>
      </c>
      <c r="P301">
        <f>IF(N301=1,COUNTIF($O$4:$O$2003,"&lt;"&amp;O301)+1,"")</f>
        <v/>
      </c>
      <c r="Q301">
        <f>IF(OR($R300="",$R300="T"),"",IF($R300="B",$Q300,IF($Q300+1&gt;$K$3,"",$Q300+1)))</f>
        <v/>
      </c>
      <c r="R301">
        <f>IF(OR($R300="",$R300="T"),"",IF($R300="B","S",IF($Q300+1&gt;$K$3,"T",IF(INDEX($M$4:$M$2003,MATCH($Q300+1,$P$4:$P$2003,0))&lt;&gt;INDEX($M$4:$M$2003,MATCH($Q300,$P$4:$P$2003,0)),"B","S"))))</f>
        <v/>
      </c>
      <c r="S301">
        <f>IF(Q301="","",IFERROR(MATCH(Q301,$P$4:$P$2003,0),""))</f>
        <v/>
      </c>
    </row>
    <row r="302">
      <c r="A302" s="4">
        <f>IF($R302="","",IF($R302="T","Gesamtergebnis",IF($R302="B",INDEX($M$4:$M$2003,$S302),INDEX($L$4:$L$2003,$S302))))</f>
        <v/>
      </c>
      <c r="B302" s="4">
        <f>IF($R302="","",IF($R302="T",$K$3,IF($R302="B",COUNTIFS($M$4:$M$2003,INDEX($M$4:$M$2003,$S302),$N$4:$N$2003,1),1)))</f>
        <v/>
      </c>
      <c r="L302">
        <f>IF($K$1="","",IFERROR(INDEX(Lines!$A:$AA,ROW()-2,$K$1),""))</f>
        <v/>
      </c>
      <c r="M302">
        <f>IF($K$2="","",IFERROR(INDEX(Lines!$A:$AA,ROW()-2,$K$2),""))</f>
        <v/>
      </c>
      <c r="N302">
        <f>IF(AND(L302&lt;&gt;"",LEFT(L302,1)="N",M302&lt;&gt;"PICKING",M302&lt;&gt;""),1,0)</f>
        <v/>
      </c>
      <c r="O302">
        <f>IF(N302=1,M302&amp;"|"&amp;L302,REPT("z",40))</f>
        <v/>
      </c>
      <c r="P302">
        <f>IF(N302=1,COUNTIF($O$4:$O$2003,"&lt;"&amp;O302)+1,"")</f>
        <v/>
      </c>
      <c r="Q302">
        <f>IF(OR($R301="",$R301="T"),"",IF($R301="B",$Q301,IF($Q301+1&gt;$K$3,"",$Q301+1)))</f>
        <v/>
      </c>
      <c r="R302">
        <f>IF(OR($R301="",$R301="T"),"",IF($R301="B","S",IF($Q301+1&gt;$K$3,"T",IF(INDEX($M$4:$M$2003,MATCH($Q301+1,$P$4:$P$2003,0))&lt;&gt;INDEX($M$4:$M$2003,MATCH($Q301,$P$4:$P$2003,0)),"B","S"))))</f>
        <v/>
      </c>
      <c r="S302">
        <f>IF(Q302="","",IFERROR(MATCH(Q302,$P$4:$P$2003,0),""))</f>
        <v/>
      </c>
    </row>
    <row r="303">
      <c r="A303" s="4">
        <f>IF($R303="","",IF($R303="T","Gesamtergebnis",IF($R303="B",INDEX($M$4:$M$2003,$S303),INDEX($L$4:$L$2003,$S303))))</f>
        <v/>
      </c>
      <c r="B303" s="4">
        <f>IF($R303="","",IF($R303="T",$K$3,IF($R303="B",COUNTIFS($M$4:$M$2003,INDEX($M$4:$M$2003,$S303),$N$4:$N$2003,1),1)))</f>
        <v/>
      </c>
      <c r="L303">
        <f>IF($K$1="","",IFERROR(INDEX(Lines!$A:$AA,ROW()-2,$K$1),""))</f>
        <v/>
      </c>
      <c r="M303">
        <f>IF($K$2="","",IFERROR(INDEX(Lines!$A:$AA,ROW()-2,$K$2),""))</f>
        <v/>
      </c>
      <c r="N303">
        <f>IF(AND(L303&lt;&gt;"",LEFT(L303,1)="N",M303&lt;&gt;"PICKING",M303&lt;&gt;""),1,0)</f>
        <v/>
      </c>
      <c r="O303">
        <f>IF(N303=1,M303&amp;"|"&amp;L303,REPT("z",40))</f>
        <v/>
      </c>
      <c r="P303">
        <f>IF(N303=1,COUNTIF($O$4:$O$2003,"&lt;"&amp;O303)+1,"")</f>
        <v/>
      </c>
      <c r="Q303">
        <f>IF(OR($R302="",$R302="T"),"",IF($R302="B",$Q302,IF($Q302+1&gt;$K$3,"",$Q302+1)))</f>
        <v/>
      </c>
      <c r="R303">
        <f>IF(OR($R302="",$R302="T"),"",IF($R302="B","S",IF($Q302+1&gt;$K$3,"T",IF(INDEX($M$4:$M$2003,MATCH($Q302+1,$P$4:$P$2003,0))&lt;&gt;INDEX($M$4:$M$2003,MATCH($Q302,$P$4:$P$2003,0)),"B","S"))))</f>
        <v/>
      </c>
      <c r="S303">
        <f>IF(Q303="","",IFERROR(MATCH(Q303,$P$4:$P$2003,0),""))</f>
        <v/>
      </c>
    </row>
    <row r="304">
      <c r="A304" s="4">
        <f>IF($R304="","",IF($R304="T","Gesamtergebnis",IF($R304="B",INDEX($M$4:$M$2003,$S304),INDEX($L$4:$L$2003,$S304))))</f>
        <v/>
      </c>
      <c r="B304" s="4">
        <f>IF($R304="","",IF($R304="T",$K$3,IF($R304="B",COUNTIFS($M$4:$M$2003,INDEX($M$4:$M$2003,$S304),$N$4:$N$2003,1),1)))</f>
        <v/>
      </c>
      <c r="L304">
        <f>IF($K$1="","",IFERROR(INDEX(Lines!$A:$AA,ROW()-2,$K$1),""))</f>
        <v/>
      </c>
      <c r="M304">
        <f>IF($K$2="","",IFERROR(INDEX(Lines!$A:$AA,ROW()-2,$K$2),""))</f>
        <v/>
      </c>
      <c r="N304">
        <f>IF(AND(L304&lt;&gt;"",LEFT(L304,1)="N",M304&lt;&gt;"PICKING",M304&lt;&gt;""),1,0)</f>
        <v/>
      </c>
      <c r="O304">
        <f>IF(N304=1,M304&amp;"|"&amp;L304,REPT("z",40))</f>
        <v/>
      </c>
      <c r="P304">
        <f>IF(N304=1,COUNTIF($O$4:$O$2003,"&lt;"&amp;O304)+1,"")</f>
        <v/>
      </c>
      <c r="Q304">
        <f>IF(OR($R303="",$R303="T"),"",IF($R303="B",$Q303,IF($Q303+1&gt;$K$3,"",$Q303+1)))</f>
        <v/>
      </c>
      <c r="R304">
        <f>IF(OR($R303="",$R303="T"),"",IF($R303="B","S",IF($Q303+1&gt;$K$3,"T",IF(INDEX($M$4:$M$2003,MATCH($Q303+1,$P$4:$P$2003,0))&lt;&gt;INDEX($M$4:$M$2003,MATCH($Q303,$P$4:$P$2003,0)),"B","S"))))</f>
        <v/>
      </c>
      <c r="S304">
        <f>IF(Q304="","",IFERROR(MATCH(Q304,$P$4:$P$2003,0),""))</f>
        <v/>
      </c>
    </row>
    <row r="305">
      <c r="A305" s="4">
        <f>IF($R305="","",IF($R305="T","Gesamtergebnis",IF($R305="B",INDEX($M$4:$M$2003,$S305),INDEX($L$4:$L$2003,$S305))))</f>
        <v/>
      </c>
      <c r="B305" s="4">
        <f>IF($R305="","",IF($R305="T",$K$3,IF($R305="B",COUNTIFS($M$4:$M$2003,INDEX($M$4:$M$2003,$S305),$N$4:$N$2003,1),1)))</f>
        <v/>
      </c>
      <c r="L305">
        <f>IF($K$1="","",IFERROR(INDEX(Lines!$A:$AA,ROW()-2,$K$1),""))</f>
        <v/>
      </c>
      <c r="M305">
        <f>IF($K$2="","",IFERROR(INDEX(Lines!$A:$AA,ROW()-2,$K$2),""))</f>
        <v/>
      </c>
      <c r="N305">
        <f>IF(AND(L305&lt;&gt;"",LEFT(L305,1)="N",M305&lt;&gt;"PICKING",M305&lt;&gt;""),1,0)</f>
        <v/>
      </c>
      <c r="O305">
        <f>IF(N305=1,M305&amp;"|"&amp;L305,REPT("z",40))</f>
        <v/>
      </c>
      <c r="P305">
        <f>IF(N305=1,COUNTIF($O$4:$O$2003,"&lt;"&amp;O305)+1,"")</f>
        <v/>
      </c>
      <c r="Q305">
        <f>IF(OR($R304="",$R304="T"),"",IF($R304="B",$Q304,IF($Q304+1&gt;$K$3,"",$Q304+1)))</f>
        <v/>
      </c>
      <c r="R305">
        <f>IF(OR($R304="",$R304="T"),"",IF($R304="B","S",IF($Q304+1&gt;$K$3,"T",IF(INDEX($M$4:$M$2003,MATCH($Q304+1,$P$4:$P$2003,0))&lt;&gt;INDEX($M$4:$M$2003,MATCH($Q304,$P$4:$P$2003,0)),"B","S"))))</f>
        <v/>
      </c>
      <c r="S305">
        <f>IF(Q305="","",IFERROR(MATCH(Q305,$P$4:$P$2003,0),""))</f>
        <v/>
      </c>
    </row>
    <row r="306">
      <c r="A306" s="4">
        <f>IF($R306="","",IF($R306="T","Gesamtergebnis",IF($R306="B",INDEX($M$4:$M$2003,$S306),INDEX($L$4:$L$2003,$S306))))</f>
        <v/>
      </c>
      <c r="B306" s="4">
        <f>IF($R306="","",IF($R306="T",$K$3,IF($R306="B",COUNTIFS($M$4:$M$2003,INDEX($M$4:$M$2003,$S306),$N$4:$N$2003,1),1)))</f>
        <v/>
      </c>
      <c r="L306">
        <f>IF($K$1="","",IFERROR(INDEX(Lines!$A:$AA,ROW()-2,$K$1),""))</f>
        <v/>
      </c>
      <c r="M306">
        <f>IF($K$2="","",IFERROR(INDEX(Lines!$A:$AA,ROW()-2,$K$2),""))</f>
        <v/>
      </c>
      <c r="N306">
        <f>IF(AND(L306&lt;&gt;"",LEFT(L306,1)="N",M306&lt;&gt;"PICKING",M306&lt;&gt;""),1,0)</f>
        <v/>
      </c>
      <c r="O306">
        <f>IF(N306=1,M306&amp;"|"&amp;L306,REPT("z",40))</f>
        <v/>
      </c>
      <c r="P306">
        <f>IF(N306=1,COUNTIF($O$4:$O$2003,"&lt;"&amp;O306)+1,"")</f>
        <v/>
      </c>
      <c r="Q306">
        <f>IF(OR($R305="",$R305="T"),"",IF($R305="B",$Q305,IF($Q305+1&gt;$K$3,"",$Q305+1)))</f>
        <v/>
      </c>
      <c r="R306">
        <f>IF(OR($R305="",$R305="T"),"",IF($R305="B","S",IF($Q305+1&gt;$K$3,"T",IF(INDEX($M$4:$M$2003,MATCH($Q305+1,$P$4:$P$2003,0))&lt;&gt;INDEX($M$4:$M$2003,MATCH($Q305,$P$4:$P$2003,0)),"B","S"))))</f>
        <v/>
      </c>
      <c r="S306">
        <f>IF(Q306="","",IFERROR(MATCH(Q306,$P$4:$P$2003,0),""))</f>
        <v/>
      </c>
    </row>
    <row r="307">
      <c r="A307" s="4">
        <f>IF($R307="","",IF($R307="T","Gesamtergebnis",IF($R307="B",INDEX($M$4:$M$2003,$S307),INDEX($L$4:$L$2003,$S307))))</f>
        <v/>
      </c>
      <c r="B307" s="4">
        <f>IF($R307="","",IF($R307="T",$K$3,IF($R307="B",COUNTIFS($M$4:$M$2003,INDEX($M$4:$M$2003,$S307),$N$4:$N$2003,1),1)))</f>
        <v/>
      </c>
      <c r="L307">
        <f>IF($K$1="","",IFERROR(INDEX(Lines!$A:$AA,ROW()-2,$K$1),""))</f>
        <v/>
      </c>
      <c r="M307">
        <f>IF($K$2="","",IFERROR(INDEX(Lines!$A:$AA,ROW()-2,$K$2),""))</f>
        <v/>
      </c>
      <c r="N307">
        <f>IF(AND(L307&lt;&gt;"",LEFT(L307,1)="N",M307&lt;&gt;"PICKING",M307&lt;&gt;""),1,0)</f>
        <v/>
      </c>
      <c r="O307">
        <f>IF(N307=1,M307&amp;"|"&amp;L307,REPT("z",40))</f>
        <v/>
      </c>
      <c r="P307">
        <f>IF(N307=1,COUNTIF($O$4:$O$2003,"&lt;"&amp;O307)+1,"")</f>
        <v/>
      </c>
      <c r="Q307">
        <f>IF(OR($R306="",$R306="T"),"",IF($R306="B",$Q306,IF($Q306+1&gt;$K$3,"",$Q306+1)))</f>
        <v/>
      </c>
      <c r="R307">
        <f>IF(OR($R306="",$R306="T"),"",IF($R306="B","S",IF($Q306+1&gt;$K$3,"T",IF(INDEX($M$4:$M$2003,MATCH($Q306+1,$P$4:$P$2003,0))&lt;&gt;INDEX($M$4:$M$2003,MATCH($Q306,$P$4:$P$2003,0)),"B","S"))))</f>
        <v/>
      </c>
      <c r="S307">
        <f>IF(Q307="","",IFERROR(MATCH(Q307,$P$4:$P$2003,0),""))</f>
        <v/>
      </c>
    </row>
    <row r="308">
      <c r="A308" s="4">
        <f>IF($R308="","",IF($R308="T","Gesamtergebnis",IF($R308="B",INDEX($M$4:$M$2003,$S308),INDEX($L$4:$L$2003,$S308))))</f>
        <v/>
      </c>
      <c r="B308" s="4">
        <f>IF($R308="","",IF($R308="T",$K$3,IF($R308="B",COUNTIFS($M$4:$M$2003,INDEX($M$4:$M$2003,$S308),$N$4:$N$2003,1),1)))</f>
        <v/>
      </c>
      <c r="L308">
        <f>IF($K$1="","",IFERROR(INDEX(Lines!$A:$AA,ROW()-2,$K$1),""))</f>
        <v/>
      </c>
      <c r="M308">
        <f>IF($K$2="","",IFERROR(INDEX(Lines!$A:$AA,ROW()-2,$K$2),""))</f>
        <v/>
      </c>
      <c r="N308">
        <f>IF(AND(L308&lt;&gt;"",LEFT(L308,1)="N",M308&lt;&gt;"PICKING",M308&lt;&gt;""),1,0)</f>
        <v/>
      </c>
      <c r="O308">
        <f>IF(N308=1,M308&amp;"|"&amp;L308,REPT("z",40))</f>
        <v/>
      </c>
      <c r="P308">
        <f>IF(N308=1,COUNTIF($O$4:$O$2003,"&lt;"&amp;O308)+1,"")</f>
        <v/>
      </c>
      <c r="Q308">
        <f>IF(OR($R307="",$R307="T"),"",IF($R307="B",$Q307,IF($Q307+1&gt;$K$3,"",$Q307+1)))</f>
        <v/>
      </c>
      <c r="R308">
        <f>IF(OR($R307="",$R307="T"),"",IF($R307="B","S",IF($Q307+1&gt;$K$3,"T",IF(INDEX($M$4:$M$2003,MATCH($Q307+1,$P$4:$P$2003,0))&lt;&gt;INDEX($M$4:$M$2003,MATCH($Q307,$P$4:$P$2003,0)),"B","S"))))</f>
        <v/>
      </c>
      <c r="S308">
        <f>IF(Q308="","",IFERROR(MATCH(Q308,$P$4:$P$2003,0),""))</f>
        <v/>
      </c>
    </row>
    <row r="309">
      <c r="A309" s="4">
        <f>IF($R309="","",IF($R309="T","Gesamtergebnis",IF($R309="B",INDEX($M$4:$M$2003,$S309),INDEX($L$4:$L$2003,$S309))))</f>
        <v/>
      </c>
      <c r="B309" s="4">
        <f>IF($R309="","",IF($R309="T",$K$3,IF($R309="B",COUNTIFS($M$4:$M$2003,INDEX($M$4:$M$2003,$S309),$N$4:$N$2003,1),1)))</f>
        <v/>
      </c>
      <c r="L309">
        <f>IF($K$1="","",IFERROR(INDEX(Lines!$A:$AA,ROW()-2,$K$1),""))</f>
        <v/>
      </c>
      <c r="M309">
        <f>IF($K$2="","",IFERROR(INDEX(Lines!$A:$AA,ROW()-2,$K$2),""))</f>
        <v/>
      </c>
      <c r="N309">
        <f>IF(AND(L309&lt;&gt;"",LEFT(L309,1)="N",M309&lt;&gt;"PICKING",M309&lt;&gt;""),1,0)</f>
        <v/>
      </c>
      <c r="O309">
        <f>IF(N309=1,M309&amp;"|"&amp;L309,REPT("z",40))</f>
        <v/>
      </c>
      <c r="P309">
        <f>IF(N309=1,COUNTIF($O$4:$O$2003,"&lt;"&amp;O309)+1,"")</f>
        <v/>
      </c>
      <c r="Q309">
        <f>IF(OR($R308="",$R308="T"),"",IF($R308="B",$Q308,IF($Q308+1&gt;$K$3,"",$Q308+1)))</f>
        <v/>
      </c>
      <c r="R309">
        <f>IF(OR($R308="",$R308="T"),"",IF($R308="B","S",IF($Q308+1&gt;$K$3,"T",IF(INDEX($M$4:$M$2003,MATCH($Q308+1,$P$4:$P$2003,0))&lt;&gt;INDEX($M$4:$M$2003,MATCH($Q308,$P$4:$P$2003,0)),"B","S"))))</f>
        <v/>
      </c>
      <c r="S309">
        <f>IF(Q309="","",IFERROR(MATCH(Q309,$P$4:$P$2003,0),""))</f>
        <v/>
      </c>
    </row>
    <row r="310">
      <c r="A310" s="4">
        <f>IF($R310="","",IF($R310="T","Gesamtergebnis",IF($R310="B",INDEX($M$4:$M$2003,$S310),INDEX($L$4:$L$2003,$S310))))</f>
        <v/>
      </c>
      <c r="B310" s="4">
        <f>IF($R310="","",IF($R310="T",$K$3,IF($R310="B",COUNTIFS($M$4:$M$2003,INDEX($M$4:$M$2003,$S310),$N$4:$N$2003,1),1)))</f>
        <v/>
      </c>
      <c r="L310">
        <f>IF($K$1="","",IFERROR(INDEX(Lines!$A:$AA,ROW()-2,$K$1),""))</f>
        <v/>
      </c>
      <c r="M310">
        <f>IF($K$2="","",IFERROR(INDEX(Lines!$A:$AA,ROW()-2,$K$2),""))</f>
        <v/>
      </c>
      <c r="N310">
        <f>IF(AND(L310&lt;&gt;"",LEFT(L310,1)="N",M310&lt;&gt;"PICKING",M310&lt;&gt;""),1,0)</f>
        <v/>
      </c>
      <c r="O310">
        <f>IF(N310=1,M310&amp;"|"&amp;L310,REPT("z",40))</f>
        <v/>
      </c>
      <c r="P310">
        <f>IF(N310=1,COUNTIF($O$4:$O$2003,"&lt;"&amp;O310)+1,"")</f>
        <v/>
      </c>
      <c r="Q310">
        <f>IF(OR($R309="",$R309="T"),"",IF($R309="B",$Q309,IF($Q309+1&gt;$K$3,"",$Q309+1)))</f>
        <v/>
      </c>
      <c r="R310">
        <f>IF(OR($R309="",$R309="T"),"",IF($R309="B","S",IF($Q309+1&gt;$K$3,"T",IF(INDEX($M$4:$M$2003,MATCH($Q309+1,$P$4:$P$2003,0))&lt;&gt;INDEX($M$4:$M$2003,MATCH($Q309,$P$4:$P$2003,0)),"B","S"))))</f>
        <v/>
      </c>
      <c r="S310">
        <f>IF(Q310="","",IFERROR(MATCH(Q310,$P$4:$P$2003,0),""))</f>
        <v/>
      </c>
    </row>
    <row r="311">
      <c r="A311" s="4">
        <f>IF($R311="","",IF($R311="T","Gesamtergebnis",IF($R311="B",INDEX($M$4:$M$2003,$S311),INDEX($L$4:$L$2003,$S311))))</f>
        <v/>
      </c>
      <c r="B311" s="4">
        <f>IF($R311="","",IF($R311="T",$K$3,IF($R311="B",COUNTIFS($M$4:$M$2003,INDEX($M$4:$M$2003,$S311),$N$4:$N$2003,1),1)))</f>
        <v/>
      </c>
      <c r="L311">
        <f>IF($K$1="","",IFERROR(INDEX(Lines!$A:$AA,ROW()-2,$K$1),""))</f>
        <v/>
      </c>
      <c r="M311">
        <f>IF($K$2="","",IFERROR(INDEX(Lines!$A:$AA,ROW()-2,$K$2),""))</f>
        <v/>
      </c>
      <c r="N311">
        <f>IF(AND(L311&lt;&gt;"",LEFT(L311,1)="N",M311&lt;&gt;"PICKING",M311&lt;&gt;""),1,0)</f>
        <v/>
      </c>
      <c r="O311">
        <f>IF(N311=1,M311&amp;"|"&amp;L311,REPT("z",40))</f>
        <v/>
      </c>
      <c r="P311">
        <f>IF(N311=1,COUNTIF($O$4:$O$2003,"&lt;"&amp;O311)+1,"")</f>
        <v/>
      </c>
      <c r="Q311">
        <f>IF(OR($R310="",$R310="T"),"",IF($R310="B",$Q310,IF($Q310+1&gt;$K$3,"",$Q310+1)))</f>
        <v/>
      </c>
      <c r="R311">
        <f>IF(OR($R310="",$R310="T"),"",IF($R310="B","S",IF($Q310+1&gt;$K$3,"T",IF(INDEX($M$4:$M$2003,MATCH($Q310+1,$P$4:$P$2003,0))&lt;&gt;INDEX($M$4:$M$2003,MATCH($Q310,$P$4:$P$2003,0)),"B","S"))))</f>
        <v/>
      </c>
      <c r="S311">
        <f>IF(Q311="","",IFERROR(MATCH(Q311,$P$4:$P$2003,0),""))</f>
        <v/>
      </c>
    </row>
    <row r="312">
      <c r="A312" s="4">
        <f>IF($R312="","",IF($R312="T","Gesamtergebnis",IF($R312="B",INDEX($M$4:$M$2003,$S312),INDEX($L$4:$L$2003,$S312))))</f>
        <v/>
      </c>
      <c r="B312" s="4">
        <f>IF($R312="","",IF($R312="T",$K$3,IF($R312="B",COUNTIFS($M$4:$M$2003,INDEX($M$4:$M$2003,$S312),$N$4:$N$2003,1),1)))</f>
        <v/>
      </c>
      <c r="L312">
        <f>IF($K$1="","",IFERROR(INDEX(Lines!$A:$AA,ROW()-2,$K$1),""))</f>
        <v/>
      </c>
      <c r="M312">
        <f>IF($K$2="","",IFERROR(INDEX(Lines!$A:$AA,ROW()-2,$K$2),""))</f>
        <v/>
      </c>
      <c r="N312">
        <f>IF(AND(L312&lt;&gt;"",LEFT(L312,1)="N",M312&lt;&gt;"PICKING",M312&lt;&gt;""),1,0)</f>
        <v/>
      </c>
      <c r="O312">
        <f>IF(N312=1,M312&amp;"|"&amp;L312,REPT("z",40))</f>
        <v/>
      </c>
      <c r="P312">
        <f>IF(N312=1,COUNTIF($O$4:$O$2003,"&lt;"&amp;O312)+1,"")</f>
        <v/>
      </c>
      <c r="Q312">
        <f>IF(OR($R311="",$R311="T"),"",IF($R311="B",$Q311,IF($Q311+1&gt;$K$3,"",$Q311+1)))</f>
        <v/>
      </c>
      <c r="R312">
        <f>IF(OR($R311="",$R311="T"),"",IF($R311="B","S",IF($Q311+1&gt;$K$3,"T",IF(INDEX($M$4:$M$2003,MATCH($Q311+1,$P$4:$P$2003,0))&lt;&gt;INDEX($M$4:$M$2003,MATCH($Q311,$P$4:$P$2003,0)),"B","S"))))</f>
        <v/>
      </c>
      <c r="S312">
        <f>IF(Q312="","",IFERROR(MATCH(Q312,$P$4:$P$2003,0),""))</f>
        <v/>
      </c>
    </row>
    <row r="313">
      <c r="A313" s="4">
        <f>IF($R313="","",IF($R313="T","Gesamtergebnis",IF($R313="B",INDEX($M$4:$M$2003,$S313),INDEX($L$4:$L$2003,$S313))))</f>
        <v/>
      </c>
      <c r="B313" s="4">
        <f>IF($R313="","",IF($R313="T",$K$3,IF($R313="B",COUNTIFS($M$4:$M$2003,INDEX($M$4:$M$2003,$S313),$N$4:$N$2003,1),1)))</f>
        <v/>
      </c>
      <c r="L313">
        <f>IF($K$1="","",IFERROR(INDEX(Lines!$A:$AA,ROW()-2,$K$1),""))</f>
        <v/>
      </c>
      <c r="M313">
        <f>IF($K$2="","",IFERROR(INDEX(Lines!$A:$AA,ROW()-2,$K$2),""))</f>
        <v/>
      </c>
      <c r="N313">
        <f>IF(AND(L313&lt;&gt;"",LEFT(L313,1)="N",M313&lt;&gt;"PICKING",M313&lt;&gt;""),1,0)</f>
        <v/>
      </c>
      <c r="O313">
        <f>IF(N313=1,M313&amp;"|"&amp;L313,REPT("z",40))</f>
        <v/>
      </c>
      <c r="P313">
        <f>IF(N313=1,COUNTIF($O$4:$O$2003,"&lt;"&amp;O313)+1,"")</f>
        <v/>
      </c>
      <c r="Q313">
        <f>IF(OR($R312="",$R312="T"),"",IF($R312="B",$Q312,IF($Q312+1&gt;$K$3,"",$Q312+1)))</f>
        <v/>
      </c>
      <c r="R313">
        <f>IF(OR($R312="",$R312="T"),"",IF($R312="B","S",IF($Q312+1&gt;$K$3,"T",IF(INDEX($M$4:$M$2003,MATCH($Q312+1,$P$4:$P$2003,0))&lt;&gt;INDEX($M$4:$M$2003,MATCH($Q312,$P$4:$P$2003,0)),"B","S"))))</f>
        <v/>
      </c>
      <c r="S313">
        <f>IF(Q313="","",IFERROR(MATCH(Q313,$P$4:$P$2003,0),""))</f>
        <v/>
      </c>
    </row>
    <row r="314">
      <c r="A314" s="4">
        <f>IF($R314="","",IF($R314="T","Gesamtergebnis",IF($R314="B",INDEX($M$4:$M$2003,$S314),INDEX($L$4:$L$2003,$S314))))</f>
        <v/>
      </c>
      <c r="B314" s="4">
        <f>IF($R314="","",IF($R314="T",$K$3,IF($R314="B",COUNTIFS($M$4:$M$2003,INDEX($M$4:$M$2003,$S314),$N$4:$N$2003,1),1)))</f>
        <v/>
      </c>
      <c r="L314">
        <f>IF($K$1="","",IFERROR(INDEX(Lines!$A:$AA,ROW()-2,$K$1),""))</f>
        <v/>
      </c>
      <c r="M314">
        <f>IF($K$2="","",IFERROR(INDEX(Lines!$A:$AA,ROW()-2,$K$2),""))</f>
        <v/>
      </c>
      <c r="N314">
        <f>IF(AND(L314&lt;&gt;"",LEFT(L314,1)="N",M314&lt;&gt;"PICKING",M314&lt;&gt;""),1,0)</f>
        <v/>
      </c>
      <c r="O314">
        <f>IF(N314=1,M314&amp;"|"&amp;L314,REPT("z",40))</f>
        <v/>
      </c>
      <c r="P314">
        <f>IF(N314=1,COUNTIF($O$4:$O$2003,"&lt;"&amp;O314)+1,"")</f>
        <v/>
      </c>
      <c r="Q314">
        <f>IF(OR($R313="",$R313="T"),"",IF($R313="B",$Q313,IF($Q313+1&gt;$K$3,"",$Q313+1)))</f>
        <v/>
      </c>
      <c r="R314">
        <f>IF(OR($R313="",$R313="T"),"",IF($R313="B","S",IF($Q313+1&gt;$K$3,"T",IF(INDEX($M$4:$M$2003,MATCH($Q313+1,$P$4:$P$2003,0))&lt;&gt;INDEX($M$4:$M$2003,MATCH($Q313,$P$4:$P$2003,0)),"B","S"))))</f>
        <v/>
      </c>
      <c r="S314">
        <f>IF(Q314="","",IFERROR(MATCH(Q314,$P$4:$P$2003,0),""))</f>
        <v/>
      </c>
    </row>
    <row r="315">
      <c r="A315" s="4">
        <f>IF($R315="","",IF($R315="T","Gesamtergebnis",IF($R315="B",INDEX($M$4:$M$2003,$S315),INDEX($L$4:$L$2003,$S315))))</f>
        <v/>
      </c>
      <c r="B315" s="4">
        <f>IF($R315="","",IF($R315="T",$K$3,IF($R315="B",COUNTIFS($M$4:$M$2003,INDEX($M$4:$M$2003,$S315),$N$4:$N$2003,1),1)))</f>
        <v/>
      </c>
      <c r="L315">
        <f>IF($K$1="","",IFERROR(INDEX(Lines!$A:$AA,ROW()-2,$K$1),""))</f>
        <v/>
      </c>
      <c r="M315">
        <f>IF($K$2="","",IFERROR(INDEX(Lines!$A:$AA,ROW()-2,$K$2),""))</f>
        <v/>
      </c>
      <c r="N315">
        <f>IF(AND(L315&lt;&gt;"",LEFT(L315,1)="N",M315&lt;&gt;"PICKING",M315&lt;&gt;""),1,0)</f>
        <v/>
      </c>
      <c r="O315">
        <f>IF(N315=1,M315&amp;"|"&amp;L315,REPT("z",40))</f>
        <v/>
      </c>
      <c r="P315">
        <f>IF(N315=1,COUNTIF($O$4:$O$2003,"&lt;"&amp;O315)+1,"")</f>
        <v/>
      </c>
      <c r="Q315">
        <f>IF(OR($R314="",$R314="T"),"",IF($R314="B",$Q314,IF($Q314+1&gt;$K$3,"",$Q314+1)))</f>
        <v/>
      </c>
      <c r="R315">
        <f>IF(OR($R314="",$R314="T"),"",IF($R314="B","S",IF($Q314+1&gt;$K$3,"T",IF(INDEX($M$4:$M$2003,MATCH($Q314+1,$P$4:$P$2003,0))&lt;&gt;INDEX($M$4:$M$2003,MATCH($Q314,$P$4:$P$2003,0)),"B","S"))))</f>
        <v/>
      </c>
      <c r="S315">
        <f>IF(Q315="","",IFERROR(MATCH(Q315,$P$4:$P$2003,0),""))</f>
        <v/>
      </c>
    </row>
    <row r="316">
      <c r="A316" s="4">
        <f>IF($R316="","",IF($R316="T","Gesamtergebnis",IF($R316="B",INDEX($M$4:$M$2003,$S316),INDEX($L$4:$L$2003,$S316))))</f>
        <v/>
      </c>
      <c r="B316" s="4">
        <f>IF($R316="","",IF($R316="T",$K$3,IF($R316="B",COUNTIFS($M$4:$M$2003,INDEX($M$4:$M$2003,$S316),$N$4:$N$2003,1),1)))</f>
        <v/>
      </c>
      <c r="L316">
        <f>IF($K$1="","",IFERROR(INDEX(Lines!$A:$AA,ROW()-2,$K$1),""))</f>
        <v/>
      </c>
      <c r="M316">
        <f>IF($K$2="","",IFERROR(INDEX(Lines!$A:$AA,ROW()-2,$K$2),""))</f>
        <v/>
      </c>
      <c r="N316">
        <f>IF(AND(L316&lt;&gt;"",LEFT(L316,1)="N",M316&lt;&gt;"PICKING",M316&lt;&gt;""),1,0)</f>
        <v/>
      </c>
      <c r="O316">
        <f>IF(N316=1,M316&amp;"|"&amp;L316,REPT("z",40))</f>
        <v/>
      </c>
      <c r="P316">
        <f>IF(N316=1,COUNTIF($O$4:$O$2003,"&lt;"&amp;O316)+1,"")</f>
        <v/>
      </c>
      <c r="Q316">
        <f>IF(OR($R315="",$R315="T"),"",IF($R315="B",$Q315,IF($Q315+1&gt;$K$3,"",$Q315+1)))</f>
        <v/>
      </c>
      <c r="R316">
        <f>IF(OR($R315="",$R315="T"),"",IF($R315="B","S",IF($Q315+1&gt;$K$3,"T",IF(INDEX($M$4:$M$2003,MATCH($Q315+1,$P$4:$P$2003,0))&lt;&gt;INDEX($M$4:$M$2003,MATCH($Q315,$P$4:$P$2003,0)),"B","S"))))</f>
        <v/>
      </c>
      <c r="S316">
        <f>IF(Q316="","",IFERROR(MATCH(Q316,$P$4:$P$2003,0),""))</f>
        <v/>
      </c>
    </row>
    <row r="317">
      <c r="A317" s="4">
        <f>IF($R317="","",IF($R317="T","Gesamtergebnis",IF($R317="B",INDEX($M$4:$M$2003,$S317),INDEX($L$4:$L$2003,$S317))))</f>
        <v/>
      </c>
      <c r="B317" s="4">
        <f>IF($R317="","",IF($R317="T",$K$3,IF($R317="B",COUNTIFS($M$4:$M$2003,INDEX($M$4:$M$2003,$S317),$N$4:$N$2003,1),1)))</f>
        <v/>
      </c>
      <c r="L317">
        <f>IF($K$1="","",IFERROR(INDEX(Lines!$A:$AA,ROW()-2,$K$1),""))</f>
        <v/>
      </c>
      <c r="M317">
        <f>IF($K$2="","",IFERROR(INDEX(Lines!$A:$AA,ROW()-2,$K$2),""))</f>
        <v/>
      </c>
      <c r="N317">
        <f>IF(AND(L317&lt;&gt;"",LEFT(L317,1)="N",M317&lt;&gt;"PICKING",M317&lt;&gt;""),1,0)</f>
        <v/>
      </c>
      <c r="O317">
        <f>IF(N317=1,M317&amp;"|"&amp;L317,REPT("z",40))</f>
        <v/>
      </c>
      <c r="P317">
        <f>IF(N317=1,COUNTIF($O$4:$O$2003,"&lt;"&amp;O317)+1,"")</f>
        <v/>
      </c>
      <c r="Q317">
        <f>IF(OR($R316="",$R316="T"),"",IF($R316="B",$Q316,IF($Q316+1&gt;$K$3,"",$Q316+1)))</f>
        <v/>
      </c>
      <c r="R317">
        <f>IF(OR($R316="",$R316="T"),"",IF($R316="B","S",IF($Q316+1&gt;$K$3,"T",IF(INDEX($M$4:$M$2003,MATCH($Q316+1,$P$4:$P$2003,0))&lt;&gt;INDEX($M$4:$M$2003,MATCH($Q316,$P$4:$P$2003,0)),"B","S"))))</f>
        <v/>
      </c>
      <c r="S317">
        <f>IF(Q317="","",IFERROR(MATCH(Q317,$P$4:$P$2003,0),""))</f>
        <v/>
      </c>
    </row>
    <row r="318">
      <c r="A318" s="4">
        <f>IF($R318="","",IF($R318="T","Gesamtergebnis",IF($R318="B",INDEX($M$4:$M$2003,$S318),INDEX($L$4:$L$2003,$S318))))</f>
        <v/>
      </c>
      <c r="B318" s="4">
        <f>IF($R318="","",IF($R318="T",$K$3,IF($R318="B",COUNTIFS($M$4:$M$2003,INDEX($M$4:$M$2003,$S318),$N$4:$N$2003,1),1)))</f>
        <v/>
      </c>
      <c r="L318">
        <f>IF($K$1="","",IFERROR(INDEX(Lines!$A:$AA,ROW()-2,$K$1),""))</f>
        <v/>
      </c>
      <c r="M318">
        <f>IF($K$2="","",IFERROR(INDEX(Lines!$A:$AA,ROW()-2,$K$2),""))</f>
        <v/>
      </c>
      <c r="N318">
        <f>IF(AND(L318&lt;&gt;"",LEFT(L318,1)="N",M318&lt;&gt;"PICKING",M318&lt;&gt;""),1,0)</f>
        <v/>
      </c>
      <c r="O318">
        <f>IF(N318=1,M318&amp;"|"&amp;L318,REPT("z",40))</f>
        <v/>
      </c>
      <c r="P318">
        <f>IF(N318=1,COUNTIF($O$4:$O$2003,"&lt;"&amp;O318)+1,"")</f>
        <v/>
      </c>
      <c r="Q318">
        <f>IF(OR($R317="",$R317="T"),"",IF($R317="B",$Q317,IF($Q317+1&gt;$K$3,"",$Q317+1)))</f>
        <v/>
      </c>
      <c r="R318">
        <f>IF(OR($R317="",$R317="T"),"",IF($R317="B","S",IF($Q317+1&gt;$K$3,"T",IF(INDEX($M$4:$M$2003,MATCH($Q317+1,$P$4:$P$2003,0))&lt;&gt;INDEX($M$4:$M$2003,MATCH($Q317,$P$4:$P$2003,0)),"B","S"))))</f>
        <v/>
      </c>
      <c r="S318">
        <f>IF(Q318="","",IFERROR(MATCH(Q318,$P$4:$P$2003,0),""))</f>
        <v/>
      </c>
    </row>
    <row r="319">
      <c r="A319" s="4">
        <f>IF($R319="","",IF($R319="T","Gesamtergebnis",IF($R319="B",INDEX($M$4:$M$2003,$S319),INDEX($L$4:$L$2003,$S319))))</f>
        <v/>
      </c>
      <c r="B319" s="4">
        <f>IF($R319="","",IF($R319="T",$K$3,IF($R319="B",COUNTIFS($M$4:$M$2003,INDEX($M$4:$M$2003,$S319),$N$4:$N$2003,1),1)))</f>
        <v/>
      </c>
      <c r="L319">
        <f>IF($K$1="","",IFERROR(INDEX(Lines!$A:$AA,ROW()-2,$K$1),""))</f>
        <v/>
      </c>
      <c r="M319">
        <f>IF($K$2="","",IFERROR(INDEX(Lines!$A:$AA,ROW()-2,$K$2),""))</f>
        <v/>
      </c>
      <c r="N319">
        <f>IF(AND(L319&lt;&gt;"",LEFT(L319,1)="N",M319&lt;&gt;"PICKING",M319&lt;&gt;""),1,0)</f>
        <v/>
      </c>
      <c r="O319">
        <f>IF(N319=1,M319&amp;"|"&amp;L319,REPT("z",40))</f>
        <v/>
      </c>
      <c r="P319">
        <f>IF(N319=1,COUNTIF($O$4:$O$2003,"&lt;"&amp;O319)+1,"")</f>
        <v/>
      </c>
      <c r="Q319">
        <f>IF(OR($R318="",$R318="T"),"",IF($R318="B",$Q318,IF($Q318+1&gt;$K$3,"",$Q318+1)))</f>
        <v/>
      </c>
      <c r="R319">
        <f>IF(OR($R318="",$R318="T"),"",IF($R318="B","S",IF($Q318+1&gt;$K$3,"T",IF(INDEX($M$4:$M$2003,MATCH($Q318+1,$P$4:$P$2003,0))&lt;&gt;INDEX($M$4:$M$2003,MATCH($Q318,$P$4:$P$2003,0)),"B","S"))))</f>
        <v/>
      </c>
      <c r="S319">
        <f>IF(Q319="","",IFERROR(MATCH(Q319,$P$4:$P$2003,0),""))</f>
        <v/>
      </c>
    </row>
    <row r="320">
      <c r="A320" s="4">
        <f>IF($R320="","",IF($R320="T","Gesamtergebnis",IF($R320="B",INDEX($M$4:$M$2003,$S320),INDEX($L$4:$L$2003,$S320))))</f>
        <v/>
      </c>
      <c r="B320" s="4">
        <f>IF($R320="","",IF($R320="T",$K$3,IF($R320="B",COUNTIFS($M$4:$M$2003,INDEX($M$4:$M$2003,$S320),$N$4:$N$2003,1),1)))</f>
        <v/>
      </c>
      <c r="L320">
        <f>IF($K$1="","",IFERROR(INDEX(Lines!$A:$AA,ROW()-2,$K$1),""))</f>
        <v/>
      </c>
      <c r="M320">
        <f>IF($K$2="","",IFERROR(INDEX(Lines!$A:$AA,ROW()-2,$K$2),""))</f>
        <v/>
      </c>
      <c r="N320">
        <f>IF(AND(L320&lt;&gt;"",LEFT(L320,1)="N",M320&lt;&gt;"PICKING",M320&lt;&gt;""),1,0)</f>
        <v/>
      </c>
      <c r="O320">
        <f>IF(N320=1,M320&amp;"|"&amp;L320,REPT("z",40))</f>
        <v/>
      </c>
      <c r="P320">
        <f>IF(N320=1,COUNTIF($O$4:$O$2003,"&lt;"&amp;O320)+1,"")</f>
        <v/>
      </c>
      <c r="Q320">
        <f>IF(OR($R319="",$R319="T"),"",IF($R319="B",$Q319,IF($Q319+1&gt;$K$3,"",$Q319+1)))</f>
        <v/>
      </c>
      <c r="R320">
        <f>IF(OR($R319="",$R319="T"),"",IF($R319="B","S",IF($Q319+1&gt;$K$3,"T",IF(INDEX($M$4:$M$2003,MATCH($Q319+1,$P$4:$P$2003,0))&lt;&gt;INDEX($M$4:$M$2003,MATCH($Q319,$P$4:$P$2003,0)),"B","S"))))</f>
        <v/>
      </c>
      <c r="S320">
        <f>IF(Q320="","",IFERROR(MATCH(Q320,$P$4:$P$2003,0),""))</f>
        <v/>
      </c>
    </row>
    <row r="321">
      <c r="A321" s="4">
        <f>IF($R321="","",IF($R321="T","Gesamtergebnis",IF($R321="B",INDEX($M$4:$M$2003,$S321),INDEX($L$4:$L$2003,$S321))))</f>
        <v/>
      </c>
      <c r="B321" s="4">
        <f>IF($R321="","",IF($R321="T",$K$3,IF($R321="B",COUNTIFS($M$4:$M$2003,INDEX($M$4:$M$2003,$S321),$N$4:$N$2003,1),1)))</f>
        <v/>
      </c>
      <c r="L321">
        <f>IF($K$1="","",IFERROR(INDEX(Lines!$A:$AA,ROW()-2,$K$1),""))</f>
        <v/>
      </c>
      <c r="M321">
        <f>IF($K$2="","",IFERROR(INDEX(Lines!$A:$AA,ROW()-2,$K$2),""))</f>
        <v/>
      </c>
      <c r="N321">
        <f>IF(AND(L321&lt;&gt;"",LEFT(L321,1)="N",M321&lt;&gt;"PICKING",M321&lt;&gt;""),1,0)</f>
        <v/>
      </c>
      <c r="O321">
        <f>IF(N321=1,M321&amp;"|"&amp;L321,REPT("z",40))</f>
        <v/>
      </c>
      <c r="P321">
        <f>IF(N321=1,COUNTIF($O$4:$O$2003,"&lt;"&amp;O321)+1,"")</f>
        <v/>
      </c>
      <c r="Q321">
        <f>IF(OR($R320="",$R320="T"),"",IF($R320="B",$Q320,IF($Q320+1&gt;$K$3,"",$Q320+1)))</f>
        <v/>
      </c>
      <c r="R321">
        <f>IF(OR($R320="",$R320="T"),"",IF($R320="B","S",IF($Q320+1&gt;$K$3,"T",IF(INDEX($M$4:$M$2003,MATCH($Q320+1,$P$4:$P$2003,0))&lt;&gt;INDEX($M$4:$M$2003,MATCH($Q320,$P$4:$P$2003,0)),"B","S"))))</f>
        <v/>
      </c>
      <c r="S321">
        <f>IF(Q321="","",IFERROR(MATCH(Q321,$P$4:$P$2003,0),""))</f>
        <v/>
      </c>
    </row>
    <row r="322">
      <c r="A322" s="4">
        <f>IF($R322="","",IF($R322="T","Gesamtergebnis",IF($R322="B",INDEX($M$4:$M$2003,$S322),INDEX($L$4:$L$2003,$S322))))</f>
        <v/>
      </c>
      <c r="B322" s="4">
        <f>IF($R322="","",IF($R322="T",$K$3,IF($R322="B",COUNTIFS($M$4:$M$2003,INDEX($M$4:$M$2003,$S322),$N$4:$N$2003,1),1)))</f>
        <v/>
      </c>
      <c r="L322">
        <f>IF($K$1="","",IFERROR(INDEX(Lines!$A:$AA,ROW()-2,$K$1),""))</f>
        <v/>
      </c>
      <c r="M322">
        <f>IF($K$2="","",IFERROR(INDEX(Lines!$A:$AA,ROW()-2,$K$2),""))</f>
        <v/>
      </c>
      <c r="N322">
        <f>IF(AND(L322&lt;&gt;"",LEFT(L322,1)="N",M322&lt;&gt;"PICKING",M322&lt;&gt;""),1,0)</f>
        <v/>
      </c>
      <c r="O322">
        <f>IF(N322=1,M322&amp;"|"&amp;L322,REPT("z",40))</f>
        <v/>
      </c>
      <c r="P322">
        <f>IF(N322=1,COUNTIF($O$4:$O$2003,"&lt;"&amp;O322)+1,"")</f>
        <v/>
      </c>
      <c r="Q322">
        <f>IF(OR($R321="",$R321="T"),"",IF($R321="B",$Q321,IF($Q321+1&gt;$K$3,"",$Q321+1)))</f>
        <v/>
      </c>
      <c r="R322">
        <f>IF(OR($R321="",$R321="T"),"",IF($R321="B","S",IF($Q321+1&gt;$K$3,"T",IF(INDEX($M$4:$M$2003,MATCH($Q321+1,$P$4:$P$2003,0))&lt;&gt;INDEX($M$4:$M$2003,MATCH($Q321,$P$4:$P$2003,0)),"B","S"))))</f>
        <v/>
      </c>
      <c r="S322">
        <f>IF(Q322="","",IFERROR(MATCH(Q322,$P$4:$P$2003,0),""))</f>
        <v/>
      </c>
    </row>
    <row r="323">
      <c r="A323" s="4">
        <f>IF($R323="","",IF($R323="T","Gesamtergebnis",IF($R323="B",INDEX($M$4:$M$2003,$S323),INDEX($L$4:$L$2003,$S323))))</f>
        <v/>
      </c>
      <c r="B323" s="4">
        <f>IF($R323="","",IF($R323="T",$K$3,IF($R323="B",COUNTIFS($M$4:$M$2003,INDEX($M$4:$M$2003,$S323),$N$4:$N$2003,1),1)))</f>
        <v/>
      </c>
      <c r="L323">
        <f>IF($K$1="","",IFERROR(INDEX(Lines!$A:$AA,ROW()-2,$K$1),""))</f>
        <v/>
      </c>
      <c r="M323">
        <f>IF($K$2="","",IFERROR(INDEX(Lines!$A:$AA,ROW()-2,$K$2),""))</f>
        <v/>
      </c>
      <c r="N323">
        <f>IF(AND(L323&lt;&gt;"",LEFT(L323,1)="N",M323&lt;&gt;"PICKING",M323&lt;&gt;""),1,0)</f>
        <v/>
      </c>
      <c r="O323">
        <f>IF(N323=1,M323&amp;"|"&amp;L323,REPT("z",40))</f>
        <v/>
      </c>
      <c r="P323">
        <f>IF(N323=1,COUNTIF($O$4:$O$2003,"&lt;"&amp;O323)+1,"")</f>
        <v/>
      </c>
      <c r="Q323">
        <f>IF(OR($R322="",$R322="T"),"",IF($R322="B",$Q322,IF($Q322+1&gt;$K$3,"",$Q322+1)))</f>
        <v/>
      </c>
      <c r="R323">
        <f>IF(OR($R322="",$R322="T"),"",IF($R322="B","S",IF($Q322+1&gt;$K$3,"T",IF(INDEX($M$4:$M$2003,MATCH($Q322+1,$P$4:$P$2003,0))&lt;&gt;INDEX($M$4:$M$2003,MATCH($Q322,$P$4:$P$2003,0)),"B","S"))))</f>
        <v/>
      </c>
      <c r="S323">
        <f>IF(Q323="","",IFERROR(MATCH(Q323,$P$4:$P$2003,0),""))</f>
        <v/>
      </c>
    </row>
    <row r="324">
      <c r="A324" s="4">
        <f>IF($R324="","",IF($R324="T","Gesamtergebnis",IF($R324="B",INDEX($M$4:$M$2003,$S324),INDEX($L$4:$L$2003,$S324))))</f>
        <v/>
      </c>
      <c r="B324" s="4">
        <f>IF($R324="","",IF($R324="T",$K$3,IF($R324="B",COUNTIFS($M$4:$M$2003,INDEX($M$4:$M$2003,$S324),$N$4:$N$2003,1),1)))</f>
        <v/>
      </c>
      <c r="L324">
        <f>IF($K$1="","",IFERROR(INDEX(Lines!$A:$AA,ROW()-2,$K$1),""))</f>
        <v/>
      </c>
      <c r="M324">
        <f>IF($K$2="","",IFERROR(INDEX(Lines!$A:$AA,ROW()-2,$K$2),""))</f>
        <v/>
      </c>
      <c r="N324">
        <f>IF(AND(L324&lt;&gt;"",LEFT(L324,1)="N",M324&lt;&gt;"PICKING",M324&lt;&gt;""),1,0)</f>
        <v/>
      </c>
      <c r="O324">
        <f>IF(N324=1,M324&amp;"|"&amp;L324,REPT("z",40))</f>
        <v/>
      </c>
      <c r="P324">
        <f>IF(N324=1,COUNTIF($O$4:$O$2003,"&lt;"&amp;O324)+1,"")</f>
        <v/>
      </c>
      <c r="Q324">
        <f>IF(OR($R323="",$R323="T"),"",IF($R323="B",$Q323,IF($Q323+1&gt;$K$3,"",$Q323+1)))</f>
        <v/>
      </c>
      <c r="R324">
        <f>IF(OR($R323="",$R323="T"),"",IF($R323="B","S",IF($Q323+1&gt;$K$3,"T",IF(INDEX($M$4:$M$2003,MATCH($Q323+1,$P$4:$P$2003,0))&lt;&gt;INDEX($M$4:$M$2003,MATCH($Q323,$P$4:$P$2003,0)),"B","S"))))</f>
        <v/>
      </c>
      <c r="S324">
        <f>IF(Q324="","",IFERROR(MATCH(Q324,$P$4:$P$2003,0),""))</f>
        <v/>
      </c>
    </row>
    <row r="325">
      <c r="A325" s="4">
        <f>IF($R325="","",IF($R325="T","Gesamtergebnis",IF($R325="B",INDEX($M$4:$M$2003,$S325),INDEX($L$4:$L$2003,$S325))))</f>
        <v/>
      </c>
      <c r="B325" s="4">
        <f>IF($R325="","",IF($R325="T",$K$3,IF($R325="B",COUNTIFS($M$4:$M$2003,INDEX($M$4:$M$2003,$S325),$N$4:$N$2003,1),1)))</f>
        <v/>
      </c>
      <c r="L325">
        <f>IF($K$1="","",IFERROR(INDEX(Lines!$A:$AA,ROW()-2,$K$1),""))</f>
        <v/>
      </c>
      <c r="M325">
        <f>IF($K$2="","",IFERROR(INDEX(Lines!$A:$AA,ROW()-2,$K$2),""))</f>
        <v/>
      </c>
      <c r="N325">
        <f>IF(AND(L325&lt;&gt;"",LEFT(L325,1)="N",M325&lt;&gt;"PICKING",M325&lt;&gt;""),1,0)</f>
        <v/>
      </c>
      <c r="O325">
        <f>IF(N325=1,M325&amp;"|"&amp;L325,REPT("z",40))</f>
        <v/>
      </c>
      <c r="P325">
        <f>IF(N325=1,COUNTIF($O$4:$O$2003,"&lt;"&amp;O325)+1,"")</f>
        <v/>
      </c>
      <c r="Q325">
        <f>IF(OR($R324="",$R324="T"),"",IF($R324="B",$Q324,IF($Q324+1&gt;$K$3,"",$Q324+1)))</f>
        <v/>
      </c>
      <c r="R325">
        <f>IF(OR($R324="",$R324="T"),"",IF($R324="B","S",IF($Q324+1&gt;$K$3,"T",IF(INDEX($M$4:$M$2003,MATCH($Q324+1,$P$4:$P$2003,0))&lt;&gt;INDEX($M$4:$M$2003,MATCH($Q324,$P$4:$P$2003,0)),"B","S"))))</f>
        <v/>
      </c>
      <c r="S325">
        <f>IF(Q325="","",IFERROR(MATCH(Q325,$P$4:$P$2003,0),""))</f>
        <v/>
      </c>
    </row>
    <row r="326">
      <c r="A326" s="4">
        <f>IF($R326="","",IF($R326="T","Gesamtergebnis",IF($R326="B",INDEX($M$4:$M$2003,$S326),INDEX($L$4:$L$2003,$S326))))</f>
        <v/>
      </c>
      <c r="B326" s="4">
        <f>IF($R326="","",IF($R326="T",$K$3,IF($R326="B",COUNTIFS($M$4:$M$2003,INDEX($M$4:$M$2003,$S326),$N$4:$N$2003,1),1)))</f>
        <v/>
      </c>
      <c r="L326">
        <f>IF($K$1="","",IFERROR(INDEX(Lines!$A:$AA,ROW()-2,$K$1),""))</f>
        <v/>
      </c>
      <c r="M326">
        <f>IF($K$2="","",IFERROR(INDEX(Lines!$A:$AA,ROW()-2,$K$2),""))</f>
        <v/>
      </c>
      <c r="N326">
        <f>IF(AND(L326&lt;&gt;"",LEFT(L326,1)="N",M326&lt;&gt;"PICKING",M326&lt;&gt;""),1,0)</f>
        <v/>
      </c>
      <c r="O326">
        <f>IF(N326=1,M326&amp;"|"&amp;L326,REPT("z",40))</f>
        <v/>
      </c>
      <c r="P326">
        <f>IF(N326=1,COUNTIF($O$4:$O$2003,"&lt;"&amp;O326)+1,"")</f>
        <v/>
      </c>
      <c r="Q326">
        <f>IF(OR($R325="",$R325="T"),"",IF($R325="B",$Q325,IF($Q325+1&gt;$K$3,"",$Q325+1)))</f>
        <v/>
      </c>
      <c r="R326">
        <f>IF(OR($R325="",$R325="T"),"",IF($R325="B","S",IF($Q325+1&gt;$K$3,"T",IF(INDEX($M$4:$M$2003,MATCH($Q325+1,$P$4:$P$2003,0))&lt;&gt;INDEX($M$4:$M$2003,MATCH($Q325,$P$4:$P$2003,0)),"B","S"))))</f>
        <v/>
      </c>
      <c r="S326">
        <f>IF(Q326="","",IFERROR(MATCH(Q326,$P$4:$P$2003,0),""))</f>
        <v/>
      </c>
    </row>
    <row r="327">
      <c r="A327" s="4">
        <f>IF($R327="","",IF($R327="T","Gesamtergebnis",IF($R327="B",INDEX($M$4:$M$2003,$S327),INDEX($L$4:$L$2003,$S327))))</f>
        <v/>
      </c>
      <c r="B327" s="4">
        <f>IF($R327="","",IF($R327="T",$K$3,IF($R327="B",COUNTIFS($M$4:$M$2003,INDEX($M$4:$M$2003,$S327),$N$4:$N$2003,1),1)))</f>
        <v/>
      </c>
      <c r="L327">
        <f>IF($K$1="","",IFERROR(INDEX(Lines!$A:$AA,ROW()-2,$K$1),""))</f>
        <v/>
      </c>
      <c r="M327">
        <f>IF($K$2="","",IFERROR(INDEX(Lines!$A:$AA,ROW()-2,$K$2),""))</f>
        <v/>
      </c>
      <c r="N327">
        <f>IF(AND(L327&lt;&gt;"",LEFT(L327,1)="N",M327&lt;&gt;"PICKING",M327&lt;&gt;""),1,0)</f>
        <v/>
      </c>
      <c r="O327">
        <f>IF(N327=1,M327&amp;"|"&amp;L327,REPT("z",40))</f>
        <v/>
      </c>
      <c r="P327">
        <f>IF(N327=1,COUNTIF($O$4:$O$2003,"&lt;"&amp;O327)+1,"")</f>
        <v/>
      </c>
      <c r="Q327">
        <f>IF(OR($R326="",$R326="T"),"",IF($R326="B",$Q326,IF($Q326+1&gt;$K$3,"",$Q326+1)))</f>
        <v/>
      </c>
      <c r="R327">
        <f>IF(OR($R326="",$R326="T"),"",IF($R326="B","S",IF($Q326+1&gt;$K$3,"T",IF(INDEX($M$4:$M$2003,MATCH($Q326+1,$P$4:$P$2003,0))&lt;&gt;INDEX($M$4:$M$2003,MATCH($Q326,$P$4:$P$2003,0)),"B","S"))))</f>
        <v/>
      </c>
      <c r="S327">
        <f>IF(Q327="","",IFERROR(MATCH(Q327,$P$4:$P$2003,0),""))</f>
        <v/>
      </c>
    </row>
    <row r="328">
      <c r="A328" s="4">
        <f>IF($R328="","",IF($R328="T","Gesamtergebnis",IF($R328="B",INDEX($M$4:$M$2003,$S328),INDEX($L$4:$L$2003,$S328))))</f>
        <v/>
      </c>
      <c r="B328" s="4">
        <f>IF($R328="","",IF($R328="T",$K$3,IF($R328="B",COUNTIFS($M$4:$M$2003,INDEX($M$4:$M$2003,$S328),$N$4:$N$2003,1),1)))</f>
        <v/>
      </c>
      <c r="L328">
        <f>IF($K$1="","",IFERROR(INDEX(Lines!$A:$AA,ROW()-2,$K$1),""))</f>
        <v/>
      </c>
      <c r="M328">
        <f>IF($K$2="","",IFERROR(INDEX(Lines!$A:$AA,ROW()-2,$K$2),""))</f>
        <v/>
      </c>
      <c r="N328">
        <f>IF(AND(L328&lt;&gt;"",LEFT(L328,1)="N",M328&lt;&gt;"PICKING",M328&lt;&gt;""),1,0)</f>
        <v/>
      </c>
      <c r="O328">
        <f>IF(N328=1,M328&amp;"|"&amp;L328,REPT("z",40))</f>
        <v/>
      </c>
      <c r="P328">
        <f>IF(N328=1,COUNTIF($O$4:$O$2003,"&lt;"&amp;O328)+1,"")</f>
        <v/>
      </c>
      <c r="Q328">
        <f>IF(OR($R327="",$R327="T"),"",IF($R327="B",$Q327,IF($Q327+1&gt;$K$3,"",$Q327+1)))</f>
        <v/>
      </c>
      <c r="R328">
        <f>IF(OR($R327="",$R327="T"),"",IF($R327="B","S",IF($Q327+1&gt;$K$3,"T",IF(INDEX($M$4:$M$2003,MATCH($Q327+1,$P$4:$P$2003,0))&lt;&gt;INDEX($M$4:$M$2003,MATCH($Q327,$P$4:$P$2003,0)),"B","S"))))</f>
        <v/>
      </c>
      <c r="S328">
        <f>IF(Q328="","",IFERROR(MATCH(Q328,$P$4:$P$2003,0),""))</f>
        <v/>
      </c>
    </row>
    <row r="329">
      <c r="A329" s="4">
        <f>IF($R329="","",IF($R329="T","Gesamtergebnis",IF($R329="B",INDEX($M$4:$M$2003,$S329),INDEX($L$4:$L$2003,$S329))))</f>
        <v/>
      </c>
      <c r="B329" s="4">
        <f>IF($R329="","",IF($R329="T",$K$3,IF($R329="B",COUNTIFS($M$4:$M$2003,INDEX($M$4:$M$2003,$S329),$N$4:$N$2003,1),1)))</f>
        <v/>
      </c>
      <c r="L329">
        <f>IF($K$1="","",IFERROR(INDEX(Lines!$A:$AA,ROW()-2,$K$1),""))</f>
        <v/>
      </c>
      <c r="M329">
        <f>IF($K$2="","",IFERROR(INDEX(Lines!$A:$AA,ROW()-2,$K$2),""))</f>
        <v/>
      </c>
      <c r="N329">
        <f>IF(AND(L329&lt;&gt;"",LEFT(L329,1)="N",M329&lt;&gt;"PICKING",M329&lt;&gt;""),1,0)</f>
        <v/>
      </c>
      <c r="O329">
        <f>IF(N329=1,M329&amp;"|"&amp;L329,REPT("z",40))</f>
        <v/>
      </c>
      <c r="P329">
        <f>IF(N329=1,COUNTIF($O$4:$O$2003,"&lt;"&amp;O329)+1,"")</f>
        <v/>
      </c>
      <c r="Q329">
        <f>IF(OR($R328="",$R328="T"),"",IF($R328="B",$Q328,IF($Q328+1&gt;$K$3,"",$Q328+1)))</f>
        <v/>
      </c>
      <c r="R329">
        <f>IF(OR($R328="",$R328="T"),"",IF($R328="B","S",IF($Q328+1&gt;$K$3,"T",IF(INDEX($M$4:$M$2003,MATCH($Q328+1,$P$4:$P$2003,0))&lt;&gt;INDEX($M$4:$M$2003,MATCH($Q328,$P$4:$P$2003,0)),"B","S"))))</f>
        <v/>
      </c>
      <c r="S329">
        <f>IF(Q329="","",IFERROR(MATCH(Q329,$P$4:$P$2003,0),""))</f>
        <v/>
      </c>
    </row>
    <row r="330">
      <c r="A330" s="4">
        <f>IF($R330="","",IF($R330="T","Gesamtergebnis",IF($R330="B",INDEX($M$4:$M$2003,$S330),INDEX($L$4:$L$2003,$S330))))</f>
        <v/>
      </c>
      <c r="B330" s="4">
        <f>IF($R330="","",IF($R330="T",$K$3,IF($R330="B",COUNTIFS($M$4:$M$2003,INDEX($M$4:$M$2003,$S330),$N$4:$N$2003,1),1)))</f>
        <v/>
      </c>
      <c r="L330">
        <f>IF($K$1="","",IFERROR(INDEX(Lines!$A:$AA,ROW()-2,$K$1),""))</f>
        <v/>
      </c>
      <c r="M330">
        <f>IF($K$2="","",IFERROR(INDEX(Lines!$A:$AA,ROW()-2,$K$2),""))</f>
        <v/>
      </c>
      <c r="N330">
        <f>IF(AND(L330&lt;&gt;"",LEFT(L330,1)="N",M330&lt;&gt;"PICKING",M330&lt;&gt;""),1,0)</f>
        <v/>
      </c>
      <c r="O330">
        <f>IF(N330=1,M330&amp;"|"&amp;L330,REPT("z",40))</f>
        <v/>
      </c>
      <c r="P330">
        <f>IF(N330=1,COUNTIF($O$4:$O$2003,"&lt;"&amp;O330)+1,"")</f>
        <v/>
      </c>
      <c r="Q330">
        <f>IF(OR($R329="",$R329="T"),"",IF($R329="B",$Q329,IF($Q329+1&gt;$K$3,"",$Q329+1)))</f>
        <v/>
      </c>
      <c r="R330">
        <f>IF(OR($R329="",$R329="T"),"",IF($R329="B","S",IF($Q329+1&gt;$K$3,"T",IF(INDEX($M$4:$M$2003,MATCH($Q329+1,$P$4:$P$2003,0))&lt;&gt;INDEX($M$4:$M$2003,MATCH($Q329,$P$4:$P$2003,0)),"B","S"))))</f>
        <v/>
      </c>
      <c r="S330">
        <f>IF(Q330="","",IFERROR(MATCH(Q330,$P$4:$P$2003,0),""))</f>
        <v/>
      </c>
    </row>
    <row r="331">
      <c r="A331" s="4">
        <f>IF($R331="","",IF($R331="T","Gesamtergebnis",IF($R331="B",INDEX($M$4:$M$2003,$S331),INDEX($L$4:$L$2003,$S331))))</f>
        <v/>
      </c>
      <c r="B331" s="4">
        <f>IF($R331="","",IF($R331="T",$K$3,IF($R331="B",COUNTIFS($M$4:$M$2003,INDEX($M$4:$M$2003,$S331),$N$4:$N$2003,1),1)))</f>
        <v/>
      </c>
      <c r="L331">
        <f>IF($K$1="","",IFERROR(INDEX(Lines!$A:$AA,ROW()-2,$K$1),""))</f>
        <v/>
      </c>
      <c r="M331">
        <f>IF($K$2="","",IFERROR(INDEX(Lines!$A:$AA,ROW()-2,$K$2),""))</f>
        <v/>
      </c>
      <c r="N331">
        <f>IF(AND(L331&lt;&gt;"",LEFT(L331,1)="N",M331&lt;&gt;"PICKING",M331&lt;&gt;""),1,0)</f>
        <v/>
      </c>
      <c r="O331">
        <f>IF(N331=1,M331&amp;"|"&amp;L331,REPT("z",40))</f>
        <v/>
      </c>
      <c r="P331">
        <f>IF(N331=1,COUNTIF($O$4:$O$2003,"&lt;"&amp;O331)+1,"")</f>
        <v/>
      </c>
      <c r="Q331">
        <f>IF(OR($R330="",$R330="T"),"",IF($R330="B",$Q330,IF($Q330+1&gt;$K$3,"",$Q330+1)))</f>
        <v/>
      </c>
      <c r="R331">
        <f>IF(OR($R330="",$R330="T"),"",IF($R330="B","S",IF($Q330+1&gt;$K$3,"T",IF(INDEX($M$4:$M$2003,MATCH($Q330+1,$P$4:$P$2003,0))&lt;&gt;INDEX($M$4:$M$2003,MATCH($Q330,$P$4:$P$2003,0)),"B","S"))))</f>
        <v/>
      </c>
      <c r="S331">
        <f>IF(Q331="","",IFERROR(MATCH(Q331,$P$4:$P$2003,0),""))</f>
        <v/>
      </c>
    </row>
    <row r="332">
      <c r="A332" s="4">
        <f>IF($R332="","",IF($R332="T","Gesamtergebnis",IF($R332="B",INDEX($M$4:$M$2003,$S332),INDEX($L$4:$L$2003,$S332))))</f>
        <v/>
      </c>
      <c r="B332" s="4">
        <f>IF($R332="","",IF($R332="T",$K$3,IF($R332="B",COUNTIFS($M$4:$M$2003,INDEX($M$4:$M$2003,$S332),$N$4:$N$2003,1),1)))</f>
        <v/>
      </c>
      <c r="L332">
        <f>IF($K$1="","",IFERROR(INDEX(Lines!$A:$AA,ROW()-2,$K$1),""))</f>
        <v/>
      </c>
      <c r="M332">
        <f>IF($K$2="","",IFERROR(INDEX(Lines!$A:$AA,ROW()-2,$K$2),""))</f>
        <v/>
      </c>
      <c r="N332">
        <f>IF(AND(L332&lt;&gt;"",LEFT(L332,1)="N",M332&lt;&gt;"PICKING",M332&lt;&gt;""),1,0)</f>
        <v/>
      </c>
      <c r="O332">
        <f>IF(N332=1,M332&amp;"|"&amp;L332,REPT("z",40))</f>
        <v/>
      </c>
      <c r="P332">
        <f>IF(N332=1,COUNTIF($O$4:$O$2003,"&lt;"&amp;O332)+1,"")</f>
        <v/>
      </c>
      <c r="Q332">
        <f>IF(OR($R331="",$R331="T"),"",IF($R331="B",$Q331,IF($Q331+1&gt;$K$3,"",$Q331+1)))</f>
        <v/>
      </c>
      <c r="R332">
        <f>IF(OR($R331="",$R331="T"),"",IF($R331="B","S",IF($Q331+1&gt;$K$3,"T",IF(INDEX($M$4:$M$2003,MATCH($Q331+1,$P$4:$P$2003,0))&lt;&gt;INDEX($M$4:$M$2003,MATCH($Q331,$P$4:$P$2003,0)),"B","S"))))</f>
        <v/>
      </c>
      <c r="S332">
        <f>IF(Q332="","",IFERROR(MATCH(Q332,$P$4:$P$2003,0),""))</f>
        <v/>
      </c>
    </row>
    <row r="333">
      <c r="A333" s="4">
        <f>IF($R333="","",IF($R333="T","Gesamtergebnis",IF($R333="B",INDEX($M$4:$M$2003,$S333),INDEX($L$4:$L$2003,$S333))))</f>
        <v/>
      </c>
      <c r="B333" s="4">
        <f>IF($R333="","",IF($R333="T",$K$3,IF($R333="B",COUNTIFS($M$4:$M$2003,INDEX($M$4:$M$2003,$S333),$N$4:$N$2003,1),1)))</f>
        <v/>
      </c>
      <c r="L333">
        <f>IF($K$1="","",IFERROR(INDEX(Lines!$A:$AA,ROW()-2,$K$1),""))</f>
        <v/>
      </c>
      <c r="M333">
        <f>IF($K$2="","",IFERROR(INDEX(Lines!$A:$AA,ROW()-2,$K$2),""))</f>
        <v/>
      </c>
      <c r="N333">
        <f>IF(AND(L333&lt;&gt;"",LEFT(L333,1)="N",M333&lt;&gt;"PICKING",M333&lt;&gt;""),1,0)</f>
        <v/>
      </c>
      <c r="O333">
        <f>IF(N333=1,M333&amp;"|"&amp;L333,REPT("z",40))</f>
        <v/>
      </c>
      <c r="P333">
        <f>IF(N333=1,COUNTIF($O$4:$O$2003,"&lt;"&amp;O333)+1,"")</f>
        <v/>
      </c>
      <c r="Q333">
        <f>IF(OR($R332="",$R332="T"),"",IF($R332="B",$Q332,IF($Q332+1&gt;$K$3,"",$Q332+1)))</f>
        <v/>
      </c>
      <c r="R333">
        <f>IF(OR($R332="",$R332="T"),"",IF($R332="B","S",IF($Q332+1&gt;$K$3,"T",IF(INDEX($M$4:$M$2003,MATCH($Q332+1,$P$4:$P$2003,0))&lt;&gt;INDEX($M$4:$M$2003,MATCH($Q332,$P$4:$P$2003,0)),"B","S"))))</f>
        <v/>
      </c>
      <c r="S333">
        <f>IF(Q333="","",IFERROR(MATCH(Q333,$P$4:$P$2003,0),""))</f>
        <v/>
      </c>
    </row>
    <row r="334">
      <c r="A334" s="4">
        <f>IF($R334="","",IF($R334="T","Gesamtergebnis",IF($R334="B",INDEX($M$4:$M$2003,$S334),INDEX($L$4:$L$2003,$S334))))</f>
        <v/>
      </c>
      <c r="B334" s="4">
        <f>IF($R334="","",IF($R334="T",$K$3,IF($R334="B",COUNTIFS($M$4:$M$2003,INDEX($M$4:$M$2003,$S334),$N$4:$N$2003,1),1)))</f>
        <v/>
      </c>
      <c r="L334">
        <f>IF($K$1="","",IFERROR(INDEX(Lines!$A:$AA,ROW()-2,$K$1),""))</f>
        <v/>
      </c>
      <c r="M334">
        <f>IF($K$2="","",IFERROR(INDEX(Lines!$A:$AA,ROW()-2,$K$2),""))</f>
        <v/>
      </c>
      <c r="N334">
        <f>IF(AND(L334&lt;&gt;"",LEFT(L334,1)="N",M334&lt;&gt;"PICKING",M334&lt;&gt;""),1,0)</f>
        <v/>
      </c>
      <c r="O334">
        <f>IF(N334=1,M334&amp;"|"&amp;L334,REPT("z",40))</f>
        <v/>
      </c>
      <c r="P334">
        <f>IF(N334=1,COUNTIF($O$4:$O$2003,"&lt;"&amp;O334)+1,"")</f>
        <v/>
      </c>
      <c r="Q334">
        <f>IF(OR($R333="",$R333="T"),"",IF($R333="B",$Q333,IF($Q333+1&gt;$K$3,"",$Q333+1)))</f>
        <v/>
      </c>
      <c r="R334">
        <f>IF(OR($R333="",$R333="T"),"",IF($R333="B","S",IF($Q333+1&gt;$K$3,"T",IF(INDEX($M$4:$M$2003,MATCH($Q333+1,$P$4:$P$2003,0))&lt;&gt;INDEX($M$4:$M$2003,MATCH($Q333,$P$4:$P$2003,0)),"B","S"))))</f>
        <v/>
      </c>
      <c r="S334">
        <f>IF(Q334="","",IFERROR(MATCH(Q334,$P$4:$P$2003,0),""))</f>
        <v/>
      </c>
    </row>
    <row r="335">
      <c r="A335" s="4">
        <f>IF($R335="","",IF($R335="T","Gesamtergebnis",IF($R335="B",INDEX($M$4:$M$2003,$S335),INDEX($L$4:$L$2003,$S335))))</f>
        <v/>
      </c>
      <c r="B335" s="4">
        <f>IF($R335="","",IF($R335="T",$K$3,IF($R335="B",COUNTIFS($M$4:$M$2003,INDEX($M$4:$M$2003,$S335),$N$4:$N$2003,1),1)))</f>
        <v/>
      </c>
      <c r="L335">
        <f>IF($K$1="","",IFERROR(INDEX(Lines!$A:$AA,ROW()-2,$K$1),""))</f>
        <v/>
      </c>
      <c r="M335">
        <f>IF($K$2="","",IFERROR(INDEX(Lines!$A:$AA,ROW()-2,$K$2),""))</f>
        <v/>
      </c>
      <c r="N335">
        <f>IF(AND(L335&lt;&gt;"",LEFT(L335,1)="N",M335&lt;&gt;"PICKING",M335&lt;&gt;""),1,0)</f>
        <v/>
      </c>
      <c r="O335">
        <f>IF(N335=1,M335&amp;"|"&amp;L335,REPT("z",40))</f>
        <v/>
      </c>
      <c r="P335">
        <f>IF(N335=1,COUNTIF($O$4:$O$2003,"&lt;"&amp;O335)+1,"")</f>
        <v/>
      </c>
      <c r="Q335">
        <f>IF(OR($R334="",$R334="T"),"",IF($R334="B",$Q334,IF($Q334+1&gt;$K$3,"",$Q334+1)))</f>
        <v/>
      </c>
      <c r="R335">
        <f>IF(OR($R334="",$R334="T"),"",IF($R334="B","S",IF($Q334+1&gt;$K$3,"T",IF(INDEX($M$4:$M$2003,MATCH($Q334+1,$P$4:$P$2003,0))&lt;&gt;INDEX($M$4:$M$2003,MATCH($Q334,$P$4:$P$2003,0)),"B","S"))))</f>
        <v/>
      </c>
      <c r="S335">
        <f>IF(Q335="","",IFERROR(MATCH(Q335,$P$4:$P$2003,0),""))</f>
        <v/>
      </c>
    </row>
    <row r="336">
      <c r="A336" s="4">
        <f>IF($R336="","",IF($R336="T","Gesamtergebnis",IF($R336="B",INDEX($M$4:$M$2003,$S336),INDEX($L$4:$L$2003,$S336))))</f>
        <v/>
      </c>
      <c r="B336" s="4">
        <f>IF($R336="","",IF($R336="T",$K$3,IF($R336="B",COUNTIFS($M$4:$M$2003,INDEX($M$4:$M$2003,$S336),$N$4:$N$2003,1),1)))</f>
        <v/>
      </c>
      <c r="L336">
        <f>IF($K$1="","",IFERROR(INDEX(Lines!$A:$AA,ROW()-2,$K$1),""))</f>
        <v/>
      </c>
      <c r="M336">
        <f>IF($K$2="","",IFERROR(INDEX(Lines!$A:$AA,ROW()-2,$K$2),""))</f>
        <v/>
      </c>
      <c r="N336">
        <f>IF(AND(L336&lt;&gt;"",LEFT(L336,1)="N",M336&lt;&gt;"PICKING",M336&lt;&gt;""),1,0)</f>
        <v/>
      </c>
      <c r="O336">
        <f>IF(N336=1,M336&amp;"|"&amp;L336,REPT("z",40))</f>
        <v/>
      </c>
      <c r="P336">
        <f>IF(N336=1,COUNTIF($O$4:$O$2003,"&lt;"&amp;O336)+1,"")</f>
        <v/>
      </c>
      <c r="Q336">
        <f>IF(OR($R335="",$R335="T"),"",IF($R335="B",$Q335,IF($Q335+1&gt;$K$3,"",$Q335+1)))</f>
        <v/>
      </c>
      <c r="R336">
        <f>IF(OR($R335="",$R335="T"),"",IF($R335="B","S",IF($Q335+1&gt;$K$3,"T",IF(INDEX($M$4:$M$2003,MATCH($Q335+1,$P$4:$P$2003,0))&lt;&gt;INDEX($M$4:$M$2003,MATCH($Q335,$P$4:$P$2003,0)),"B","S"))))</f>
        <v/>
      </c>
      <c r="S336">
        <f>IF(Q336="","",IFERROR(MATCH(Q336,$P$4:$P$2003,0),""))</f>
        <v/>
      </c>
    </row>
    <row r="337">
      <c r="A337" s="4">
        <f>IF($R337="","",IF($R337="T","Gesamtergebnis",IF($R337="B",INDEX($M$4:$M$2003,$S337),INDEX($L$4:$L$2003,$S337))))</f>
        <v/>
      </c>
      <c r="B337" s="4">
        <f>IF($R337="","",IF($R337="T",$K$3,IF($R337="B",COUNTIFS($M$4:$M$2003,INDEX($M$4:$M$2003,$S337),$N$4:$N$2003,1),1)))</f>
        <v/>
      </c>
      <c r="L337">
        <f>IF($K$1="","",IFERROR(INDEX(Lines!$A:$AA,ROW()-2,$K$1),""))</f>
        <v/>
      </c>
      <c r="M337">
        <f>IF($K$2="","",IFERROR(INDEX(Lines!$A:$AA,ROW()-2,$K$2),""))</f>
        <v/>
      </c>
      <c r="N337">
        <f>IF(AND(L337&lt;&gt;"",LEFT(L337,1)="N",M337&lt;&gt;"PICKING",M337&lt;&gt;""),1,0)</f>
        <v/>
      </c>
      <c r="O337">
        <f>IF(N337=1,M337&amp;"|"&amp;L337,REPT("z",40))</f>
        <v/>
      </c>
      <c r="P337">
        <f>IF(N337=1,COUNTIF($O$4:$O$2003,"&lt;"&amp;O337)+1,"")</f>
        <v/>
      </c>
      <c r="Q337">
        <f>IF(OR($R336="",$R336="T"),"",IF($R336="B",$Q336,IF($Q336+1&gt;$K$3,"",$Q336+1)))</f>
        <v/>
      </c>
      <c r="R337">
        <f>IF(OR($R336="",$R336="T"),"",IF($R336="B","S",IF($Q336+1&gt;$K$3,"T",IF(INDEX($M$4:$M$2003,MATCH($Q336+1,$P$4:$P$2003,0))&lt;&gt;INDEX($M$4:$M$2003,MATCH($Q336,$P$4:$P$2003,0)),"B","S"))))</f>
        <v/>
      </c>
      <c r="S337">
        <f>IF(Q337="","",IFERROR(MATCH(Q337,$P$4:$P$2003,0),""))</f>
        <v/>
      </c>
    </row>
    <row r="338">
      <c r="A338" s="4">
        <f>IF($R338="","",IF($R338="T","Gesamtergebnis",IF($R338="B",INDEX($M$4:$M$2003,$S338),INDEX($L$4:$L$2003,$S338))))</f>
        <v/>
      </c>
      <c r="B338" s="4">
        <f>IF($R338="","",IF($R338="T",$K$3,IF($R338="B",COUNTIFS($M$4:$M$2003,INDEX($M$4:$M$2003,$S338),$N$4:$N$2003,1),1)))</f>
        <v/>
      </c>
      <c r="L338">
        <f>IF($K$1="","",IFERROR(INDEX(Lines!$A:$AA,ROW()-2,$K$1),""))</f>
        <v/>
      </c>
      <c r="M338">
        <f>IF($K$2="","",IFERROR(INDEX(Lines!$A:$AA,ROW()-2,$K$2),""))</f>
        <v/>
      </c>
      <c r="N338">
        <f>IF(AND(L338&lt;&gt;"",LEFT(L338,1)="N",M338&lt;&gt;"PICKING",M338&lt;&gt;""),1,0)</f>
        <v/>
      </c>
      <c r="O338">
        <f>IF(N338=1,M338&amp;"|"&amp;L338,REPT("z",40))</f>
        <v/>
      </c>
      <c r="P338">
        <f>IF(N338=1,COUNTIF($O$4:$O$2003,"&lt;"&amp;O338)+1,"")</f>
        <v/>
      </c>
      <c r="Q338">
        <f>IF(OR($R337="",$R337="T"),"",IF($R337="B",$Q337,IF($Q337+1&gt;$K$3,"",$Q337+1)))</f>
        <v/>
      </c>
      <c r="R338">
        <f>IF(OR($R337="",$R337="T"),"",IF($R337="B","S",IF($Q337+1&gt;$K$3,"T",IF(INDEX($M$4:$M$2003,MATCH($Q337+1,$P$4:$P$2003,0))&lt;&gt;INDEX($M$4:$M$2003,MATCH($Q337,$P$4:$P$2003,0)),"B","S"))))</f>
        <v/>
      </c>
      <c r="S338">
        <f>IF(Q338="","",IFERROR(MATCH(Q338,$P$4:$P$2003,0),""))</f>
        <v/>
      </c>
    </row>
    <row r="339">
      <c r="A339" s="4">
        <f>IF($R339="","",IF($R339="T","Gesamtergebnis",IF($R339="B",INDEX($M$4:$M$2003,$S339),INDEX($L$4:$L$2003,$S339))))</f>
        <v/>
      </c>
      <c r="B339" s="4">
        <f>IF($R339="","",IF($R339="T",$K$3,IF($R339="B",COUNTIFS($M$4:$M$2003,INDEX($M$4:$M$2003,$S339),$N$4:$N$2003,1),1)))</f>
        <v/>
      </c>
      <c r="L339">
        <f>IF($K$1="","",IFERROR(INDEX(Lines!$A:$AA,ROW()-2,$K$1),""))</f>
        <v/>
      </c>
      <c r="M339">
        <f>IF($K$2="","",IFERROR(INDEX(Lines!$A:$AA,ROW()-2,$K$2),""))</f>
        <v/>
      </c>
      <c r="N339">
        <f>IF(AND(L339&lt;&gt;"",LEFT(L339,1)="N",M339&lt;&gt;"PICKING",M339&lt;&gt;""),1,0)</f>
        <v/>
      </c>
      <c r="O339">
        <f>IF(N339=1,M339&amp;"|"&amp;L339,REPT("z",40))</f>
        <v/>
      </c>
      <c r="P339">
        <f>IF(N339=1,COUNTIF($O$4:$O$2003,"&lt;"&amp;O339)+1,"")</f>
        <v/>
      </c>
      <c r="Q339">
        <f>IF(OR($R338="",$R338="T"),"",IF($R338="B",$Q338,IF($Q338+1&gt;$K$3,"",$Q338+1)))</f>
        <v/>
      </c>
      <c r="R339">
        <f>IF(OR($R338="",$R338="T"),"",IF($R338="B","S",IF($Q338+1&gt;$K$3,"T",IF(INDEX($M$4:$M$2003,MATCH($Q338+1,$P$4:$P$2003,0))&lt;&gt;INDEX($M$4:$M$2003,MATCH($Q338,$P$4:$P$2003,0)),"B","S"))))</f>
        <v/>
      </c>
      <c r="S339">
        <f>IF(Q339="","",IFERROR(MATCH(Q339,$P$4:$P$2003,0),""))</f>
        <v/>
      </c>
    </row>
    <row r="340">
      <c r="A340" s="4">
        <f>IF($R340="","",IF($R340="T","Gesamtergebnis",IF($R340="B",INDEX($M$4:$M$2003,$S340),INDEX($L$4:$L$2003,$S340))))</f>
        <v/>
      </c>
      <c r="B340" s="4">
        <f>IF($R340="","",IF($R340="T",$K$3,IF($R340="B",COUNTIFS($M$4:$M$2003,INDEX($M$4:$M$2003,$S340),$N$4:$N$2003,1),1)))</f>
        <v/>
      </c>
      <c r="L340">
        <f>IF($K$1="","",IFERROR(INDEX(Lines!$A:$AA,ROW()-2,$K$1),""))</f>
        <v/>
      </c>
      <c r="M340">
        <f>IF($K$2="","",IFERROR(INDEX(Lines!$A:$AA,ROW()-2,$K$2),""))</f>
        <v/>
      </c>
      <c r="N340">
        <f>IF(AND(L340&lt;&gt;"",LEFT(L340,1)="N",M340&lt;&gt;"PICKING",M340&lt;&gt;""),1,0)</f>
        <v/>
      </c>
      <c r="O340">
        <f>IF(N340=1,M340&amp;"|"&amp;L340,REPT("z",40))</f>
        <v/>
      </c>
      <c r="P340">
        <f>IF(N340=1,COUNTIF($O$4:$O$2003,"&lt;"&amp;O340)+1,"")</f>
        <v/>
      </c>
      <c r="Q340">
        <f>IF(OR($R339="",$R339="T"),"",IF($R339="B",$Q339,IF($Q339+1&gt;$K$3,"",$Q339+1)))</f>
        <v/>
      </c>
      <c r="R340">
        <f>IF(OR($R339="",$R339="T"),"",IF($R339="B","S",IF($Q339+1&gt;$K$3,"T",IF(INDEX($M$4:$M$2003,MATCH($Q339+1,$P$4:$P$2003,0))&lt;&gt;INDEX($M$4:$M$2003,MATCH($Q339,$P$4:$P$2003,0)),"B","S"))))</f>
        <v/>
      </c>
      <c r="S340">
        <f>IF(Q340="","",IFERROR(MATCH(Q340,$P$4:$P$2003,0),""))</f>
        <v/>
      </c>
    </row>
    <row r="341">
      <c r="A341" s="4">
        <f>IF($R341="","",IF($R341="T","Gesamtergebnis",IF($R341="B",INDEX($M$4:$M$2003,$S341),INDEX($L$4:$L$2003,$S341))))</f>
        <v/>
      </c>
      <c r="B341" s="4">
        <f>IF($R341="","",IF($R341="T",$K$3,IF($R341="B",COUNTIFS($M$4:$M$2003,INDEX($M$4:$M$2003,$S341),$N$4:$N$2003,1),1)))</f>
        <v/>
      </c>
      <c r="L341">
        <f>IF($K$1="","",IFERROR(INDEX(Lines!$A:$AA,ROW()-2,$K$1),""))</f>
        <v/>
      </c>
      <c r="M341">
        <f>IF($K$2="","",IFERROR(INDEX(Lines!$A:$AA,ROW()-2,$K$2),""))</f>
        <v/>
      </c>
      <c r="N341">
        <f>IF(AND(L341&lt;&gt;"",LEFT(L341,1)="N",M341&lt;&gt;"PICKING",M341&lt;&gt;""),1,0)</f>
        <v/>
      </c>
      <c r="O341">
        <f>IF(N341=1,M341&amp;"|"&amp;L341,REPT("z",40))</f>
        <v/>
      </c>
      <c r="P341">
        <f>IF(N341=1,COUNTIF($O$4:$O$2003,"&lt;"&amp;O341)+1,"")</f>
        <v/>
      </c>
      <c r="Q341">
        <f>IF(OR($R340="",$R340="T"),"",IF($R340="B",$Q340,IF($Q340+1&gt;$K$3,"",$Q340+1)))</f>
        <v/>
      </c>
      <c r="R341">
        <f>IF(OR($R340="",$R340="T"),"",IF($R340="B","S",IF($Q340+1&gt;$K$3,"T",IF(INDEX($M$4:$M$2003,MATCH($Q340+1,$P$4:$P$2003,0))&lt;&gt;INDEX($M$4:$M$2003,MATCH($Q340,$P$4:$P$2003,0)),"B","S"))))</f>
        <v/>
      </c>
      <c r="S341">
        <f>IF(Q341="","",IFERROR(MATCH(Q341,$P$4:$P$2003,0),""))</f>
        <v/>
      </c>
    </row>
    <row r="342">
      <c r="A342" s="4">
        <f>IF($R342="","",IF($R342="T","Gesamtergebnis",IF($R342="B",INDEX($M$4:$M$2003,$S342),INDEX($L$4:$L$2003,$S342))))</f>
        <v/>
      </c>
      <c r="B342" s="4">
        <f>IF($R342="","",IF($R342="T",$K$3,IF($R342="B",COUNTIFS($M$4:$M$2003,INDEX($M$4:$M$2003,$S342),$N$4:$N$2003,1),1)))</f>
        <v/>
      </c>
      <c r="L342">
        <f>IF($K$1="","",IFERROR(INDEX(Lines!$A:$AA,ROW()-2,$K$1),""))</f>
        <v/>
      </c>
      <c r="M342">
        <f>IF($K$2="","",IFERROR(INDEX(Lines!$A:$AA,ROW()-2,$K$2),""))</f>
        <v/>
      </c>
      <c r="N342">
        <f>IF(AND(L342&lt;&gt;"",LEFT(L342,1)="N",M342&lt;&gt;"PICKING",M342&lt;&gt;""),1,0)</f>
        <v/>
      </c>
      <c r="O342">
        <f>IF(N342=1,M342&amp;"|"&amp;L342,REPT("z",40))</f>
        <v/>
      </c>
      <c r="P342">
        <f>IF(N342=1,COUNTIF($O$4:$O$2003,"&lt;"&amp;O342)+1,"")</f>
        <v/>
      </c>
      <c r="Q342">
        <f>IF(OR($R341="",$R341="T"),"",IF($R341="B",$Q341,IF($Q341+1&gt;$K$3,"",$Q341+1)))</f>
        <v/>
      </c>
      <c r="R342">
        <f>IF(OR($R341="",$R341="T"),"",IF($R341="B","S",IF($Q341+1&gt;$K$3,"T",IF(INDEX($M$4:$M$2003,MATCH($Q341+1,$P$4:$P$2003,0))&lt;&gt;INDEX($M$4:$M$2003,MATCH($Q341,$P$4:$P$2003,0)),"B","S"))))</f>
        <v/>
      </c>
      <c r="S342">
        <f>IF(Q342="","",IFERROR(MATCH(Q342,$P$4:$P$2003,0),""))</f>
        <v/>
      </c>
    </row>
    <row r="343">
      <c r="A343" s="4">
        <f>IF($R343="","",IF($R343="T","Gesamtergebnis",IF($R343="B",INDEX($M$4:$M$2003,$S343),INDEX($L$4:$L$2003,$S343))))</f>
        <v/>
      </c>
      <c r="B343" s="4">
        <f>IF($R343="","",IF($R343="T",$K$3,IF($R343="B",COUNTIFS($M$4:$M$2003,INDEX($M$4:$M$2003,$S343),$N$4:$N$2003,1),1)))</f>
        <v/>
      </c>
      <c r="L343">
        <f>IF($K$1="","",IFERROR(INDEX(Lines!$A:$AA,ROW()-2,$K$1),""))</f>
        <v/>
      </c>
      <c r="M343">
        <f>IF($K$2="","",IFERROR(INDEX(Lines!$A:$AA,ROW()-2,$K$2),""))</f>
        <v/>
      </c>
      <c r="N343">
        <f>IF(AND(L343&lt;&gt;"",LEFT(L343,1)="N",M343&lt;&gt;"PICKING",M343&lt;&gt;""),1,0)</f>
        <v/>
      </c>
      <c r="O343">
        <f>IF(N343=1,M343&amp;"|"&amp;L343,REPT("z",40))</f>
        <v/>
      </c>
      <c r="P343">
        <f>IF(N343=1,COUNTIF($O$4:$O$2003,"&lt;"&amp;O343)+1,"")</f>
        <v/>
      </c>
      <c r="Q343">
        <f>IF(OR($R342="",$R342="T"),"",IF($R342="B",$Q342,IF($Q342+1&gt;$K$3,"",$Q342+1)))</f>
        <v/>
      </c>
      <c r="R343">
        <f>IF(OR($R342="",$R342="T"),"",IF($R342="B","S",IF($Q342+1&gt;$K$3,"T",IF(INDEX($M$4:$M$2003,MATCH($Q342+1,$P$4:$P$2003,0))&lt;&gt;INDEX($M$4:$M$2003,MATCH($Q342,$P$4:$P$2003,0)),"B","S"))))</f>
        <v/>
      </c>
      <c r="S343">
        <f>IF(Q343="","",IFERROR(MATCH(Q343,$P$4:$P$2003,0),""))</f>
        <v/>
      </c>
    </row>
    <row r="344">
      <c r="A344" s="4">
        <f>IF($R344="","",IF($R344="T","Gesamtergebnis",IF($R344="B",INDEX($M$4:$M$2003,$S344),INDEX($L$4:$L$2003,$S344))))</f>
        <v/>
      </c>
      <c r="B344" s="4">
        <f>IF($R344="","",IF($R344="T",$K$3,IF($R344="B",COUNTIFS($M$4:$M$2003,INDEX($M$4:$M$2003,$S344),$N$4:$N$2003,1),1)))</f>
        <v/>
      </c>
      <c r="L344">
        <f>IF($K$1="","",IFERROR(INDEX(Lines!$A:$AA,ROW()-2,$K$1),""))</f>
        <v/>
      </c>
      <c r="M344">
        <f>IF($K$2="","",IFERROR(INDEX(Lines!$A:$AA,ROW()-2,$K$2),""))</f>
        <v/>
      </c>
      <c r="N344">
        <f>IF(AND(L344&lt;&gt;"",LEFT(L344,1)="N",M344&lt;&gt;"PICKING",M344&lt;&gt;""),1,0)</f>
        <v/>
      </c>
      <c r="O344">
        <f>IF(N344=1,M344&amp;"|"&amp;L344,REPT("z",40))</f>
        <v/>
      </c>
      <c r="P344">
        <f>IF(N344=1,COUNTIF($O$4:$O$2003,"&lt;"&amp;O344)+1,"")</f>
        <v/>
      </c>
      <c r="Q344">
        <f>IF(OR($R343="",$R343="T"),"",IF($R343="B",$Q343,IF($Q343+1&gt;$K$3,"",$Q343+1)))</f>
        <v/>
      </c>
      <c r="R344">
        <f>IF(OR($R343="",$R343="T"),"",IF($R343="B","S",IF($Q343+1&gt;$K$3,"T",IF(INDEX($M$4:$M$2003,MATCH($Q343+1,$P$4:$P$2003,0))&lt;&gt;INDEX($M$4:$M$2003,MATCH($Q343,$P$4:$P$2003,0)),"B","S"))))</f>
        <v/>
      </c>
      <c r="S344">
        <f>IF(Q344="","",IFERROR(MATCH(Q344,$P$4:$P$2003,0),""))</f>
        <v/>
      </c>
    </row>
    <row r="345">
      <c r="A345" s="4">
        <f>IF($R345="","",IF($R345="T","Gesamtergebnis",IF($R345="B",INDEX($M$4:$M$2003,$S345),INDEX($L$4:$L$2003,$S345))))</f>
        <v/>
      </c>
      <c r="B345" s="4">
        <f>IF($R345="","",IF($R345="T",$K$3,IF($R345="B",COUNTIFS($M$4:$M$2003,INDEX($M$4:$M$2003,$S345),$N$4:$N$2003,1),1)))</f>
        <v/>
      </c>
      <c r="L345">
        <f>IF($K$1="","",IFERROR(INDEX(Lines!$A:$AA,ROW()-2,$K$1),""))</f>
        <v/>
      </c>
      <c r="M345">
        <f>IF($K$2="","",IFERROR(INDEX(Lines!$A:$AA,ROW()-2,$K$2),""))</f>
        <v/>
      </c>
      <c r="N345">
        <f>IF(AND(L345&lt;&gt;"",LEFT(L345,1)="N",M345&lt;&gt;"PICKING",M345&lt;&gt;""),1,0)</f>
        <v/>
      </c>
      <c r="O345">
        <f>IF(N345=1,M345&amp;"|"&amp;L345,REPT("z",40))</f>
        <v/>
      </c>
      <c r="P345">
        <f>IF(N345=1,COUNTIF($O$4:$O$2003,"&lt;"&amp;O345)+1,"")</f>
        <v/>
      </c>
      <c r="Q345">
        <f>IF(OR($R344="",$R344="T"),"",IF($R344="B",$Q344,IF($Q344+1&gt;$K$3,"",$Q344+1)))</f>
        <v/>
      </c>
      <c r="R345">
        <f>IF(OR($R344="",$R344="T"),"",IF($R344="B","S",IF($Q344+1&gt;$K$3,"T",IF(INDEX($M$4:$M$2003,MATCH($Q344+1,$P$4:$P$2003,0))&lt;&gt;INDEX($M$4:$M$2003,MATCH($Q344,$P$4:$P$2003,0)),"B","S"))))</f>
        <v/>
      </c>
      <c r="S345">
        <f>IF(Q345="","",IFERROR(MATCH(Q345,$P$4:$P$2003,0),""))</f>
        <v/>
      </c>
    </row>
    <row r="346">
      <c r="A346" s="4">
        <f>IF($R346="","",IF($R346="T","Gesamtergebnis",IF($R346="B",INDEX($M$4:$M$2003,$S346),INDEX($L$4:$L$2003,$S346))))</f>
        <v/>
      </c>
      <c r="B346" s="4">
        <f>IF($R346="","",IF($R346="T",$K$3,IF($R346="B",COUNTIFS($M$4:$M$2003,INDEX($M$4:$M$2003,$S346),$N$4:$N$2003,1),1)))</f>
        <v/>
      </c>
      <c r="L346">
        <f>IF($K$1="","",IFERROR(INDEX(Lines!$A:$AA,ROW()-2,$K$1),""))</f>
        <v/>
      </c>
      <c r="M346">
        <f>IF($K$2="","",IFERROR(INDEX(Lines!$A:$AA,ROW()-2,$K$2),""))</f>
        <v/>
      </c>
      <c r="N346">
        <f>IF(AND(L346&lt;&gt;"",LEFT(L346,1)="N",M346&lt;&gt;"PICKING",M346&lt;&gt;""),1,0)</f>
        <v/>
      </c>
      <c r="O346">
        <f>IF(N346=1,M346&amp;"|"&amp;L346,REPT("z",40))</f>
        <v/>
      </c>
      <c r="P346">
        <f>IF(N346=1,COUNTIF($O$4:$O$2003,"&lt;"&amp;O346)+1,"")</f>
        <v/>
      </c>
      <c r="Q346">
        <f>IF(OR($R345="",$R345="T"),"",IF($R345="B",$Q345,IF($Q345+1&gt;$K$3,"",$Q345+1)))</f>
        <v/>
      </c>
      <c r="R346">
        <f>IF(OR($R345="",$R345="T"),"",IF($R345="B","S",IF($Q345+1&gt;$K$3,"T",IF(INDEX($M$4:$M$2003,MATCH($Q345+1,$P$4:$P$2003,0))&lt;&gt;INDEX($M$4:$M$2003,MATCH($Q345,$P$4:$P$2003,0)),"B","S"))))</f>
        <v/>
      </c>
      <c r="S346">
        <f>IF(Q346="","",IFERROR(MATCH(Q346,$P$4:$P$2003,0),""))</f>
        <v/>
      </c>
    </row>
    <row r="347">
      <c r="A347" s="4">
        <f>IF($R347="","",IF($R347="T","Gesamtergebnis",IF($R347="B",INDEX($M$4:$M$2003,$S347),INDEX($L$4:$L$2003,$S347))))</f>
        <v/>
      </c>
      <c r="B347" s="4">
        <f>IF($R347="","",IF($R347="T",$K$3,IF($R347="B",COUNTIFS($M$4:$M$2003,INDEX($M$4:$M$2003,$S347),$N$4:$N$2003,1),1)))</f>
        <v/>
      </c>
      <c r="L347">
        <f>IF($K$1="","",IFERROR(INDEX(Lines!$A:$AA,ROW()-2,$K$1),""))</f>
        <v/>
      </c>
      <c r="M347">
        <f>IF($K$2="","",IFERROR(INDEX(Lines!$A:$AA,ROW()-2,$K$2),""))</f>
        <v/>
      </c>
      <c r="N347">
        <f>IF(AND(L347&lt;&gt;"",LEFT(L347,1)="N",M347&lt;&gt;"PICKING",M347&lt;&gt;""),1,0)</f>
        <v/>
      </c>
      <c r="O347">
        <f>IF(N347=1,M347&amp;"|"&amp;L347,REPT("z",40))</f>
        <v/>
      </c>
      <c r="P347">
        <f>IF(N347=1,COUNTIF($O$4:$O$2003,"&lt;"&amp;O347)+1,"")</f>
        <v/>
      </c>
      <c r="Q347">
        <f>IF(OR($R346="",$R346="T"),"",IF($R346="B",$Q346,IF($Q346+1&gt;$K$3,"",$Q346+1)))</f>
        <v/>
      </c>
      <c r="R347">
        <f>IF(OR($R346="",$R346="T"),"",IF($R346="B","S",IF($Q346+1&gt;$K$3,"T",IF(INDEX($M$4:$M$2003,MATCH($Q346+1,$P$4:$P$2003,0))&lt;&gt;INDEX($M$4:$M$2003,MATCH($Q346,$P$4:$P$2003,0)),"B","S"))))</f>
        <v/>
      </c>
      <c r="S347">
        <f>IF(Q347="","",IFERROR(MATCH(Q347,$P$4:$P$2003,0),""))</f>
        <v/>
      </c>
    </row>
    <row r="348">
      <c r="A348" s="4">
        <f>IF($R348="","",IF($R348="T","Gesamtergebnis",IF($R348="B",INDEX($M$4:$M$2003,$S348),INDEX($L$4:$L$2003,$S348))))</f>
        <v/>
      </c>
      <c r="B348" s="4">
        <f>IF($R348="","",IF($R348="T",$K$3,IF($R348="B",COUNTIFS($M$4:$M$2003,INDEX($M$4:$M$2003,$S348),$N$4:$N$2003,1),1)))</f>
        <v/>
      </c>
      <c r="L348">
        <f>IF($K$1="","",IFERROR(INDEX(Lines!$A:$AA,ROW()-2,$K$1),""))</f>
        <v/>
      </c>
      <c r="M348">
        <f>IF($K$2="","",IFERROR(INDEX(Lines!$A:$AA,ROW()-2,$K$2),""))</f>
        <v/>
      </c>
      <c r="N348">
        <f>IF(AND(L348&lt;&gt;"",LEFT(L348,1)="N",M348&lt;&gt;"PICKING",M348&lt;&gt;""),1,0)</f>
        <v/>
      </c>
      <c r="O348">
        <f>IF(N348=1,M348&amp;"|"&amp;L348,REPT("z",40))</f>
        <v/>
      </c>
      <c r="P348">
        <f>IF(N348=1,COUNTIF($O$4:$O$2003,"&lt;"&amp;O348)+1,"")</f>
        <v/>
      </c>
      <c r="Q348">
        <f>IF(OR($R347="",$R347="T"),"",IF($R347="B",$Q347,IF($Q347+1&gt;$K$3,"",$Q347+1)))</f>
        <v/>
      </c>
      <c r="R348">
        <f>IF(OR($R347="",$R347="T"),"",IF($R347="B","S",IF($Q347+1&gt;$K$3,"T",IF(INDEX($M$4:$M$2003,MATCH($Q347+1,$P$4:$P$2003,0))&lt;&gt;INDEX($M$4:$M$2003,MATCH($Q347,$P$4:$P$2003,0)),"B","S"))))</f>
        <v/>
      </c>
      <c r="S348">
        <f>IF(Q348="","",IFERROR(MATCH(Q348,$P$4:$P$2003,0),""))</f>
        <v/>
      </c>
    </row>
    <row r="349">
      <c r="A349" s="4">
        <f>IF($R349="","",IF($R349="T","Gesamtergebnis",IF($R349="B",INDEX($M$4:$M$2003,$S349),INDEX($L$4:$L$2003,$S349))))</f>
        <v/>
      </c>
      <c r="B349" s="4">
        <f>IF($R349="","",IF($R349="T",$K$3,IF($R349="B",COUNTIFS($M$4:$M$2003,INDEX($M$4:$M$2003,$S349),$N$4:$N$2003,1),1)))</f>
        <v/>
      </c>
      <c r="L349">
        <f>IF($K$1="","",IFERROR(INDEX(Lines!$A:$AA,ROW()-2,$K$1),""))</f>
        <v/>
      </c>
      <c r="M349">
        <f>IF($K$2="","",IFERROR(INDEX(Lines!$A:$AA,ROW()-2,$K$2),""))</f>
        <v/>
      </c>
      <c r="N349">
        <f>IF(AND(L349&lt;&gt;"",LEFT(L349,1)="N",M349&lt;&gt;"PICKING",M349&lt;&gt;""),1,0)</f>
        <v/>
      </c>
      <c r="O349">
        <f>IF(N349=1,M349&amp;"|"&amp;L349,REPT("z",40))</f>
        <v/>
      </c>
      <c r="P349">
        <f>IF(N349=1,COUNTIF($O$4:$O$2003,"&lt;"&amp;O349)+1,"")</f>
        <v/>
      </c>
      <c r="Q349">
        <f>IF(OR($R348="",$R348="T"),"",IF($R348="B",$Q348,IF($Q348+1&gt;$K$3,"",$Q348+1)))</f>
        <v/>
      </c>
      <c r="R349">
        <f>IF(OR($R348="",$R348="T"),"",IF($R348="B","S",IF($Q348+1&gt;$K$3,"T",IF(INDEX($M$4:$M$2003,MATCH($Q348+1,$P$4:$P$2003,0))&lt;&gt;INDEX($M$4:$M$2003,MATCH($Q348,$P$4:$P$2003,0)),"B","S"))))</f>
        <v/>
      </c>
      <c r="S349">
        <f>IF(Q349="","",IFERROR(MATCH(Q349,$P$4:$P$2003,0),""))</f>
        <v/>
      </c>
    </row>
    <row r="350">
      <c r="A350" s="4">
        <f>IF($R350="","",IF($R350="T","Gesamtergebnis",IF($R350="B",INDEX($M$4:$M$2003,$S350),INDEX($L$4:$L$2003,$S350))))</f>
        <v/>
      </c>
      <c r="B350" s="4">
        <f>IF($R350="","",IF($R350="T",$K$3,IF($R350="B",COUNTIFS($M$4:$M$2003,INDEX($M$4:$M$2003,$S350),$N$4:$N$2003,1),1)))</f>
        <v/>
      </c>
      <c r="L350">
        <f>IF($K$1="","",IFERROR(INDEX(Lines!$A:$AA,ROW()-2,$K$1),""))</f>
        <v/>
      </c>
      <c r="M350">
        <f>IF($K$2="","",IFERROR(INDEX(Lines!$A:$AA,ROW()-2,$K$2),""))</f>
        <v/>
      </c>
      <c r="N350">
        <f>IF(AND(L350&lt;&gt;"",LEFT(L350,1)="N",M350&lt;&gt;"PICKING",M350&lt;&gt;""),1,0)</f>
        <v/>
      </c>
      <c r="O350">
        <f>IF(N350=1,M350&amp;"|"&amp;L350,REPT("z",40))</f>
        <v/>
      </c>
      <c r="P350">
        <f>IF(N350=1,COUNTIF($O$4:$O$2003,"&lt;"&amp;O350)+1,"")</f>
        <v/>
      </c>
      <c r="Q350">
        <f>IF(OR($R349="",$R349="T"),"",IF($R349="B",$Q349,IF($Q349+1&gt;$K$3,"",$Q349+1)))</f>
        <v/>
      </c>
      <c r="R350">
        <f>IF(OR($R349="",$R349="T"),"",IF($R349="B","S",IF($Q349+1&gt;$K$3,"T",IF(INDEX($M$4:$M$2003,MATCH($Q349+1,$P$4:$P$2003,0))&lt;&gt;INDEX($M$4:$M$2003,MATCH($Q349,$P$4:$P$2003,0)),"B","S"))))</f>
        <v/>
      </c>
      <c r="S350">
        <f>IF(Q350="","",IFERROR(MATCH(Q350,$P$4:$P$2003,0),""))</f>
        <v/>
      </c>
    </row>
    <row r="351">
      <c r="A351" s="4">
        <f>IF($R351="","",IF($R351="T","Gesamtergebnis",IF($R351="B",INDEX($M$4:$M$2003,$S351),INDEX($L$4:$L$2003,$S351))))</f>
        <v/>
      </c>
      <c r="B351" s="4">
        <f>IF($R351="","",IF($R351="T",$K$3,IF($R351="B",COUNTIFS($M$4:$M$2003,INDEX($M$4:$M$2003,$S351),$N$4:$N$2003,1),1)))</f>
        <v/>
      </c>
      <c r="L351">
        <f>IF($K$1="","",IFERROR(INDEX(Lines!$A:$AA,ROW()-2,$K$1),""))</f>
        <v/>
      </c>
      <c r="M351">
        <f>IF($K$2="","",IFERROR(INDEX(Lines!$A:$AA,ROW()-2,$K$2),""))</f>
        <v/>
      </c>
      <c r="N351">
        <f>IF(AND(L351&lt;&gt;"",LEFT(L351,1)="N",M351&lt;&gt;"PICKING",M351&lt;&gt;""),1,0)</f>
        <v/>
      </c>
      <c r="O351">
        <f>IF(N351=1,M351&amp;"|"&amp;L351,REPT("z",40))</f>
        <v/>
      </c>
      <c r="P351">
        <f>IF(N351=1,COUNTIF($O$4:$O$2003,"&lt;"&amp;O351)+1,"")</f>
        <v/>
      </c>
      <c r="Q351">
        <f>IF(OR($R350="",$R350="T"),"",IF($R350="B",$Q350,IF($Q350+1&gt;$K$3,"",$Q350+1)))</f>
        <v/>
      </c>
      <c r="R351">
        <f>IF(OR($R350="",$R350="T"),"",IF($R350="B","S",IF($Q350+1&gt;$K$3,"T",IF(INDEX($M$4:$M$2003,MATCH($Q350+1,$P$4:$P$2003,0))&lt;&gt;INDEX($M$4:$M$2003,MATCH($Q350,$P$4:$P$2003,0)),"B","S"))))</f>
        <v/>
      </c>
      <c r="S351">
        <f>IF(Q351="","",IFERROR(MATCH(Q351,$P$4:$P$2003,0),""))</f>
        <v/>
      </c>
    </row>
    <row r="352">
      <c r="A352" s="4">
        <f>IF($R352="","",IF($R352="T","Gesamtergebnis",IF($R352="B",INDEX($M$4:$M$2003,$S352),INDEX($L$4:$L$2003,$S352))))</f>
        <v/>
      </c>
      <c r="B352" s="4">
        <f>IF($R352="","",IF($R352="T",$K$3,IF($R352="B",COUNTIFS($M$4:$M$2003,INDEX($M$4:$M$2003,$S352),$N$4:$N$2003,1),1)))</f>
        <v/>
      </c>
      <c r="L352">
        <f>IF($K$1="","",IFERROR(INDEX(Lines!$A:$AA,ROW()-2,$K$1),""))</f>
        <v/>
      </c>
      <c r="M352">
        <f>IF($K$2="","",IFERROR(INDEX(Lines!$A:$AA,ROW()-2,$K$2),""))</f>
        <v/>
      </c>
      <c r="N352">
        <f>IF(AND(L352&lt;&gt;"",LEFT(L352,1)="N",M352&lt;&gt;"PICKING",M352&lt;&gt;""),1,0)</f>
        <v/>
      </c>
      <c r="O352">
        <f>IF(N352=1,M352&amp;"|"&amp;L352,REPT("z",40))</f>
        <v/>
      </c>
      <c r="P352">
        <f>IF(N352=1,COUNTIF($O$4:$O$2003,"&lt;"&amp;O352)+1,"")</f>
        <v/>
      </c>
      <c r="Q352">
        <f>IF(OR($R351="",$R351="T"),"",IF($R351="B",$Q351,IF($Q351+1&gt;$K$3,"",$Q351+1)))</f>
        <v/>
      </c>
      <c r="R352">
        <f>IF(OR($R351="",$R351="T"),"",IF($R351="B","S",IF($Q351+1&gt;$K$3,"T",IF(INDEX($M$4:$M$2003,MATCH($Q351+1,$P$4:$P$2003,0))&lt;&gt;INDEX($M$4:$M$2003,MATCH($Q351,$P$4:$P$2003,0)),"B","S"))))</f>
        <v/>
      </c>
      <c r="S352">
        <f>IF(Q352="","",IFERROR(MATCH(Q352,$P$4:$P$2003,0),""))</f>
        <v/>
      </c>
    </row>
    <row r="353">
      <c r="A353" s="4">
        <f>IF($R353="","",IF($R353="T","Gesamtergebnis",IF($R353="B",INDEX($M$4:$M$2003,$S353),INDEX($L$4:$L$2003,$S353))))</f>
        <v/>
      </c>
      <c r="B353" s="4">
        <f>IF($R353="","",IF($R353="T",$K$3,IF($R353="B",COUNTIFS($M$4:$M$2003,INDEX($M$4:$M$2003,$S353),$N$4:$N$2003,1),1)))</f>
        <v/>
      </c>
      <c r="L353">
        <f>IF($K$1="","",IFERROR(INDEX(Lines!$A:$AA,ROW()-2,$K$1),""))</f>
        <v/>
      </c>
      <c r="M353">
        <f>IF($K$2="","",IFERROR(INDEX(Lines!$A:$AA,ROW()-2,$K$2),""))</f>
        <v/>
      </c>
      <c r="N353">
        <f>IF(AND(L353&lt;&gt;"",LEFT(L353,1)="N",M353&lt;&gt;"PICKING",M353&lt;&gt;""),1,0)</f>
        <v/>
      </c>
      <c r="O353">
        <f>IF(N353=1,M353&amp;"|"&amp;L353,REPT("z",40))</f>
        <v/>
      </c>
      <c r="P353">
        <f>IF(N353=1,COUNTIF($O$4:$O$2003,"&lt;"&amp;O353)+1,"")</f>
        <v/>
      </c>
      <c r="Q353">
        <f>IF(OR($R352="",$R352="T"),"",IF($R352="B",$Q352,IF($Q352+1&gt;$K$3,"",$Q352+1)))</f>
        <v/>
      </c>
      <c r="R353">
        <f>IF(OR($R352="",$R352="T"),"",IF($R352="B","S",IF($Q352+1&gt;$K$3,"T",IF(INDEX($M$4:$M$2003,MATCH($Q352+1,$P$4:$P$2003,0))&lt;&gt;INDEX($M$4:$M$2003,MATCH($Q352,$P$4:$P$2003,0)),"B","S"))))</f>
        <v/>
      </c>
      <c r="S353">
        <f>IF(Q353="","",IFERROR(MATCH(Q353,$P$4:$P$2003,0),""))</f>
        <v/>
      </c>
    </row>
    <row r="354">
      <c r="A354" s="4">
        <f>IF($R354="","",IF($R354="T","Gesamtergebnis",IF($R354="B",INDEX($M$4:$M$2003,$S354),INDEX($L$4:$L$2003,$S354))))</f>
        <v/>
      </c>
      <c r="B354" s="4">
        <f>IF($R354="","",IF($R354="T",$K$3,IF($R354="B",COUNTIFS($M$4:$M$2003,INDEX($M$4:$M$2003,$S354),$N$4:$N$2003,1),1)))</f>
        <v/>
      </c>
      <c r="L354">
        <f>IF($K$1="","",IFERROR(INDEX(Lines!$A:$AA,ROW()-2,$K$1),""))</f>
        <v/>
      </c>
      <c r="M354">
        <f>IF($K$2="","",IFERROR(INDEX(Lines!$A:$AA,ROW()-2,$K$2),""))</f>
        <v/>
      </c>
      <c r="N354">
        <f>IF(AND(L354&lt;&gt;"",LEFT(L354,1)="N",M354&lt;&gt;"PICKING",M354&lt;&gt;""),1,0)</f>
        <v/>
      </c>
      <c r="O354">
        <f>IF(N354=1,M354&amp;"|"&amp;L354,REPT("z",40))</f>
        <v/>
      </c>
      <c r="P354">
        <f>IF(N354=1,COUNTIF($O$4:$O$2003,"&lt;"&amp;O354)+1,"")</f>
        <v/>
      </c>
      <c r="Q354">
        <f>IF(OR($R353="",$R353="T"),"",IF($R353="B",$Q353,IF($Q353+1&gt;$K$3,"",$Q353+1)))</f>
        <v/>
      </c>
      <c r="R354">
        <f>IF(OR($R353="",$R353="T"),"",IF($R353="B","S",IF($Q353+1&gt;$K$3,"T",IF(INDEX($M$4:$M$2003,MATCH($Q353+1,$P$4:$P$2003,0))&lt;&gt;INDEX($M$4:$M$2003,MATCH($Q353,$P$4:$P$2003,0)),"B","S"))))</f>
        <v/>
      </c>
      <c r="S354">
        <f>IF(Q354="","",IFERROR(MATCH(Q354,$P$4:$P$2003,0),""))</f>
        <v/>
      </c>
    </row>
    <row r="355">
      <c r="A355" s="4">
        <f>IF($R355="","",IF($R355="T","Gesamtergebnis",IF($R355="B",INDEX($M$4:$M$2003,$S355),INDEX($L$4:$L$2003,$S355))))</f>
        <v/>
      </c>
      <c r="B355" s="4">
        <f>IF($R355="","",IF($R355="T",$K$3,IF($R355="B",COUNTIFS($M$4:$M$2003,INDEX($M$4:$M$2003,$S355),$N$4:$N$2003,1),1)))</f>
        <v/>
      </c>
      <c r="L355">
        <f>IF($K$1="","",IFERROR(INDEX(Lines!$A:$AA,ROW()-2,$K$1),""))</f>
        <v/>
      </c>
      <c r="M355">
        <f>IF($K$2="","",IFERROR(INDEX(Lines!$A:$AA,ROW()-2,$K$2),""))</f>
        <v/>
      </c>
      <c r="N355">
        <f>IF(AND(L355&lt;&gt;"",LEFT(L355,1)="N",M355&lt;&gt;"PICKING",M355&lt;&gt;""),1,0)</f>
        <v/>
      </c>
      <c r="O355">
        <f>IF(N355=1,M355&amp;"|"&amp;L355,REPT("z",40))</f>
        <v/>
      </c>
      <c r="P355">
        <f>IF(N355=1,COUNTIF($O$4:$O$2003,"&lt;"&amp;O355)+1,"")</f>
        <v/>
      </c>
      <c r="Q355">
        <f>IF(OR($R354="",$R354="T"),"",IF($R354="B",$Q354,IF($Q354+1&gt;$K$3,"",$Q354+1)))</f>
        <v/>
      </c>
      <c r="R355">
        <f>IF(OR($R354="",$R354="T"),"",IF($R354="B","S",IF($Q354+1&gt;$K$3,"T",IF(INDEX($M$4:$M$2003,MATCH($Q354+1,$P$4:$P$2003,0))&lt;&gt;INDEX($M$4:$M$2003,MATCH($Q354,$P$4:$P$2003,0)),"B","S"))))</f>
        <v/>
      </c>
      <c r="S355">
        <f>IF(Q355="","",IFERROR(MATCH(Q355,$P$4:$P$2003,0),""))</f>
        <v/>
      </c>
    </row>
    <row r="356">
      <c r="A356" s="4">
        <f>IF($R356="","",IF($R356="T","Gesamtergebnis",IF($R356="B",INDEX($M$4:$M$2003,$S356),INDEX($L$4:$L$2003,$S356))))</f>
        <v/>
      </c>
      <c r="B356" s="4">
        <f>IF($R356="","",IF($R356="T",$K$3,IF($R356="B",COUNTIFS($M$4:$M$2003,INDEX($M$4:$M$2003,$S356),$N$4:$N$2003,1),1)))</f>
        <v/>
      </c>
      <c r="L356">
        <f>IF($K$1="","",IFERROR(INDEX(Lines!$A:$AA,ROW()-2,$K$1),""))</f>
        <v/>
      </c>
      <c r="M356">
        <f>IF($K$2="","",IFERROR(INDEX(Lines!$A:$AA,ROW()-2,$K$2),""))</f>
        <v/>
      </c>
      <c r="N356">
        <f>IF(AND(L356&lt;&gt;"",LEFT(L356,1)="N",M356&lt;&gt;"PICKING",M356&lt;&gt;""),1,0)</f>
        <v/>
      </c>
      <c r="O356">
        <f>IF(N356=1,M356&amp;"|"&amp;L356,REPT("z",40))</f>
        <v/>
      </c>
      <c r="P356">
        <f>IF(N356=1,COUNTIF($O$4:$O$2003,"&lt;"&amp;O356)+1,"")</f>
        <v/>
      </c>
      <c r="Q356">
        <f>IF(OR($R355="",$R355="T"),"",IF($R355="B",$Q355,IF($Q355+1&gt;$K$3,"",$Q355+1)))</f>
        <v/>
      </c>
      <c r="R356">
        <f>IF(OR($R355="",$R355="T"),"",IF($R355="B","S",IF($Q355+1&gt;$K$3,"T",IF(INDEX($M$4:$M$2003,MATCH($Q355+1,$P$4:$P$2003,0))&lt;&gt;INDEX($M$4:$M$2003,MATCH($Q355,$P$4:$P$2003,0)),"B","S"))))</f>
        <v/>
      </c>
      <c r="S356">
        <f>IF(Q356="","",IFERROR(MATCH(Q356,$P$4:$P$2003,0),""))</f>
        <v/>
      </c>
    </row>
    <row r="357">
      <c r="A357" s="4">
        <f>IF($R357="","",IF($R357="T","Gesamtergebnis",IF($R357="B",INDEX($M$4:$M$2003,$S357),INDEX($L$4:$L$2003,$S357))))</f>
        <v/>
      </c>
      <c r="B357" s="4">
        <f>IF($R357="","",IF($R357="T",$K$3,IF($R357="B",COUNTIFS($M$4:$M$2003,INDEX($M$4:$M$2003,$S357),$N$4:$N$2003,1),1)))</f>
        <v/>
      </c>
      <c r="L357">
        <f>IF($K$1="","",IFERROR(INDEX(Lines!$A:$AA,ROW()-2,$K$1),""))</f>
        <v/>
      </c>
      <c r="M357">
        <f>IF($K$2="","",IFERROR(INDEX(Lines!$A:$AA,ROW()-2,$K$2),""))</f>
        <v/>
      </c>
      <c r="N357">
        <f>IF(AND(L357&lt;&gt;"",LEFT(L357,1)="N",M357&lt;&gt;"PICKING",M357&lt;&gt;""),1,0)</f>
        <v/>
      </c>
      <c r="O357">
        <f>IF(N357=1,M357&amp;"|"&amp;L357,REPT("z",40))</f>
        <v/>
      </c>
      <c r="P357">
        <f>IF(N357=1,COUNTIF($O$4:$O$2003,"&lt;"&amp;O357)+1,"")</f>
        <v/>
      </c>
      <c r="Q357">
        <f>IF(OR($R356="",$R356="T"),"",IF($R356="B",$Q356,IF($Q356+1&gt;$K$3,"",$Q356+1)))</f>
        <v/>
      </c>
      <c r="R357">
        <f>IF(OR($R356="",$R356="T"),"",IF($R356="B","S",IF($Q356+1&gt;$K$3,"T",IF(INDEX($M$4:$M$2003,MATCH($Q356+1,$P$4:$P$2003,0))&lt;&gt;INDEX($M$4:$M$2003,MATCH($Q356,$P$4:$P$2003,0)),"B","S"))))</f>
        <v/>
      </c>
      <c r="S357">
        <f>IF(Q357="","",IFERROR(MATCH(Q357,$P$4:$P$2003,0),""))</f>
        <v/>
      </c>
    </row>
    <row r="358">
      <c r="A358" s="4">
        <f>IF($R358="","",IF($R358="T","Gesamtergebnis",IF($R358="B",INDEX($M$4:$M$2003,$S358),INDEX($L$4:$L$2003,$S358))))</f>
        <v/>
      </c>
      <c r="B358" s="4">
        <f>IF($R358="","",IF($R358="T",$K$3,IF($R358="B",COUNTIFS($M$4:$M$2003,INDEX($M$4:$M$2003,$S358),$N$4:$N$2003,1),1)))</f>
        <v/>
      </c>
      <c r="L358">
        <f>IF($K$1="","",IFERROR(INDEX(Lines!$A:$AA,ROW()-2,$K$1),""))</f>
        <v/>
      </c>
      <c r="M358">
        <f>IF($K$2="","",IFERROR(INDEX(Lines!$A:$AA,ROW()-2,$K$2),""))</f>
        <v/>
      </c>
      <c r="N358">
        <f>IF(AND(L358&lt;&gt;"",LEFT(L358,1)="N",M358&lt;&gt;"PICKING",M358&lt;&gt;""),1,0)</f>
        <v/>
      </c>
      <c r="O358">
        <f>IF(N358=1,M358&amp;"|"&amp;L358,REPT("z",40))</f>
        <v/>
      </c>
      <c r="P358">
        <f>IF(N358=1,COUNTIF($O$4:$O$2003,"&lt;"&amp;O358)+1,"")</f>
        <v/>
      </c>
      <c r="Q358">
        <f>IF(OR($R357="",$R357="T"),"",IF($R357="B",$Q357,IF($Q357+1&gt;$K$3,"",$Q357+1)))</f>
        <v/>
      </c>
      <c r="R358">
        <f>IF(OR($R357="",$R357="T"),"",IF($R357="B","S",IF($Q357+1&gt;$K$3,"T",IF(INDEX($M$4:$M$2003,MATCH($Q357+1,$P$4:$P$2003,0))&lt;&gt;INDEX($M$4:$M$2003,MATCH($Q357,$P$4:$P$2003,0)),"B","S"))))</f>
        <v/>
      </c>
      <c r="S358">
        <f>IF(Q358="","",IFERROR(MATCH(Q358,$P$4:$P$2003,0),""))</f>
        <v/>
      </c>
    </row>
    <row r="359">
      <c r="A359" s="4">
        <f>IF($R359="","",IF($R359="T","Gesamtergebnis",IF($R359="B",INDEX($M$4:$M$2003,$S359),INDEX($L$4:$L$2003,$S359))))</f>
        <v/>
      </c>
      <c r="B359" s="4">
        <f>IF($R359="","",IF($R359="T",$K$3,IF($R359="B",COUNTIFS($M$4:$M$2003,INDEX($M$4:$M$2003,$S359),$N$4:$N$2003,1),1)))</f>
        <v/>
      </c>
      <c r="L359">
        <f>IF($K$1="","",IFERROR(INDEX(Lines!$A:$AA,ROW()-2,$K$1),""))</f>
        <v/>
      </c>
      <c r="M359">
        <f>IF($K$2="","",IFERROR(INDEX(Lines!$A:$AA,ROW()-2,$K$2),""))</f>
        <v/>
      </c>
      <c r="N359">
        <f>IF(AND(L359&lt;&gt;"",LEFT(L359,1)="N",M359&lt;&gt;"PICKING",M359&lt;&gt;""),1,0)</f>
        <v/>
      </c>
      <c r="O359">
        <f>IF(N359=1,M359&amp;"|"&amp;L359,REPT("z",40))</f>
        <v/>
      </c>
      <c r="P359">
        <f>IF(N359=1,COUNTIF($O$4:$O$2003,"&lt;"&amp;O359)+1,"")</f>
        <v/>
      </c>
      <c r="Q359">
        <f>IF(OR($R358="",$R358="T"),"",IF($R358="B",$Q358,IF($Q358+1&gt;$K$3,"",$Q358+1)))</f>
        <v/>
      </c>
      <c r="R359">
        <f>IF(OR($R358="",$R358="T"),"",IF($R358="B","S",IF($Q358+1&gt;$K$3,"T",IF(INDEX($M$4:$M$2003,MATCH($Q358+1,$P$4:$P$2003,0))&lt;&gt;INDEX($M$4:$M$2003,MATCH($Q358,$P$4:$P$2003,0)),"B","S"))))</f>
        <v/>
      </c>
      <c r="S359">
        <f>IF(Q359="","",IFERROR(MATCH(Q359,$P$4:$P$2003,0),""))</f>
        <v/>
      </c>
    </row>
    <row r="360">
      <c r="A360" s="4">
        <f>IF($R360="","",IF($R360="T","Gesamtergebnis",IF($R360="B",INDEX($M$4:$M$2003,$S360),INDEX($L$4:$L$2003,$S360))))</f>
        <v/>
      </c>
      <c r="B360" s="4">
        <f>IF($R360="","",IF($R360="T",$K$3,IF($R360="B",COUNTIFS($M$4:$M$2003,INDEX($M$4:$M$2003,$S360),$N$4:$N$2003,1),1)))</f>
        <v/>
      </c>
      <c r="L360">
        <f>IF($K$1="","",IFERROR(INDEX(Lines!$A:$AA,ROW()-2,$K$1),""))</f>
        <v/>
      </c>
      <c r="M360">
        <f>IF($K$2="","",IFERROR(INDEX(Lines!$A:$AA,ROW()-2,$K$2),""))</f>
        <v/>
      </c>
      <c r="N360">
        <f>IF(AND(L360&lt;&gt;"",LEFT(L360,1)="N",M360&lt;&gt;"PICKING",M360&lt;&gt;""),1,0)</f>
        <v/>
      </c>
      <c r="O360">
        <f>IF(N360=1,M360&amp;"|"&amp;L360,REPT("z",40))</f>
        <v/>
      </c>
      <c r="P360">
        <f>IF(N360=1,COUNTIF($O$4:$O$2003,"&lt;"&amp;O360)+1,"")</f>
        <v/>
      </c>
      <c r="Q360">
        <f>IF(OR($R359="",$R359="T"),"",IF($R359="B",$Q359,IF($Q359+1&gt;$K$3,"",$Q359+1)))</f>
        <v/>
      </c>
      <c r="R360">
        <f>IF(OR($R359="",$R359="T"),"",IF($R359="B","S",IF($Q359+1&gt;$K$3,"T",IF(INDEX($M$4:$M$2003,MATCH($Q359+1,$P$4:$P$2003,0))&lt;&gt;INDEX($M$4:$M$2003,MATCH($Q359,$P$4:$P$2003,0)),"B","S"))))</f>
        <v/>
      </c>
      <c r="S360">
        <f>IF(Q360="","",IFERROR(MATCH(Q360,$P$4:$P$2003,0),""))</f>
        <v/>
      </c>
    </row>
    <row r="361">
      <c r="A361" s="4">
        <f>IF($R361="","",IF($R361="T","Gesamtergebnis",IF($R361="B",INDEX($M$4:$M$2003,$S361),INDEX($L$4:$L$2003,$S361))))</f>
        <v/>
      </c>
      <c r="B361" s="4">
        <f>IF($R361="","",IF($R361="T",$K$3,IF($R361="B",COUNTIFS($M$4:$M$2003,INDEX($M$4:$M$2003,$S361),$N$4:$N$2003,1),1)))</f>
        <v/>
      </c>
      <c r="L361">
        <f>IF($K$1="","",IFERROR(INDEX(Lines!$A:$AA,ROW()-2,$K$1),""))</f>
        <v/>
      </c>
      <c r="M361">
        <f>IF($K$2="","",IFERROR(INDEX(Lines!$A:$AA,ROW()-2,$K$2),""))</f>
        <v/>
      </c>
      <c r="N361">
        <f>IF(AND(L361&lt;&gt;"",LEFT(L361,1)="N",M361&lt;&gt;"PICKING",M361&lt;&gt;""),1,0)</f>
        <v/>
      </c>
      <c r="O361">
        <f>IF(N361=1,M361&amp;"|"&amp;L361,REPT("z",40))</f>
        <v/>
      </c>
      <c r="P361">
        <f>IF(N361=1,COUNTIF($O$4:$O$2003,"&lt;"&amp;O361)+1,"")</f>
        <v/>
      </c>
      <c r="Q361">
        <f>IF(OR($R360="",$R360="T"),"",IF($R360="B",$Q360,IF($Q360+1&gt;$K$3,"",$Q360+1)))</f>
        <v/>
      </c>
      <c r="R361">
        <f>IF(OR($R360="",$R360="T"),"",IF($R360="B","S",IF($Q360+1&gt;$K$3,"T",IF(INDEX($M$4:$M$2003,MATCH($Q360+1,$P$4:$P$2003,0))&lt;&gt;INDEX($M$4:$M$2003,MATCH($Q360,$P$4:$P$2003,0)),"B","S"))))</f>
        <v/>
      </c>
      <c r="S361">
        <f>IF(Q361="","",IFERROR(MATCH(Q361,$P$4:$P$2003,0),""))</f>
        <v/>
      </c>
    </row>
    <row r="362">
      <c r="A362" s="4">
        <f>IF($R362="","",IF($R362="T","Gesamtergebnis",IF($R362="B",INDEX($M$4:$M$2003,$S362),INDEX($L$4:$L$2003,$S362))))</f>
        <v/>
      </c>
      <c r="B362" s="4">
        <f>IF($R362="","",IF($R362="T",$K$3,IF($R362="B",COUNTIFS($M$4:$M$2003,INDEX($M$4:$M$2003,$S362),$N$4:$N$2003,1),1)))</f>
        <v/>
      </c>
      <c r="L362">
        <f>IF($K$1="","",IFERROR(INDEX(Lines!$A:$AA,ROW()-2,$K$1),""))</f>
        <v/>
      </c>
      <c r="M362">
        <f>IF($K$2="","",IFERROR(INDEX(Lines!$A:$AA,ROW()-2,$K$2),""))</f>
        <v/>
      </c>
      <c r="N362">
        <f>IF(AND(L362&lt;&gt;"",LEFT(L362,1)="N",M362&lt;&gt;"PICKING",M362&lt;&gt;""),1,0)</f>
        <v/>
      </c>
      <c r="O362">
        <f>IF(N362=1,M362&amp;"|"&amp;L362,REPT("z",40))</f>
        <v/>
      </c>
      <c r="P362">
        <f>IF(N362=1,COUNTIF($O$4:$O$2003,"&lt;"&amp;O362)+1,"")</f>
        <v/>
      </c>
      <c r="Q362">
        <f>IF(OR($R361="",$R361="T"),"",IF($R361="B",$Q361,IF($Q361+1&gt;$K$3,"",$Q361+1)))</f>
        <v/>
      </c>
      <c r="R362">
        <f>IF(OR($R361="",$R361="T"),"",IF($R361="B","S",IF($Q361+1&gt;$K$3,"T",IF(INDEX($M$4:$M$2003,MATCH($Q361+1,$P$4:$P$2003,0))&lt;&gt;INDEX($M$4:$M$2003,MATCH($Q361,$P$4:$P$2003,0)),"B","S"))))</f>
        <v/>
      </c>
      <c r="S362">
        <f>IF(Q362="","",IFERROR(MATCH(Q362,$P$4:$P$2003,0),""))</f>
        <v/>
      </c>
    </row>
    <row r="363">
      <c r="A363" s="4">
        <f>IF($R363="","",IF($R363="T","Gesamtergebnis",IF($R363="B",INDEX($M$4:$M$2003,$S363),INDEX($L$4:$L$2003,$S363))))</f>
        <v/>
      </c>
      <c r="B363" s="4">
        <f>IF($R363="","",IF($R363="T",$K$3,IF($R363="B",COUNTIFS($M$4:$M$2003,INDEX($M$4:$M$2003,$S363),$N$4:$N$2003,1),1)))</f>
        <v/>
      </c>
      <c r="L363">
        <f>IF($K$1="","",IFERROR(INDEX(Lines!$A:$AA,ROW()-2,$K$1),""))</f>
        <v/>
      </c>
      <c r="M363">
        <f>IF($K$2="","",IFERROR(INDEX(Lines!$A:$AA,ROW()-2,$K$2),""))</f>
        <v/>
      </c>
      <c r="N363">
        <f>IF(AND(L363&lt;&gt;"",LEFT(L363,1)="N",M363&lt;&gt;"PICKING",M363&lt;&gt;""),1,0)</f>
        <v/>
      </c>
      <c r="O363">
        <f>IF(N363=1,M363&amp;"|"&amp;L363,REPT("z",40))</f>
        <v/>
      </c>
      <c r="P363">
        <f>IF(N363=1,COUNTIF($O$4:$O$2003,"&lt;"&amp;O363)+1,"")</f>
        <v/>
      </c>
      <c r="Q363">
        <f>IF(OR($R362="",$R362="T"),"",IF($R362="B",$Q362,IF($Q362+1&gt;$K$3,"",$Q362+1)))</f>
        <v/>
      </c>
      <c r="R363">
        <f>IF(OR($R362="",$R362="T"),"",IF($R362="B","S",IF($Q362+1&gt;$K$3,"T",IF(INDEX($M$4:$M$2003,MATCH($Q362+1,$P$4:$P$2003,0))&lt;&gt;INDEX($M$4:$M$2003,MATCH($Q362,$P$4:$P$2003,0)),"B","S"))))</f>
        <v/>
      </c>
      <c r="S363">
        <f>IF(Q363="","",IFERROR(MATCH(Q363,$P$4:$P$2003,0),""))</f>
        <v/>
      </c>
    </row>
    <row r="364">
      <c r="A364" s="4">
        <f>IF($R364="","",IF($R364="T","Gesamtergebnis",IF($R364="B",INDEX($M$4:$M$2003,$S364),INDEX($L$4:$L$2003,$S364))))</f>
        <v/>
      </c>
      <c r="B364" s="4">
        <f>IF($R364="","",IF($R364="T",$K$3,IF($R364="B",COUNTIFS($M$4:$M$2003,INDEX($M$4:$M$2003,$S364),$N$4:$N$2003,1),1)))</f>
        <v/>
      </c>
      <c r="L364">
        <f>IF($K$1="","",IFERROR(INDEX(Lines!$A:$AA,ROW()-2,$K$1),""))</f>
        <v/>
      </c>
      <c r="M364">
        <f>IF($K$2="","",IFERROR(INDEX(Lines!$A:$AA,ROW()-2,$K$2),""))</f>
        <v/>
      </c>
      <c r="N364">
        <f>IF(AND(L364&lt;&gt;"",LEFT(L364,1)="N",M364&lt;&gt;"PICKING",M364&lt;&gt;""),1,0)</f>
        <v/>
      </c>
      <c r="O364">
        <f>IF(N364=1,M364&amp;"|"&amp;L364,REPT("z",40))</f>
        <v/>
      </c>
      <c r="P364">
        <f>IF(N364=1,COUNTIF($O$4:$O$2003,"&lt;"&amp;O364)+1,"")</f>
        <v/>
      </c>
      <c r="Q364">
        <f>IF(OR($R363="",$R363="T"),"",IF($R363="B",$Q363,IF($Q363+1&gt;$K$3,"",$Q363+1)))</f>
        <v/>
      </c>
      <c r="R364">
        <f>IF(OR($R363="",$R363="T"),"",IF($R363="B","S",IF($Q363+1&gt;$K$3,"T",IF(INDEX($M$4:$M$2003,MATCH($Q363+1,$P$4:$P$2003,0))&lt;&gt;INDEX($M$4:$M$2003,MATCH($Q363,$P$4:$P$2003,0)),"B","S"))))</f>
        <v/>
      </c>
      <c r="S364">
        <f>IF(Q364="","",IFERROR(MATCH(Q364,$P$4:$P$2003,0),""))</f>
        <v/>
      </c>
    </row>
    <row r="365">
      <c r="A365" s="4">
        <f>IF($R365="","",IF($R365="T","Gesamtergebnis",IF($R365="B",INDEX($M$4:$M$2003,$S365),INDEX($L$4:$L$2003,$S365))))</f>
        <v/>
      </c>
      <c r="B365" s="4">
        <f>IF($R365="","",IF($R365="T",$K$3,IF($R365="B",COUNTIFS($M$4:$M$2003,INDEX($M$4:$M$2003,$S365),$N$4:$N$2003,1),1)))</f>
        <v/>
      </c>
      <c r="L365">
        <f>IF($K$1="","",IFERROR(INDEX(Lines!$A:$AA,ROW()-2,$K$1),""))</f>
        <v/>
      </c>
      <c r="M365">
        <f>IF($K$2="","",IFERROR(INDEX(Lines!$A:$AA,ROW()-2,$K$2),""))</f>
        <v/>
      </c>
      <c r="N365">
        <f>IF(AND(L365&lt;&gt;"",LEFT(L365,1)="N",M365&lt;&gt;"PICKING",M365&lt;&gt;""),1,0)</f>
        <v/>
      </c>
      <c r="O365">
        <f>IF(N365=1,M365&amp;"|"&amp;L365,REPT("z",40))</f>
        <v/>
      </c>
      <c r="P365">
        <f>IF(N365=1,COUNTIF($O$4:$O$2003,"&lt;"&amp;O365)+1,"")</f>
        <v/>
      </c>
      <c r="Q365">
        <f>IF(OR($R364="",$R364="T"),"",IF($R364="B",$Q364,IF($Q364+1&gt;$K$3,"",$Q364+1)))</f>
        <v/>
      </c>
      <c r="R365">
        <f>IF(OR($R364="",$R364="T"),"",IF($R364="B","S",IF($Q364+1&gt;$K$3,"T",IF(INDEX($M$4:$M$2003,MATCH($Q364+1,$P$4:$P$2003,0))&lt;&gt;INDEX($M$4:$M$2003,MATCH($Q364,$P$4:$P$2003,0)),"B","S"))))</f>
        <v/>
      </c>
      <c r="S365">
        <f>IF(Q365="","",IFERROR(MATCH(Q365,$P$4:$P$2003,0),""))</f>
        <v/>
      </c>
    </row>
    <row r="366">
      <c r="A366" s="4">
        <f>IF($R366="","",IF($R366="T","Gesamtergebnis",IF($R366="B",INDEX($M$4:$M$2003,$S366),INDEX($L$4:$L$2003,$S366))))</f>
        <v/>
      </c>
      <c r="B366" s="4">
        <f>IF($R366="","",IF($R366="T",$K$3,IF($R366="B",COUNTIFS($M$4:$M$2003,INDEX($M$4:$M$2003,$S366),$N$4:$N$2003,1),1)))</f>
        <v/>
      </c>
      <c r="L366">
        <f>IF($K$1="","",IFERROR(INDEX(Lines!$A:$AA,ROW()-2,$K$1),""))</f>
        <v/>
      </c>
      <c r="M366">
        <f>IF($K$2="","",IFERROR(INDEX(Lines!$A:$AA,ROW()-2,$K$2),""))</f>
        <v/>
      </c>
      <c r="N366">
        <f>IF(AND(L366&lt;&gt;"",LEFT(L366,1)="N",M366&lt;&gt;"PICKING",M366&lt;&gt;""),1,0)</f>
        <v/>
      </c>
      <c r="O366">
        <f>IF(N366=1,M366&amp;"|"&amp;L366,REPT("z",40))</f>
        <v/>
      </c>
      <c r="P366">
        <f>IF(N366=1,COUNTIF($O$4:$O$2003,"&lt;"&amp;O366)+1,"")</f>
        <v/>
      </c>
      <c r="Q366">
        <f>IF(OR($R365="",$R365="T"),"",IF($R365="B",$Q365,IF($Q365+1&gt;$K$3,"",$Q365+1)))</f>
        <v/>
      </c>
      <c r="R366">
        <f>IF(OR($R365="",$R365="T"),"",IF($R365="B","S",IF($Q365+1&gt;$K$3,"T",IF(INDEX($M$4:$M$2003,MATCH($Q365+1,$P$4:$P$2003,0))&lt;&gt;INDEX($M$4:$M$2003,MATCH($Q365,$P$4:$P$2003,0)),"B","S"))))</f>
        <v/>
      </c>
      <c r="S366">
        <f>IF(Q366="","",IFERROR(MATCH(Q366,$P$4:$P$2003,0),""))</f>
        <v/>
      </c>
    </row>
    <row r="367">
      <c r="A367" s="4">
        <f>IF($R367="","",IF($R367="T","Gesamtergebnis",IF($R367="B",INDEX($M$4:$M$2003,$S367),INDEX($L$4:$L$2003,$S367))))</f>
        <v/>
      </c>
      <c r="B367" s="4">
        <f>IF($R367="","",IF($R367="T",$K$3,IF($R367="B",COUNTIFS($M$4:$M$2003,INDEX($M$4:$M$2003,$S367),$N$4:$N$2003,1),1)))</f>
        <v/>
      </c>
      <c r="L367">
        <f>IF($K$1="","",IFERROR(INDEX(Lines!$A:$AA,ROW()-2,$K$1),""))</f>
        <v/>
      </c>
      <c r="M367">
        <f>IF($K$2="","",IFERROR(INDEX(Lines!$A:$AA,ROW()-2,$K$2),""))</f>
        <v/>
      </c>
      <c r="N367">
        <f>IF(AND(L367&lt;&gt;"",LEFT(L367,1)="N",M367&lt;&gt;"PICKING",M367&lt;&gt;""),1,0)</f>
        <v/>
      </c>
      <c r="O367">
        <f>IF(N367=1,M367&amp;"|"&amp;L367,REPT("z",40))</f>
        <v/>
      </c>
      <c r="P367">
        <f>IF(N367=1,COUNTIF($O$4:$O$2003,"&lt;"&amp;O367)+1,"")</f>
        <v/>
      </c>
      <c r="Q367">
        <f>IF(OR($R366="",$R366="T"),"",IF($R366="B",$Q366,IF($Q366+1&gt;$K$3,"",$Q366+1)))</f>
        <v/>
      </c>
      <c r="R367">
        <f>IF(OR($R366="",$R366="T"),"",IF($R366="B","S",IF($Q366+1&gt;$K$3,"T",IF(INDEX($M$4:$M$2003,MATCH($Q366+1,$P$4:$P$2003,0))&lt;&gt;INDEX($M$4:$M$2003,MATCH($Q366,$P$4:$P$2003,0)),"B","S"))))</f>
        <v/>
      </c>
      <c r="S367">
        <f>IF(Q367="","",IFERROR(MATCH(Q367,$P$4:$P$2003,0),""))</f>
        <v/>
      </c>
    </row>
    <row r="368">
      <c r="A368" s="4">
        <f>IF($R368="","",IF($R368="T","Gesamtergebnis",IF($R368="B",INDEX($M$4:$M$2003,$S368),INDEX($L$4:$L$2003,$S368))))</f>
        <v/>
      </c>
      <c r="B368" s="4">
        <f>IF($R368="","",IF($R368="T",$K$3,IF($R368="B",COUNTIFS($M$4:$M$2003,INDEX($M$4:$M$2003,$S368),$N$4:$N$2003,1),1)))</f>
        <v/>
      </c>
      <c r="L368">
        <f>IF($K$1="","",IFERROR(INDEX(Lines!$A:$AA,ROW()-2,$K$1),""))</f>
        <v/>
      </c>
      <c r="M368">
        <f>IF($K$2="","",IFERROR(INDEX(Lines!$A:$AA,ROW()-2,$K$2),""))</f>
        <v/>
      </c>
      <c r="N368">
        <f>IF(AND(L368&lt;&gt;"",LEFT(L368,1)="N",M368&lt;&gt;"PICKING",M368&lt;&gt;""),1,0)</f>
        <v/>
      </c>
      <c r="O368">
        <f>IF(N368=1,M368&amp;"|"&amp;L368,REPT("z",40))</f>
        <v/>
      </c>
      <c r="P368">
        <f>IF(N368=1,COUNTIF($O$4:$O$2003,"&lt;"&amp;O368)+1,"")</f>
        <v/>
      </c>
      <c r="Q368">
        <f>IF(OR($R367="",$R367="T"),"",IF($R367="B",$Q367,IF($Q367+1&gt;$K$3,"",$Q367+1)))</f>
        <v/>
      </c>
      <c r="R368">
        <f>IF(OR($R367="",$R367="T"),"",IF($R367="B","S",IF($Q367+1&gt;$K$3,"T",IF(INDEX($M$4:$M$2003,MATCH($Q367+1,$P$4:$P$2003,0))&lt;&gt;INDEX($M$4:$M$2003,MATCH($Q367,$P$4:$P$2003,0)),"B","S"))))</f>
        <v/>
      </c>
      <c r="S368">
        <f>IF(Q368="","",IFERROR(MATCH(Q368,$P$4:$P$2003,0),""))</f>
        <v/>
      </c>
    </row>
    <row r="369">
      <c r="A369" s="4">
        <f>IF($R369="","",IF($R369="T","Gesamtergebnis",IF($R369="B",INDEX($M$4:$M$2003,$S369),INDEX($L$4:$L$2003,$S369))))</f>
        <v/>
      </c>
      <c r="B369" s="4">
        <f>IF($R369="","",IF($R369="T",$K$3,IF($R369="B",COUNTIFS($M$4:$M$2003,INDEX($M$4:$M$2003,$S369),$N$4:$N$2003,1),1)))</f>
        <v/>
      </c>
      <c r="L369">
        <f>IF($K$1="","",IFERROR(INDEX(Lines!$A:$AA,ROW()-2,$K$1),""))</f>
        <v/>
      </c>
      <c r="M369">
        <f>IF($K$2="","",IFERROR(INDEX(Lines!$A:$AA,ROW()-2,$K$2),""))</f>
        <v/>
      </c>
      <c r="N369">
        <f>IF(AND(L369&lt;&gt;"",LEFT(L369,1)="N",M369&lt;&gt;"PICKING",M369&lt;&gt;""),1,0)</f>
        <v/>
      </c>
      <c r="O369">
        <f>IF(N369=1,M369&amp;"|"&amp;L369,REPT("z",40))</f>
        <v/>
      </c>
      <c r="P369">
        <f>IF(N369=1,COUNTIF($O$4:$O$2003,"&lt;"&amp;O369)+1,"")</f>
        <v/>
      </c>
      <c r="Q369">
        <f>IF(OR($R368="",$R368="T"),"",IF($R368="B",$Q368,IF($Q368+1&gt;$K$3,"",$Q368+1)))</f>
        <v/>
      </c>
      <c r="R369">
        <f>IF(OR($R368="",$R368="T"),"",IF($R368="B","S",IF($Q368+1&gt;$K$3,"T",IF(INDEX($M$4:$M$2003,MATCH($Q368+1,$P$4:$P$2003,0))&lt;&gt;INDEX($M$4:$M$2003,MATCH($Q368,$P$4:$P$2003,0)),"B","S"))))</f>
        <v/>
      </c>
      <c r="S369">
        <f>IF(Q369="","",IFERROR(MATCH(Q369,$P$4:$P$2003,0),""))</f>
        <v/>
      </c>
    </row>
    <row r="370">
      <c r="A370" s="4">
        <f>IF($R370="","",IF($R370="T","Gesamtergebnis",IF($R370="B",INDEX($M$4:$M$2003,$S370),INDEX($L$4:$L$2003,$S370))))</f>
        <v/>
      </c>
      <c r="B370" s="4">
        <f>IF($R370="","",IF($R370="T",$K$3,IF($R370="B",COUNTIFS($M$4:$M$2003,INDEX($M$4:$M$2003,$S370),$N$4:$N$2003,1),1)))</f>
        <v/>
      </c>
      <c r="L370">
        <f>IF($K$1="","",IFERROR(INDEX(Lines!$A:$AA,ROW()-2,$K$1),""))</f>
        <v/>
      </c>
      <c r="M370">
        <f>IF($K$2="","",IFERROR(INDEX(Lines!$A:$AA,ROW()-2,$K$2),""))</f>
        <v/>
      </c>
      <c r="N370">
        <f>IF(AND(L370&lt;&gt;"",LEFT(L370,1)="N",M370&lt;&gt;"PICKING",M370&lt;&gt;""),1,0)</f>
        <v/>
      </c>
      <c r="O370">
        <f>IF(N370=1,M370&amp;"|"&amp;L370,REPT("z",40))</f>
        <v/>
      </c>
      <c r="P370">
        <f>IF(N370=1,COUNTIF($O$4:$O$2003,"&lt;"&amp;O370)+1,"")</f>
        <v/>
      </c>
      <c r="Q370">
        <f>IF(OR($R369="",$R369="T"),"",IF($R369="B",$Q369,IF($Q369+1&gt;$K$3,"",$Q369+1)))</f>
        <v/>
      </c>
      <c r="R370">
        <f>IF(OR($R369="",$R369="T"),"",IF($R369="B","S",IF($Q369+1&gt;$K$3,"T",IF(INDEX($M$4:$M$2003,MATCH($Q369+1,$P$4:$P$2003,0))&lt;&gt;INDEX($M$4:$M$2003,MATCH($Q369,$P$4:$P$2003,0)),"B","S"))))</f>
        <v/>
      </c>
      <c r="S370">
        <f>IF(Q370="","",IFERROR(MATCH(Q370,$P$4:$P$2003,0),""))</f>
        <v/>
      </c>
    </row>
    <row r="371">
      <c r="A371" s="4">
        <f>IF($R371="","",IF($R371="T","Gesamtergebnis",IF($R371="B",INDEX($M$4:$M$2003,$S371),INDEX($L$4:$L$2003,$S371))))</f>
        <v/>
      </c>
      <c r="B371" s="4">
        <f>IF($R371="","",IF($R371="T",$K$3,IF($R371="B",COUNTIFS($M$4:$M$2003,INDEX($M$4:$M$2003,$S371),$N$4:$N$2003,1),1)))</f>
        <v/>
      </c>
      <c r="L371">
        <f>IF($K$1="","",IFERROR(INDEX(Lines!$A:$AA,ROW()-2,$K$1),""))</f>
        <v/>
      </c>
      <c r="M371">
        <f>IF($K$2="","",IFERROR(INDEX(Lines!$A:$AA,ROW()-2,$K$2),""))</f>
        <v/>
      </c>
      <c r="N371">
        <f>IF(AND(L371&lt;&gt;"",LEFT(L371,1)="N",M371&lt;&gt;"PICKING",M371&lt;&gt;""),1,0)</f>
        <v/>
      </c>
      <c r="O371">
        <f>IF(N371=1,M371&amp;"|"&amp;L371,REPT("z",40))</f>
        <v/>
      </c>
      <c r="P371">
        <f>IF(N371=1,COUNTIF($O$4:$O$2003,"&lt;"&amp;O371)+1,"")</f>
        <v/>
      </c>
      <c r="Q371">
        <f>IF(OR($R370="",$R370="T"),"",IF($R370="B",$Q370,IF($Q370+1&gt;$K$3,"",$Q370+1)))</f>
        <v/>
      </c>
      <c r="R371">
        <f>IF(OR($R370="",$R370="T"),"",IF($R370="B","S",IF($Q370+1&gt;$K$3,"T",IF(INDEX($M$4:$M$2003,MATCH($Q370+1,$P$4:$P$2003,0))&lt;&gt;INDEX($M$4:$M$2003,MATCH($Q370,$P$4:$P$2003,0)),"B","S"))))</f>
        <v/>
      </c>
      <c r="S371">
        <f>IF(Q371="","",IFERROR(MATCH(Q371,$P$4:$P$2003,0),""))</f>
        <v/>
      </c>
    </row>
    <row r="372">
      <c r="A372" s="4">
        <f>IF($R372="","",IF($R372="T","Gesamtergebnis",IF($R372="B",INDEX($M$4:$M$2003,$S372),INDEX($L$4:$L$2003,$S372))))</f>
        <v/>
      </c>
      <c r="B372" s="4">
        <f>IF($R372="","",IF($R372="T",$K$3,IF($R372="B",COUNTIFS($M$4:$M$2003,INDEX($M$4:$M$2003,$S372),$N$4:$N$2003,1),1)))</f>
        <v/>
      </c>
      <c r="L372">
        <f>IF($K$1="","",IFERROR(INDEX(Lines!$A:$AA,ROW()-2,$K$1),""))</f>
        <v/>
      </c>
      <c r="M372">
        <f>IF($K$2="","",IFERROR(INDEX(Lines!$A:$AA,ROW()-2,$K$2),""))</f>
        <v/>
      </c>
      <c r="N372">
        <f>IF(AND(L372&lt;&gt;"",LEFT(L372,1)="N",M372&lt;&gt;"PICKING",M372&lt;&gt;""),1,0)</f>
        <v/>
      </c>
      <c r="O372">
        <f>IF(N372=1,M372&amp;"|"&amp;L372,REPT("z",40))</f>
        <v/>
      </c>
      <c r="P372">
        <f>IF(N372=1,COUNTIF($O$4:$O$2003,"&lt;"&amp;O372)+1,"")</f>
        <v/>
      </c>
      <c r="Q372">
        <f>IF(OR($R371="",$R371="T"),"",IF($R371="B",$Q371,IF($Q371+1&gt;$K$3,"",$Q371+1)))</f>
        <v/>
      </c>
      <c r="R372">
        <f>IF(OR($R371="",$R371="T"),"",IF($R371="B","S",IF($Q371+1&gt;$K$3,"T",IF(INDEX($M$4:$M$2003,MATCH($Q371+1,$P$4:$P$2003,0))&lt;&gt;INDEX($M$4:$M$2003,MATCH($Q371,$P$4:$P$2003,0)),"B","S"))))</f>
        <v/>
      </c>
      <c r="S372">
        <f>IF(Q372="","",IFERROR(MATCH(Q372,$P$4:$P$2003,0),""))</f>
        <v/>
      </c>
    </row>
    <row r="373">
      <c r="A373" s="4">
        <f>IF($R373="","",IF($R373="T","Gesamtergebnis",IF($R373="B",INDEX($M$4:$M$2003,$S373),INDEX($L$4:$L$2003,$S373))))</f>
        <v/>
      </c>
      <c r="B373" s="4">
        <f>IF($R373="","",IF($R373="T",$K$3,IF($R373="B",COUNTIFS($M$4:$M$2003,INDEX($M$4:$M$2003,$S373),$N$4:$N$2003,1),1)))</f>
        <v/>
      </c>
      <c r="L373">
        <f>IF($K$1="","",IFERROR(INDEX(Lines!$A:$AA,ROW()-2,$K$1),""))</f>
        <v/>
      </c>
      <c r="M373">
        <f>IF($K$2="","",IFERROR(INDEX(Lines!$A:$AA,ROW()-2,$K$2),""))</f>
        <v/>
      </c>
      <c r="N373">
        <f>IF(AND(L373&lt;&gt;"",LEFT(L373,1)="N",M373&lt;&gt;"PICKING",M373&lt;&gt;""),1,0)</f>
        <v/>
      </c>
      <c r="O373">
        <f>IF(N373=1,M373&amp;"|"&amp;L373,REPT("z",40))</f>
        <v/>
      </c>
      <c r="P373">
        <f>IF(N373=1,COUNTIF($O$4:$O$2003,"&lt;"&amp;O373)+1,"")</f>
        <v/>
      </c>
      <c r="Q373">
        <f>IF(OR($R372="",$R372="T"),"",IF($R372="B",$Q372,IF($Q372+1&gt;$K$3,"",$Q372+1)))</f>
        <v/>
      </c>
      <c r="R373">
        <f>IF(OR($R372="",$R372="T"),"",IF($R372="B","S",IF($Q372+1&gt;$K$3,"T",IF(INDEX($M$4:$M$2003,MATCH($Q372+1,$P$4:$P$2003,0))&lt;&gt;INDEX($M$4:$M$2003,MATCH($Q372,$P$4:$P$2003,0)),"B","S"))))</f>
        <v/>
      </c>
      <c r="S373">
        <f>IF(Q373="","",IFERROR(MATCH(Q373,$P$4:$P$2003,0),""))</f>
        <v/>
      </c>
    </row>
    <row r="374">
      <c r="A374" s="4">
        <f>IF($R374="","",IF($R374="T","Gesamtergebnis",IF($R374="B",INDEX($M$4:$M$2003,$S374),INDEX($L$4:$L$2003,$S374))))</f>
        <v/>
      </c>
      <c r="B374" s="4">
        <f>IF($R374="","",IF($R374="T",$K$3,IF($R374="B",COUNTIFS($M$4:$M$2003,INDEX($M$4:$M$2003,$S374),$N$4:$N$2003,1),1)))</f>
        <v/>
      </c>
      <c r="L374">
        <f>IF($K$1="","",IFERROR(INDEX(Lines!$A:$AA,ROW()-2,$K$1),""))</f>
        <v/>
      </c>
      <c r="M374">
        <f>IF($K$2="","",IFERROR(INDEX(Lines!$A:$AA,ROW()-2,$K$2),""))</f>
        <v/>
      </c>
      <c r="N374">
        <f>IF(AND(L374&lt;&gt;"",LEFT(L374,1)="N",M374&lt;&gt;"PICKING",M374&lt;&gt;""),1,0)</f>
        <v/>
      </c>
      <c r="O374">
        <f>IF(N374=1,M374&amp;"|"&amp;L374,REPT("z",40))</f>
        <v/>
      </c>
      <c r="P374">
        <f>IF(N374=1,COUNTIF($O$4:$O$2003,"&lt;"&amp;O374)+1,"")</f>
        <v/>
      </c>
      <c r="Q374">
        <f>IF(OR($R373="",$R373="T"),"",IF($R373="B",$Q373,IF($Q373+1&gt;$K$3,"",$Q373+1)))</f>
        <v/>
      </c>
      <c r="R374">
        <f>IF(OR($R373="",$R373="T"),"",IF($R373="B","S",IF($Q373+1&gt;$K$3,"T",IF(INDEX($M$4:$M$2003,MATCH($Q373+1,$P$4:$P$2003,0))&lt;&gt;INDEX($M$4:$M$2003,MATCH($Q373,$P$4:$P$2003,0)),"B","S"))))</f>
        <v/>
      </c>
      <c r="S374">
        <f>IF(Q374="","",IFERROR(MATCH(Q374,$P$4:$P$2003,0),""))</f>
        <v/>
      </c>
    </row>
    <row r="375">
      <c r="A375" s="4">
        <f>IF($R375="","",IF($R375="T","Gesamtergebnis",IF($R375="B",INDEX($M$4:$M$2003,$S375),INDEX($L$4:$L$2003,$S375))))</f>
        <v/>
      </c>
      <c r="B375" s="4">
        <f>IF($R375="","",IF($R375="T",$K$3,IF($R375="B",COUNTIFS($M$4:$M$2003,INDEX($M$4:$M$2003,$S375),$N$4:$N$2003,1),1)))</f>
        <v/>
      </c>
      <c r="L375">
        <f>IF($K$1="","",IFERROR(INDEX(Lines!$A:$AA,ROW()-2,$K$1),""))</f>
        <v/>
      </c>
      <c r="M375">
        <f>IF($K$2="","",IFERROR(INDEX(Lines!$A:$AA,ROW()-2,$K$2),""))</f>
        <v/>
      </c>
      <c r="N375">
        <f>IF(AND(L375&lt;&gt;"",LEFT(L375,1)="N",M375&lt;&gt;"PICKING",M375&lt;&gt;""),1,0)</f>
        <v/>
      </c>
      <c r="O375">
        <f>IF(N375=1,M375&amp;"|"&amp;L375,REPT("z",40))</f>
        <v/>
      </c>
      <c r="P375">
        <f>IF(N375=1,COUNTIF($O$4:$O$2003,"&lt;"&amp;O375)+1,"")</f>
        <v/>
      </c>
      <c r="Q375">
        <f>IF(OR($R374="",$R374="T"),"",IF($R374="B",$Q374,IF($Q374+1&gt;$K$3,"",$Q374+1)))</f>
        <v/>
      </c>
      <c r="R375">
        <f>IF(OR($R374="",$R374="T"),"",IF($R374="B","S",IF($Q374+1&gt;$K$3,"T",IF(INDEX($M$4:$M$2003,MATCH($Q374+1,$P$4:$P$2003,0))&lt;&gt;INDEX($M$4:$M$2003,MATCH($Q374,$P$4:$P$2003,0)),"B","S"))))</f>
        <v/>
      </c>
      <c r="S375">
        <f>IF(Q375="","",IFERROR(MATCH(Q375,$P$4:$P$2003,0),""))</f>
        <v/>
      </c>
    </row>
    <row r="376">
      <c r="A376" s="4">
        <f>IF($R376="","",IF($R376="T","Gesamtergebnis",IF($R376="B",INDEX($M$4:$M$2003,$S376),INDEX($L$4:$L$2003,$S376))))</f>
        <v/>
      </c>
      <c r="B376" s="4">
        <f>IF($R376="","",IF($R376="T",$K$3,IF($R376="B",COUNTIFS($M$4:$M$2003,INDEX($M$4:$M$2003,$S376),$N$4:$N$2003,1),1)))</f>
        <v/>
      </c>
      <c r="L376">
        <f>IF($K$1="","",IFERROR(INDEX(Lines!$A:$AA,ROW()-2,$K$1),""))</f>
        <v/>
      </c>
      <c r="M376">
        <f>IF($K$2="","",IFERROR(INDEX(Lines!$A:$AA,ROW()-2,$K$2),""))</f>
        <v/>
      </c>
      <c r="N376">
        <f>IF(AND(L376&lt;&gt;"",LEFT(L376,1)="N",M376&lt;&gt;"PICKING",M376&lt;&gt;""),1,0)</f>
        <v/>
      </c>
      <c r="O376">
        <f>IF(N376=1,M376&amp;"|"&amp;L376,REPT("z",40))</f>
        <v/>
      </c>
      <c r="P376">
        <f>IF(N376=1,COUNTIF($O$4:$O$2003,"&lt;"&amp;O376)+1,"")</f>
        <v/>
      </c>
      <c r="Q376">
        <f>IF(OR($R375="",$R375="T"),"",IF($R375="B",$Q375,IF($Q375+1&gt;$K$3,"",$Q375+1)))</f>
        <v/>
      </c>
      <c r="R376">
        <f>IF(OR($R375="",$R375="T"),"",IF($R375="B","S",IF($Q375+1&gt;$K$3,"T",IF(INDEX($M$4:$M$2003,MATCH($Q375+1,$P$4:$P$2003,0))&lt;&gt;INDEX($M$4:$M$2003,MATCH($Q375,$P$4:$P$2003,0)),"B","S"))))</f>
        <v/>
      </c>
      <c r="S376">
        <f>IF(Q376="","",IFERROR(MATCH(Q376,$P$4:$P$2003,0),""))</f>
        <v/>
      </c>
    </row>
    <row r="377">
      <c r="A377" s="4">
        <f>IF($R377="","",IF($R377="T","Gesamtergebnis",IF($R377="B",INDEX($M$4:$M$2003,$S377),INDEX($L$4:$L$2003,$S377))))</f>
        <v/>
      </c>
      <c r="B377" s="4">
        <f>IF($R377="","",IF($R377="T",$K$3,IF($R377="B",COUNTIFS($M$4:$M$2003,INDEX($M$4:$M$2003,$S377),$N$4:$N$2003,1),1)))</f>
        <v/>
      </c>
      <c r="L377">
        <f>IF($K$1="","",IFERROR(INDEX(Lines!$A:$AA,ROW()-2,$K$1),""))</f>
        <v/>
      </c>
      <c r="M377">
        <f>IF($K$2="","",IFERROR(INDEX(Lines!$A:$AA,ROW()-2,$K$2),""))</f>
        <v/>
      </c>
      <c r="N377">
        <f>IF(AND(L377&lt;&gt;"",LEFT(L377,1)="N",M377&lt;&gt;"PICKING",M377&lt;&gt;""),1,0)</f>
        <v/>
      </c>
      <c r="O377">
        <f>IF(N377=1,M377&amp;"|"&amp;L377,REPT("z",40))</f>
        <v/>
      </c>
      <c r="P377">
        <f>IF(N377=1,COUNTIF($O$4:$O$2003,"&lt;"&amp;O377)+1,"")</f>
        <v/>
      </c>
      <c r="Q377">
        <f>IF(OR($R376="",$R376="T"),"",IF($R376="B",$Q376,IF($Q376+1&gt;$K$3,"",$Q376+1)))</f>
        <v/>
      </c>
      <c r="R377">
        <f>IF(OR($R376="",$R376="T"),"",IF($R376="B","S",IF($Q376+1&gt;$K$3,"T",IF(INDEX($M$4:$M$2003,MATCH($Q376+1,$P$4:$P$2003,0))&lt;&gt;INDEX($M$4:$M$2003,MATCH($Q376,$P$4:$P$2003,0)),"B","S"))))</f>
        <v/>
      </c>
      <c r="S377">
        <f>IF(Q377="","",IFERROR(MATCH(Q377,$P$4:$P$2003,0),""))</f>
        <v/>
      </c>
    </row>
    <row r="378">
      <c r="A378" s="4">
        <f>IF($R378="","",IF($R378="T","Gesamtergebnis",IF($R378="B",INDEX($M$4:$M$2003,$S378),INDEX($L$4:$L$2003,$S378))))</f>
        <v/>
      </c>
      <c r="B378" s="4">
        <f>IF($R378="","",IF($R378="T",$K$3,IF($R378="B",COUNTIFS($M$4:$M$2003,INDEX($M$4:$M$2003,$S378),$N$4:$N$2003,1),1)))</f>
        <v/>
      </c>
      <c r="L378">
        <f>IF($K$1="","",IFERROR(INDEX(Lines!$A:$AA,ROW()-2,$K$1),""))</f>
        <v/>
      </c>
      <c r="M378">
        <f>IF($K$2="","",IFERROR(INDEX(Lines!$A:$AA,ROW()-2,$K$2),""))</f>
        <v/>
      </c>
      <c r="N378">
        <f>IF(AND(L378&lt;&gt;"",LEFT(L378,1)="N",M378&lt;&gt;"PICKING",M378&lt;&gt;""),1,0)</f>
        <v/>
      </c>
      <c r="O378">
        <f>IF(N378=1,M378&amp;"|"&amp;L378,REPT("z",40))</f>
        <v/>
      </c>
      <c r="P378">
        <f>IF(N378=1,COUNTIF($O$4:$O$2003,"&lt;"&amp;O378)+1,"")</f>
        <v/>
      </c>
      <c r="Q378">
        <f>IF(OR($R377="",$R377="T"),"",IF($R377="B",$Q377,IF($Q377+1&gt;$K$3,"",$Q377+1)))</f>
        <v/>
      </c>
      <c r="R378">
        <f>IF(OR($R377="",$R377="T"),"",IF($R377="B","S",IF($Q377+1&gt;$K$3,"T",IF(INDEX($M$4:$M$2003,MATCH($Q377+1,$P$4:$P$2003,0))&lt;&gt;INDEX($M$4:$M$2003,MATCH($Q377,$P$4:$P$2003,0)),"B","S"))))</f>
        <v/>
      </c>
      <c r="S378">
        <f>IF(Q378="","",IFERROR(MATCH(Q378,$P$4:$P$2003,0),""))</f>
        <v/>
      </c>
    </row>
    <row r="379">
      <c r="A379" s="4">
        <f>IF($R379="","",IF($R379="T","Gesamtergebnis",IF($R379="B",INDEX($M$4:$M$2003,$S379),INDEX($L$4:$L$2003,$S379))))</f>
        <v/>
      </c>
      <c r="B379" s="4">
        <f>IF($R379="","",IF($R379="T",$K$3,IF($R379="B",COUNTIFS($M$4:$M$2003,INDEX($M$4:$M$2003,$S379),$N$4:$N$2003,1),1)))</f>
        <v/>
      </c>
      <c r="L379">
        <f>IF($K$1="","",IFERROR(INDEX(Lines!$A:$AA,ROW()-2,$K$1),""))</f>
        <v/>
      </c>
      <c r="M379">
        <f>IF($K$2="","",IFERROR(INDEX(Lines!$A:$AA,ROW()-2,$K$2),""))</f>
        <v/>
      </c>
      <c r="N379">
        <f>IF(AND(L379&lt;&gt;"",LEFT(L379,1)="N",M379&lt;&gt;"PICKING",M379&lt;&gt;""),1,0)</f>
        <v/>
      </c>
      <c r="O379">
        <f>IF(N379=1,M379&amp;"|"&amp;L379,REPT("z",40))</f>
        <v/>
      </c>
      <c r="P379">
        <f>IF(N379=1,COUNTIF($O$4:$O$2003,"&lt;"&amp;O379)+1,"")</f>
        <v/>
      </c>
      <c r="Q379">
        <f>IF(OR($R378="",$R378="T"),"",IF($R378="B",$Q378,IF($Q378+1&gt;$K$3,"",$Q378+1)))</f>
        <v/>
      </c>
      <c r="R379">
        <f>IF(OR($R378="",$R378="T"),"",IF($R378="B","S",IF($Q378+1&gt;$K$3,"T",IF(INDEX($M$4:$M$2003,MATCH($Q378+1,$P$4:$P$2003,0))&lt;&gt;INDEX($M$4:$M$2003,MATCH($Q378,$P$4:$P$2003,0)),"B","S"))))</f>
        <v/>
      </c>
      <c r="S379">
        <f>IF(Q379="","",IFERROR(MATCH(Q379,$P$4:$P$2003,0),""))</f>
        <v/>
      </c>
    </row>
    <row r="380">
      <c r="A380" s="4">
        <f>IF($R380="","",IF($R380="T","Gesamtergebnis",IF($R380="B",INDEX($M$4:$M$2003,$S380),INDEX($L$4:$L$2003,$S380))))</f>
        <v/>
      </c>
      <c r="B380" s="4">
        <f>IF($R380="","",IF($R380="T",$K$3,IF($R380="B",COUNTIFS($M$4:$M$2003,INDEX($M$4:$M$2003,$S380),$N$4:$N$2003,1),1)))</f>
        <v/>
      </c>
      <c r="L380">
        <f>IF($K$1="","",IFERROR(INDEX(Lines!$A:$AA,ROW()-2,$K$1),""))</f>
        <v/>
      </c>
      <c r="M380">
        <f>IF($K$2="","",IFERROR(INDEX(Lines!$A:$AA,ROW()-2,$K$2),""))</f>
        <v/>
      </c>
      <c r="N380">
        <f>IF(AND(L380&lt;&gt;"",LEFT(L380,1)="N",M380&lt;&gt;"PICKING",M380&lt;&gt;""),1,0)</f>
        <v/>
      </c>
      <c r="O380">
        <f>IF(N380=1,M380&amp;"|"&amp;L380,REPT("z",40))</f>
        <v/>
      </c>
      <c r="P380">
        <f>IF(N380=1,COUNTIF($O$4:$O$2003,"&lt;"&amp;O380)+1,"")</f>
        <v/>
      </c>
      <c r="Q380">
        <f>IF(OR($R379="",$R379="T"),"",IF($R379="B",$Q379,IF($Q379+1&gt;$K$3,"",$Q379+1)))</f>
        <v/>
      </c>
      <c r="R380">
        <f>IF(OR($R379="",$R379="T"),"",IF($R379="B","S",IF($Q379+1&gt;$K$3,"T",IF(INDEX($M$4:$M$2003,MATCH($Q379+1,$P$4:$P$2003,0))&lt;&gt;INDEX($M$4:$M$2003,MATCH($Q379,$P$4:$P$2003,0)),"B","S"))))</f>
        <v/>
      </c>
      <c r="S380">
        <f>IF(Q380="","",IFERROR(MATCH(Q380,$P$4:$P$2003,0),""))</f>
        <v/>
      </c>
    </row>
    <row r="381">
      <c r="A381" s="4">
        <f>IF($R381="","",IF($R381="T","Gesamtergebnis",IF($R381="B",INDEX($M$4:$M$2003,$S381),INDEX($L$4:$L$2003,$S381))))</f>
        <v/>
      </c>
      <c r="B381" s="4">
        <f>IF($R381="","",IF($R381="T",$K$3,IF($R381="B",COUNTIFS($M$4:$M$2003,INDEX($M$4:$M$2003,$S381),$N$4:$N$2003,1),1)))</f>
        <v/>
      </c>
      <c r="L381">
        <f>IF($K$1="","",IFERROR(INDEX(Lines!$A:$AA,ROW()-2,$K$1),""))</f>
        <v/>
      </c>
      <c r="M381">
        <f>IF($K$2="","",IFERROR(INDEX(Lines!$A:$AA,ROW()-2,$K$2),""))</f>
        <v/>
      </c>
      <c r="N381">
        <f>IF(AND(L381&lt;&gt;"",LEFT(L381,1)="N",M381&lt;&gt;"PICKING",M381&lt;&gt;""),1,0)</f>
        <v/>
      </c>
      <c r="O381">
        <f>IF(N381=1,M381&amp;"|"&amp;L381,REPT("z",40))</f>
        <v/>
      </c>
      <c r="P381">
        <f>IF(N381=1,COUNTIF($O$4:$O$2003,"&lt;"&amp;O381)+1,"")</f>
        <v/>
      </c>
      <c r="Q381">
        <f>IF(OR($R380="",$R380="T"),"",IF($R380="B",$Q380,IF($Q380+1&gt;$K$3,"",$Q380+1)))</f>
        <v/>
      </c>
      <c r="R381">
        <f>IF(OR($R380="",$R380="T"),"",IF($R380="B","S",IF($Q380+1&gt;$K$3,"T",IF(INDEX($M$4:$M$2003,MATCH($Q380+1,$P$4:$P$2003,0))&lt;&gt;INDEX($M$4:$M$2003,MATCH($Q380,$P$4:$P$2003,0)),"B","S"))))</f>
        <v/>
      </c>
      <c r="S381">
        <f>IF(Q381="","",IFERROR(MATCH(Q381,$P$4:$P$2003,0),""))</f>
        <v/>
      </c>
    </row>
    <row r="382">
      <c r="A382" s="4">
        <f>IF($R382="","",IF($R382="T","Gesamtergebnis",IF($R382="B",INDEX($M$4:$M$2003,$S382),INDEX($L$4:$L$2003,$S382))))</f>
        <v/>
      </c>
      <c r="B382" s="4">
        <f>IF($R382="","",IF($R382="T",$K$3,IF($R382="B",COUNTIFS($M$4:$M$2003,INDEX($M$4:$M$2003,$S382),$N$4:$N$2003,1),1)))</f>
        <v/>
      </c>
      <c r="L382">
        <f>IF($K$1="","",IFERROR(INDEX(Lines!$A:$AA,ROW()-2,$K$1),""))</f>
        <v/>
      </c>
      <c r="M382">
        <f>IF($K$2="","",IFERROR(INDEX(Lines!$A:$AA,ROW()-2,$K$2),""))</f>
        <v/>
      </c>
      <c r="N382">
        <f>IF(AND(L382&lt;&gt;"",LEFT(L382,1)="N",M382&lt;&gt;"PICKING",M382&lt;&gt;""),1,0)</f>
        <v/>
      </c>
      <c r="O382">
        <f>IF(N382=1,M382&amp;"|"&amp;L382,REPT("z",40))</f>
        <v/>
      </c>
      <c r="P382">
        <f>IF(N382=1,COUNTIF($O$4:$O$2003,"&lt;"&amp;O382)+1,"")</f>
        <v/>
      </c>
      <c r="Q382">
        <f>IF(OR($R381="",$R381="T"),"",IF($R381="B",$Q381,IF($Q381+1&gt;$K$3,"",$Q381+1)))</f>
        <v/>
      </c>
      <c r="R382">
        <f>IF(OR($R381="",$R381="T"),"",IF($R381="B","S",IF($Q381+1&gt;$K$3,"T",IF(INDEX($M$4:$M$2003,MATCH($Q381+1,$P$4:$P$2003,0))&lt;&gt;INDEX($M$4:$M$2003,MATCH($Q381,$P$4:$P$2003,0)),"B","S"))))</f>
        <v/>
      </c>
      <c r="S382">
        <f>IF(Q382="","",IFERROR(MATCH(Q382,$P$4:$P$2003,0),""))</f>
        <v/>
      </c>
    </row>
    <row r="383">
      <c r="A383" s="4">
        <f>IF($R383="","",IF($R383="T","Gesamtergebnis",IF($R383="B",INDEX($M$4:$M$2003,$S383),INDEX($L$4:$L$2003,$S383))))</f>
        <v/>
      </c>
      <c r="B383" s="4">
        <f>IF($R383="","",IF($R383="T",$K$3,IF($R383="B",COUNTIFS($M$4:$M$2003,INDEX($M$4:$M$2003,$S383),$N$4:$N$2003,1),1)))</f>
        <v/>
      </c>
      <c r="L383">
        <f>IF($K$1="","",IFERROR(INDEX(Lines!$A:$AA,ROW()-2,$K$1),""))</f>
        <v/>
      </c>
      <c r="M383">
        <f>IF($K$2="","",IFERROR(INDEX(Lines!$A:$AA,ROW()-2,$K$2),""))</f>
        <v/>
      </c>
      <c r="N383">
        <f>IF(AND(L383&lt;&gt;"",LEFT(L383,1)="N",M383&lt;&gt;"PICKING",M383&lt;&gt;""),1,0)</f>
        <v/>
      </c>
      <c r="O383">
        <f>IF(N383=1,M383&amp;"|"&amp;L383,REPT("z",40))</f>
        <v/>
      </c>
      <c r="P383">
        <f>IF(N383=1,COUNTIF($O$4:$O$2003,"&lt;"&amp;O383)+1,"")</f>
        <v/>
      </c>
      <c r="Q383">
        <f>IF(OR($R382="",$R382="T"),"",IF($R382="B",$Q382,IF($Q382+1&gt;$K$3,"",$Q382+1)))</f>
        <v/>
      </c>
      <c r="R383">
        <f>IF(OR($R382="",$R382="T"),"",IF($R382="B","S",IF($Q382+1&gt;$K$3,"T",IF(INDEX($M$4:$M$2003,MATCH($Q382+1,$P$4:$P$2003,0))&lt;&gt;INDEX($M$4:$M$2003,MATCH($Q382,$P$4:$P$2003,0)),"B","S"))))</f>
        <v/>
      </c>
      <c r="S383">
        <f>IF(Q383="","",IFERROR(MATCH(Q383,$P$4:$P$2003,0),""))</f>
        <v/>
      </c>
    </row>
    <row r="384">
      <c r="A384" s="4">
        <f>IF($R384="","",IF($R384="T","Gesamtergebnis",IF($R384="B",INDEX($M$4:$M$2003,$S384),INDEX($L$4:$L$2003,$S384))))</f>
        <v/>
      </c>
      <c r="B384" s="4">
        <f>IF($R384="","",IF($R384="T",$K$3,IF($R384="B",COUNTIFS($M$4:$M$2003,INDEX($M$4:$M$2003,$S384),$N$4:$N$2003,1),1)))</f>
        <v/>
      </c>
      <c r="L384">
        <f>IF($K$1="","",IFERROR(INDEX(Lines!$A:$AA,ROW()-2,$K$1),""))</f>
        <v/>
      </c>
      <c r="M384">
        <f>IF($K$2="","",IFERROR(INDEX(Lines!$A:$AA,ROW()-2,$K$2),""))</f>
        <v/>
      </c>
      <c r="N384">
        <f>IF(AND(L384&lt;&gt;"",LEFT(L384,1)="N",M384&lt;&gt;"PICKING",M384&lt;&gt;""),1,0)</f>
        <v/>
      </c>
      <c r="O384">
        <f>IF(N384=1,M384&amp;"|"&amp;L384,REPT("z",40))</f>
        <v/>
      </c>
      <c r="P384">
        <f>IF(N384=1,COUNTIF($O$4:$O$2003,"&lt;"&amp;O384)+1,"")</f>
        <v/>
      </c>
      <c r="Q384">
        <f>IF(OR($R383="",$R383="T"),"",IF($R383="B",$Q383,IF($Q383+1&gt;$K$3,"",$Q383+1)))</f>
        <v/>
      </c>
      <c r="R384">
        <f>IF(OR($R383="",$R383="T"),"",IF($R383="B","S",IF($Q383+1&gt;$K$3,"T",IF(INDEX($M$4:$M$2003,MATCH($Q383+1,$P$4:$P$2003,0))&lt;&gt;INDEX($M$4:$M$2003,MATCH($Q383,$P$4:$P$2003,0)),"B","S"))))</f>
        <v/>
      </c>
      <c r="S384">
        <f>IF(Q384="","",IFERROR(MATCH(Q384,$P$4:$P$2003,0),""))</f>
        <v/>
      </c>
    </row>
    <row r="385">
      <c r="A385" s="4">
        <f>IF($R385="","",IF($R385="T","Gesamtergebnis",IF($R385="B",INDEX($M$4:$M$2003,$S385),INDEX($L$4:$L$2003,$S385))))</f>
        <v/>
      </c>
      <c r="B385" s="4">
        <f>IF($R385="","",IF($R385="T",$K$3,IF($R385="B",COUNTIFS($M$4:$M$2003,INDEX($M$4:$M$2003,$S385),$N$4:$N$2003,1),1)))</f>
        <v/>
      </c>
      <c r="L385">
        <f>IF($K$1="","",IFERROR(INDEX(Lines!$A:$AA,ROW()-2,$K$1),""))</f>
        <v/>
      </c>
      <c r="M385">
        <f>IF($K$2="","",IFERROR(INDEX(Lines!$A:$AA,ROW()-2,$K$2),""))</f>
        <v/>
      </c>
      <c r="N385">
        <f>IF(AND(L385&lt;&gt;"",LEFT(L385,1)="N",M385&lt;&gt;"PICKING",M385&lt;&gt;""),1,0)</f>
        <v/>
      </c>
      <c r="O385">
        <f>IF(N385=1,M385&amp;"|"&amp;L385,REPT("z",40))</f>
        <v/>
      </c>
      <c r="P385">
        <f>IF(N385=1,COUNTIF($O$4:$O$2003,"&lt;"&amp;O385)+1,"")</f>
        <v/>
      </c>
      <c r="Q385">
        <f>IF(OR($R384="",$R384="T"),"",IF($R384="B",$Q384,IF($Q384+1&gt;$K$3,"",$Q384+1)))</f>
        <v/>
      </c>
      <c r="R385">
        <f>IF(OR($R384="",$R384="T"),"",IF($R384="B","S",IF($Q384+1&gt;$K$3,"T",IF(INDEX($M$4:$M$2003,MATCH($Q384+1,$P$4:$P$2003,0))&lt;&gt;INDEX($M$4:$M$2003,MATCH($Q384,$P$4:$P$2003,0)),"B","S"))))</f>
        <v/>
      </c>
      <c r="S385">
        <f>IF(Q385="","",IFERROR(MATCH(Q385,$P$4:$P$2003,0),""))</f>
        <v/>
      </c>
    </row>
    <row r="386">
      <c r="A386" s="4">
        <f>IF($R386="","",IF($R386="T","Gesamtergebnis",IF($R386="B",INDEX($M$4:$M$2003,$S386),INDEX($L$4:$L$2003,$S386))))</f>
        <v/>
      </c>
      <c r="B386" s="4">
        <f>IF($R386="","",IF($R386="T",$K$3,IF($R386="B",COUNTIFS($M$4:$M$2003,INDEX($M$4:$M$2003,$S386),$N$4:$N$2003,1),1)))</f>
        <v/>
      </c>
      <c r="L386">
        <f>IF($K$1="","",IFERROR(INDEX(Lines!$A:$AA,ROW()-2,$K$1),""))</f>
        <v/>
      </c>
      <c r="M386">
        <f>IF($K$2="","",IFERROR(INDEX(Lines!$A:$AA,ROW()-2,$K$2),""))</f>
        <v/>
      </c>
      <c r="N386">
        <f>IF(AND(L386&lt;&gt;"",LEFT(L386,1)="N",M386&lt;&gt;"PICKING",M386&lt;&gt;""),1,0)</f>
        <v/>
      </c>
      <c r="O386">
        <f>IF(N386=1,M386&amp;"|"&amp;L386,REPT("z",40))</f>
        <v/>
      </c>
      <c r="P386">
        <f>IF(N386=1,COUNTIF($O$4:$O$2003,"&lt;"&amp;O386)+1,"")</f>
        <v/>
      </c>
      <c r="Q386">
        <f>IF(OR($R385="",$R385="T"),"",IF($R385="B",$Q385,IF($Q385+1&gt;$K$3,"",$Q385+1)))</f>
        <v/>
      </c>
      <c r="R386">
        <f>IF(OR($R385="",$R385="T"),"",IF($R385="B","S",IF($Q385+1&gt;$K$3,"T",IF(INDEX($M$4:$M$2003,MATCH($Q385+1,$P$4:$P$2003,0))&lt;&gt;INDEX($M$4:$M$2003,MATCH($Q385,$P$4:$P$2003,0)),"B","S"))))</f>
        <v/>
      </c>
      <c r="S386">
        <f>IF(Q386="","",IFERROR(MATCH(Q386,$P$4:$P$2003,0),""))</f>
        <v/>
      </c>
    </row>
    <row r="387">
      <c r="A387" s="4">
        <f>IF($R387="","",IF($R387="T","Gesamtergebnis",IF($R387="B",INDEX($M$4:$M$2003,$S387),INDEX($L$4:$L$2003,$S387))))</f>
        <v/>
      </c>
      <c r="B387" s="4">
        <f>IF($R387="","",IF($R387="T",$K$3,IF($R387="B",COUNTIFS($M$4:$M$2003,INDEX($M$4:$M$2003,$S387),$N$4:$N$2003,1),1)))</f>
        <v/>
      </c>
      <c r="L387">
        <f>IF($K$1="","",IFERROR(INDEX(Lines!$A:$AA,ROW()-2,$K$1),""))</f>
        <v/>
      </c>
      <c r="M387">
        <f>IF($K$2="","",IFERROR(INDEX(Lines!$A:$AA,ROW()-2,$K$2),""))</f>
        <v/>
      </c>
      <c r="N387">
        <f>IF(AND(L387&lt;&gt;"",LEFT(L387,1)="N",M387&lt;&gt;"PICKING",M387&lt;&gt;""),1,0)</f>
        <v/>
      </c>
      <c r="O387">
        <f>IF(N387=1,M387&amp;"|"&amp;L387,REPT("z",40))</f>
        <v/>
      </c>
      <c r="P387">
        <f>IF(N387=1,COUNTIF($O$4:$O$2003,"&lt;"&amp;O387)+1,"")</f>
        <v/>
      </c>
      <c r="Q387">
        <f>IF(OR($R386="",$R386="T"),"",IF($R386="B",$Q386,IF($Q386+1&gt;$K$3,"",$Q386+1)))</f>
        <v/>
      </c>
      <c r="R387">
        <f>IF(OR($R386="",$R386="T"),"",IF($R386="B","S",IF($Q386+1&gt;$K$3,"T",IF(INDEX($M$4:$M$2003,MATCH($Q386+1,$P$4:$P$2003,0))&lt;&gt;INDEX($M$4:$M$2003,MATCH($Q386,$P$4:$P$2003,0)),"B","S"))))</f>
        <v/>
      </c>
      <c r="S387">
        <f>IF(Q387="","",IFERROR(MATCH(Q387,$P$4:$P$2003,0),""))</f>
        <v/>
      </c>
    </row>
    <row r="388">
      <c r="A388" s="4">
        <f>IF($R388="","",IF($R388="T","Gesamtergebnis",IF($R388="B",INDEX($M$4:$M$2003,$S388),INDEX($L$4:$L$2003,$S388))))</f>
        <v/>
      </c>
      <c r="B388" s="4">
        <f>IF($R388="","",IF($R388="T",$K$3,IF($R388="B",COUNTIFS($M$4:$M$2003,INDEX($M$4:$M$2003,$S388),$N$4:$N$2003,1),1)))</f>
        <v/>
      </c>
      <c r="L388">
        <f>IF($K$1="","",IFERROR(INDEX(Lines!$A:$AA,ROW()-2,$K$1),""))</f>
        <v/>
      </c>
      <c r="M388">
        <f>IF($K$2="","",IFERROR(INDEX(Lines!$A:$AA,ROW()-2,$K$2),""))</f>
        <v/>
      </c>
      <c r="N388">
        <f>IF(AND(L388&lt;&gt;"",LEFT(L388,1)="N",M388&lt;&gt;"PICKING",M388&lt;&gt;""),1,0)</f>
        <v/>
      </c>
      <c r="O388">
        <f>IF(N388=1,M388&amp;"|"&amp;L388,REPT("z",40))</f>
        <v/>
      </c>
      <c r="P388">
        <f>IF(N388=1,COUNTIF($O$4:$O$2003,"&lt;"&amp;O388)+1,"")</f>
        <v/>
      </c>
      <c r="Q388">
        <f>IF(OR($R387="",$R387="T"),"",IF($R387="B",$Q387,IF($Q387+1&gt;$K$3,"",$Q387+1)))</f>
        <v/>
      </c>
      <c r="R388">
        <f>IF(OR($R387="",$R387="T"),"",IF($R387="B","S",IF($Q387+1&gt;$K$3,"T",IF(INDEX($M$4:$M$2003,MATCH($Q387+1,$P$4:$P$2003,0))&lt;&gt;INDEX($M$4:$M$2003,MATCH($Q387,$P$4:$P$2003,0)),"B","S"))))</f>
        <v/>
      </c>
      <c r="S388">
        <f>IF(Q388="","",IFERROR(MATCH(Q388,$P$4:$P$2003,0),""))</f>
        <v/>
      </c>
    </row>
    <row r="389">
      <c r="A389" s="4">
        <f>IF($R389="","",IF($R389="T","Gesamtergebnis",IF($R389="B",INDEX($M$4:$M$2003,$S389),INDEX($L$4:$L$2003,$S389))))</f>
        <v/>
      </c>
      <c r="B389" s="4">
        <f>IF($R389="","",IF($R389="T",$K$3,IF($R389="B",COUNTIFS($M$4:$M$2003,INDEX($M$4:$M$2003,$S389),$N$4:$N$2003,1),1)))</f>
        <v/>
      </c>
      <c r="L389">
        <f>IF($K$1="","",IFERROR(INDEX(Lines!$A:$AA,ROW()-2,$K$1),""))</f>
        <v/>
      </c>
      <c r="M389">
        <f>IF($K$2="","",IFERROR(INDEX(Lines!$A:$AA,ROW()-2,$K$2),""))</f>
        <v/>
      </c>
      <c r="N389">
        <f>IF(AND(L389&lt;&gt;"",LEFT(L389,1)="N",M389&lt;&gt;"PICKING",M389&lt;&gt;""),1,0)</f>
        <v/>
      </c>
      <c r="O389">
        <f>IF(N389=1,M389&amp;"|"&amp;L389,REPT("z",40))</f>
        <v/>
      </c>
      <c r="P389">
        <f>IF(N389=1,COUNTIF($O$4:$O$2003,"&lt;"&amp;O389)+1,"")</f>
        <v/>
      </c>
      <c r="Q389">
        <f>IF(OR($R388="",$R388="T"),"",IF($R388="B",$Q388,IF($Q388+1&gt;$K$3,"",$Q388+1)))</f>
        <v/>
      </c>
      <c r="R389">
        <f>IF(OR($R388="",$R388="T"),"",IF($R388="B","S",IF($Q388+1&gt;$K$3,"T",IF(INDEX($M$4:$M$2003,MATCH($Q388+1,$P$4:$P$2003,0))&lt;&gt;INDEX($M$4:$M$2003,MATCH($Q388,$P$4:$P$2003,0)),"B","S"))))</f>
        <v/>
      </c>
      <c r="S389">
        <f>IF(Q389="","",IFERROR(MATCH(Q389,$P$4:$P$2003,0),""))</f>
        <v/>
      </c>
    </row>
    <row r="390">
      <c r="A390" s="4">
        <f>IF($R390="","",IF($R390="T","Gesamtergebnis",IF($R390="B",INDEX($M$4:$M$2003,$S390),INDEX($L$4:$L$2003,$S390))))</f>
        <v/>
      </c>
      <c r="B390" s="4">
        <f>IF($R390="","",IF($R390="T",$K$3,IF($R390="B",COUNTIFS($M$4:$M$2003,INDEX($M$4:$M$2003,$S390),$N$4:$N$2003,1),1)))</f>
        <v/>
      </c>
      <c r="L390">
        <f>IF($K$1="","",IFERROR(INDEX(Lines!$A:$AA,ROW()-2,$K$1),""))</f>
        <v/>
      </c>
      <c r="M390">
        <f>IF($K$2="","",IFERROR(INDEX(Lines!$A:$AA,ROW()-2,$K$2),""))</f>
        <v/>
      </c>
      <c r="N390">
        <f>IF(AND(L390&lt;&gt;"",LEFT(L390,1)="N",M390&lt;&gt;"PICKING",M390&lt;&gt;""),1,0)</f>
        <v/>
      </c>
      <c r="O390">
        <f>IF(N390=1,M390&amp;"|"&amp;L390,REPT("z",40))</f>
        <v/>
      </c>
      <c r="P390">
        <f>IF(N390=1,COUNTIF($O$4:$O$2003,"&lt;"&amp;O390)+1,"")</f>
        <v/>
      </c>
      <c r="Q390">
        <f>IF(OR($R389="",$R389="T"),"",IF($R389="B",$Q389,IF($Q389+1&gt;$K$3,"",$Q389+1)))</f>
        <v/>
      </c>
      <c r="R390">
        <f>IF(OR($R389="",$R389="T"),"",IF($R389="B","S",IF($Q389+1&gt;$K$3,"T",IF(INDEX($M$4:$M$2003,MATCH($Q389+1,$P$4:$P$2003,0))&lt;&gt;INDEX($M$4:$M$2003,MATCH($Q389,$P$4:$P$2003,0)),"B","S"))))</f>
        <v/>
      </c>
      <c r="S390">
        <f>IF(Q390="","",IFERROR(MATCH(Q390,$P$4:$P$2003,0),""))</f>
        <v/>
      </c>
    </row>
    <row r="391">
      <c r="A391" s="4">
        <f>IF($R391="","",IF($R391="T","Gesamtergebnis",IF($R391="B",INDEX($M$4:$M$2003,$S391),INDEX($L$4:$L$2003,$S391))))</f>
        <v/>
      </c>
      <c r="B391" s="4">
        <f>IF($R391="","",IF($R391="T",$K$3,IF($R391="B",COUNTIFS($M$4:$M$2003,INDEX($M$4:$M$2003,$S391),$N$4:$N$2003,1),1)))</f>
        <v/>
      </c>
      <c r="L391">
        <f>IF($K$1="","",IFERROR(INDEX(Lines!$A:$AA,ROW()-2,$K$1),""))</f>
        <v/>
      </c>
      <c r="M391">
        <f>IF($K$2="","",IFERROR(INDEX(Lines!$A:$AA,ROW()-2,$K$2),""))</f>
        <v/>
      </c>
      <c r="N391">
        <f>IF(AND(L391&lt;&gt;"",LEFT(L391,1)="N",M391&lt;&gt;"PICKING",M391&lt;&gt;""),1,0)</f>
        <v/>
      </c>
      <c r="O391">
        <f>IF(N391=1,M391&amp;"|"&amp;L391,REPT("z",40))</f>
        <v/>
      </c>
      <c r="P391">
        <f>IF(N391=1,COUNTIF($O$4:$O$2003,"&lt;"&amp;O391)+1,"")</f>
        <v/>
      </c>
      <c r="Q391">
        <f>IF(OR($R390="",$R390="T"),"",IF($R390="B",$Q390,IF($Q390+1&gt;$K$3,"",$Q390+1)))</f>
        <v/>
      </c>
      <c r="R391">
        <f>IF(OR($R390="",$R390="T"),"",IF($R390="B","S",IF($Q390+1&gt;$K$3,"T",IF(INDEX($M$4:$M$2003,MATCH($Q390+1,$P$4:$P$2003,0))&lt;&gt;INDEX($M$4:$M$2003,MATCH($Q390,$P$4:$P$2003,0)),"B","S"))))</f>
        <v/>
      </c>
      <c r="S391">
        <f>IF(Q391="","",IFERROR(MATCH(Q391,$P$4:$P$2003,0),""))</f>
        <v/>
      </c>
    </row>
    <row r="392">
      <c r="A392" s="4">
        <f>IF($R392="","",IF($R392="T","Gesamtergebnis",IF($R392="B",INDEX($M$4:$M$2003,$S392),INDEX($L$4:$L$2003,$S392))))</f>
        <v/>
      </c>
      <c r="B392" s="4">
        <f>IF($R392="","",IF($R392="T",$K$3,IF($R392="B",COUNTIFS($M$4:$M$2003,INDEX($M$4:$M$2003,$S392),$N$4:$N$2003,1),1)))</f>
        <v/>
      </c>
      <c r="L392">
        <f>IF($K$1="","",IFERROR(INDEX(Lines!$A:$AA,ROW()-2,$K$1),""))</f>
        <v/>
      </c>
      <c r="M392">
        <f>IF($K$2="","",IFERROR(INDEX(Lines!$A:$AA,ROW()-2,$K$2),""))</f>
        <v/>
      </c>
      <c r="N392">
        <f>IF(AND(L392&lt;&gt;"",LEFT(L392,1)="N",M392&lt;&gt;"PICKING",M392&lt;&gt;""),1,0)</f>
        <v/>
      </c>
      <c r="O392">
        <f>IF(N392=1,M392&amp;"|"&amp;L392,REPT("z",40))</f>
        <v/>
      </c>
      <c r="P392">
        <f>IF(N392=1,COUNTIF($O$4:$O$2003,"&lt;"&amp;O392)+1,"")</f>
        <v/>
      </c>
      <c r="Q392">
        <f>IF(OR($R391="",$R391="T"),"",IF($R391="B",$Q391,IF($Q391+1&gt;$K$3,"",$Q391+1)))</f>
        <v/>
      </c>
      <c r="R392">
        <f>IF(OR($R391="",$R391="T"),"",IF($R391="B","S",IF($Q391+1&gt;$K$3,"T",IF(INDEX($M$4:$M$2003,MATCH($Q391+1,$P$4:$P$2003,0))&lt;&gt;INDEX($M$4:$M$2003,MATCH($Q391,$P$4:$P$2003,0)),"B","S"))))</f>
        <v/>
      </c>
      <c r="S392">
        <f>IF(Q392="","",IFERROR(MATCH(Q392,$P$4:$P$2003,0),""))</f>
        <v/>
      </c>
    </row>
    <row r="393">
      <c r="A393" s="4">
        <f>IF($R393="","",IF($R393="T","Gesamtergebnis",IF($R393="B",INDEX($M$4:$M$2003,$S393),INDEX($L$4:$L$2003,$S393))))</f>
        <v/>
      </c>
      <c r="B393" s="4">
        <f>IF($R393="","",IF($R393="T",$K$3,IF($R393="B",COUNTIFS($M$4:$M$2003,INDEX($M$4:$M$2003,$S393),$N$4:$N$2003,1),1)))</f>
        <v/>
      </c>
      <c r="L393">
        <f>IF($K$1="","",IFERROR(INDEX(Lines!$A:$AA,ROW()-2,$K$1),""))</f>
        <v/>
      </c>
      <c r="M393">
        <f>IF($K$2="","",IFERROR(INDEX(Lines!$A:$AA,ROW()-2,$K$2),""))</f>
        <v/>
      </c>
      <c r="N393">
        <f>IF(AND(L393&lt;&gt;"",LEFT(L393,1)="N",M393&lt;&gt;"PICKING",M393&lt;&gt;""),1,0)</f>
        <v/>
      </c>
      <c r="O393">
        <f>IF(N393=1,M393&amp;"|"&amp;L393,REPT("z",40))</f>
        <v/>
      </c>
      <c r="P393">
        <f>IF(N393=1,COUNTIF($O$4:$O$2003,"&lt;"&amp;O393)+1,"")</f>
        <v/>
      </c>
      <c r="Q393">
        <f>IF(OR($R392="",$R392="T"),"",IF($R392="B",$Q392,IF($Q392+1&gt;$K$3,"",$Q392+1)))</f>
        <v/>
      </c>
      <c r="R393">
        <f>IF(OR($R392="",$R392="T"),"",IF($R392="B","S",IF($Q392+1&gt;$K$3,"T",IF(INDEX($M$4:$M$2003,MATCH($Q392+1,$P$4:$P$2003,0))&lt;&gt;INDEX($M$4:$M$2003,MATCH($Q392,$P$4:$P$2003,0)),"B","S"))))</f>
        <v/>
      </c>
      <c r="S393">
        <f>IF(Q393="","",IFERROR(MATCH(Q393,$P$4:$P$2003,0),""))</f>
        <v/>
      </c>
    </row>
    <row r="394">
      <c r="A394" s="4">
        <f>IF($R394="","",IF($R394="T","Gesamtergebnis",IF($R394="B",INDEX($M$4:$M$2003,$S394),INDEX($L$4:$L$2003,$S394))))</f>
        <v/>
      </c>
      <c r="B394" s="4">
        <f>IF($R394="","",IF($R394="T",$K$3,IF($R394="B",COUNTIFS($M$4:$M$2003,INDEX($M$4:$M$2003,$S394),$N$4:$N$2003,1),1)))</f>
        <v/>
      </c>
      <c r="L394">
        <f>IF($K$1="","",IFERROR(INDEX(Lines!$A:$AA,ROW()-2,$K$1),""))</f>
        <v/>
      </c>
      <c r="M394">
        <f>IF($K$2="","",IFERROR(INDEX(Lines!$A:$AA,ROW()-2,$K$2),""))</f>
        <v/>
      </c>
      <c r="N394">
        <f>IF(AND(L394&lt;&gt;"",LEFT(L394,1)="N",M394&lt;&gt;"PICKING",M394&lt;&gt;""),1,0)</f>
        <v/>
      </c>
      <c r="O394">
        <f>IF(N394=1,M394&amp;"|"&amp;L394,REPT("z",40))</f>
        <v/>
      </c>
      <c r="P394">
        <f>IF(N394=1,COUNTIF($O$4:$O$2003,"&lt;"&amp;O394)+1,"")</f>
        <v/>
      </c>
      <c r="Q394">
        <f>IF(OR($R393="",$R393="T"),"",IF($R393="B",$Q393,IF($Q393+1&gt;$K$3,"",$Q393+1)))</f>
        <v/>
      </c>
      <c r="R394">
        <f>IF(OR($R393="",$R393="T"),"",IF($R393="B","S",IF($Q393+1&gt;$K$3,"T",IF(INDEX($M$4:$M$2003,MATCH($Q393+1,$P$4:$P$2003,0))&lt;&gt;INDEX($M$4:$M$2003,MATCH($Q393,$P$4:$P$2003,0)),"B","S"))))</f>
        <v/>
      </c>
      <c r="S394">
        <f>IF(Q394="","",IFERROR(MATCH(Q394,$P$4:$P$2003,0),""))</f>
        <v/>
      </c>
    </row>
    <row r="395">
      <c r="A395" s="4">
        <f>IF($R395="","",IF($R395="T","Gesamtergebnis",IF($R395="B",INDEX($M$4:$M$2003,$S395),INDEX($L$4:$L$2003,$S395))))</f>
        <v/>
      </c>
      <c r="B395" s="4">
        <f>IF($R395="","",IF($R395="T",$K$3,IF($R395="B",COUNTIFS($M$4:$M$2003,INDEX($M$4:$M$2003,$S395),$N$4:$N$2003,1),1)))</f>
        <v/>
      </c>
      <c r="L395">
        <f>IF($K$1="","",IFERROR(INDEX(Lines!$A:$AA,ROW()-2,$K$1),""))</f>
        <v/>
      </c>
      <c r="M395">
        <f>IF($K$2="","",IFERROR(INDEX(Lines!$A:$AA,ROW()-2,$K$2),""))</f>
        <v/>
      </c>
      <c r="N395">
        <f>IF(AND(L395&lt;&gt;"",LEFT(L395,1)="N",M395&lt;&gt;"PICKING",M395&lt;&gt;""),1,0)</f>
        <v/>
      </c>
      <c r="O395">
        <f>IF(N395=1,M395&amp;"|"&amp;L395,REPT("z",40))</f>
        <v/>
      </c>
      <c r="P395">
        <f>IF(N395=1,COUNTIF($O$4:$O$2003,"&lt;"&amp;O395)+1,"")</f>
        <v/>
      </c>
      <c r="Q395">
        <f>IF(OR($R394="",$R394="T"),"",IF($R394="B",$Q394,IF($Q394+1&gt;$K$3,"",$Q394+1)))</f>
        <v/>
      </c>
      <c r="R395">
        <f>IF(OR($R394="",$R394="T"),"",IF($R394="B","S",IF($Q394+1&gt;$K$3,"T",IF(INDEX($M$4:$M$2003,MATCH($Q394+1,$P$4:$P$2003,0))&lt;&gt;INDEX($M$4:$M$2003,MATCH($Q394,$P$4:$P$2003,0)),"B","S"))))</f>
        <v/>
      </c>
      <c r="S395">
        <f>IF(Q395="","",IFERROR(MATCH(Q395,$P$4:$P$2003,0),""))</f>
        <v/>
      </c>
    </row>
    <row r="396">
      <c r="A396" s="4">
        <f>IF($R396="","",IF($R396="T","Gesamtergebnis",IF($R396="B",INDEX($M$4:$M$2003,$S396),INDEX($L$4:$L$2003,$S396))))</f>
        <v/>
      </c>
      <c r="B396" s="4">
        <f>IF($R396="","",IF($R396="T",$K$3,IF($R396="B",COUNTIFS($M$4:$M$2003,INDEX($M$4:$M$2003,$S396),$N$4:$N$2003,1),1)))</f>
        <v/>
      </c>
      <c r="L396">
        <f>IF($K$1="","",IFERROR(INDEX(Lines!$A:$AA,ROW()-2,$K$1),""))</f>
        <v/>
      </c>
      <c r="M396">
        <f>IF($K$2="","",IFERROR(INDEX(Lines!$A:$AA,ROW()-2,$K$2),""))</f>
        <v/>
      </c>
      <c r="N396">
        <f>IF(AND(L396&lt;&gt;"",LEFT(L396,1)="N",M396&lt;&gt;"PICKING",M396&lt;&gt;""),1,0)</f>
        <v/>
      </c>
      <c r="O396">
        <f>IF(N396=1,M396&amp;"|"&amp;L396,REPT("z",40))</f>
        <v/>
      </c>
      <c r="P396">
        <f>IF(N396=1,COUNTIF($O$4:$O$2003,"&lt;"&amp;O396)+1,"")</f>
        <v/>
      </c>
      <c r="Q396">
        <f>IF(OR($R395="",$R395="T"),"",IF($R395="B",$Q395,IF($Q395+1&gt;$K$3,"",$Q395+1)))</f>
        <v/>
      </c>
      <c r="R396">
        <f>IF(OR($R395="",$R395="T"),"",IF($R395="B","S",IF($Q395+1&gt;$K$3,"T",IF(INDEX($M$4:$M$2003,MATCH($Q395+1,$P$4:$P$2003,0))&lt;&gt;INDEX($M$4:$M$2003,MATCH($Q395,$P$4:$P$2003,0)),"B","S"))))</f>
        <v/>
      </c>
      <c r="S396">
        <f>IF(Q396="","",IFERROR(MATCH(Q396,$P$4:$P$2003,0),""))</f>
        <v/>
      </c>
    </row>
    <row r="397">
      <c r="A397" s="4">
        <f>IF($R397="","",IF($R397="T","Gesamtergebnis",IF($R397="B",INDEX($M$4:$M$2003,$S397),INDEX($L$4:$L$2003,$S397))))</f>
        <v/>
      </c>
      <c r="B397" s="4">
        <f>IF($R397="","",IF($R397="T",$K$3,IF($R397="B",COUNTIFS($M$4:$M$2003,INDEX($M$4:$M$2003,$S397),$N$4:$N$2003,1),1)))</f>
        <v/>
      </c>
      <c r="L397">
        <f>IF($K$1="","",IFERROR(INDEX(Lines!$A:$AA,ROW()-2,$K$1),""))</f>
        <v/>
      </c>
      <c r="M397">
        <f>IF($K$2="","",IFERROR(INDEX(Lines!$A:$AA,ROW()-2,$K$2),""))</f>
        <v/>
      </c>
      <c r="N397">
        <f>IF(AND(L397&lt;&gt;"",LEFT(L397,1)="N",M397&lt;&gt;"PICKING",M397&lt;&gt;""),1,0)</f>
        <v/>
      </c>
      <c r="O397">
        <f>IF(N397=1,M397&amp;"|"&amp;L397,REPT("z",40))</f>
        <v/>
      </c>
      <c r="P397">
        <f>IF(N397=1,COUNTIF($O$4:$O$2003,"&lt;"&amp;O397)+1,"")</f>
        <v/>
      </c>
      <c r="Q397">
        <f>IF(OR($R396="",$R396="T"),"",IF($R396="B",$Q396,IF($Q396+1&gt;$K$3,"",$Q396+1)))</f>
        <v/>
      </c>
      <c r="R397">
        <f>IF(OR($R396="",$R396="T"),"",IF($R396="B","S",IF($Q396+1&gt;$K$3,"T",IF(INDEX($M$4:$M$2003,MATCH($Q396+1,$P$4:$P$2003,0))&lt;&gt;INDEX($M$4:$M$2003,MATCH($Q396,$P$4:$P$2003,0)),"B","S"))))</f>
        <v/>
      </c>
      <c r="S397">
        <f>IF(Q397="","",IFERROR(MATCH(Q397,$P$4:$P$2003,0),""))</f>
        <v/>
      </c>
    </row>
    <row r="398">
      <c r="A398" s="4">
        <f>IF($R398="","",IF($R398="T","Gesamtergebnis",IF($R398="B",INDEX($M$4:$M$2003,$S398),INDEX($L$4:$L$2003,$S398))))</f>
        <v/>
      </c>
      <c r="B398" s="4">
        <f>IF($R398="","",IF($R398="T",$K$3,IF($R398="B",COUNTIFS($M$4:$M$2003,INDEX($M$4:$M$2003,$S398),$N$4:$N$2003,1),1)))</f>
        <v/>
      </c>
      <c r="L398">
        <f>IF($K$1="","",IFERROR(INDEX(Lines!$A:$AA,ROW()-2,$K$1),""))</f>
        <v/>
      </c>
      <c r="M398">
        <f>IF($K$2="","",IFERROR(INDEX(Lines!$A:$AA,ROW()-2,$K$2),""))</f>
        <v/>
      </c>
      <c r="N398">
        <f>IF(AND(L398&lt;&gt;"",LEFT(L398,1)="N",M398&lt;&gt;"PICKING",M398&lt;&gt;""),1,0)</f>
        <v/>
      </c>
      <c r="O398">
        <f>IF(N398=1,M398&amp;"|"&amp;L398,REPT("z",40))</f>
        <v/>
      </c>
      <c r="P398">
        <f>IF(N398=1,COUNTIF($O$4:$O$2003,"&lt;"&amp;O398)+1,"")</f>
        <v/>
      </c>
      <c r="Q398">
        <f>IF(OR($R397="",$R397="T"),"",IF($R397="B",$Q397,IF($Q397+1&gt;$K$3,"",$Q397+1)))</f>
        <v/>
      </c>
      <c r="R398">
        <f>IF(OR($R397="",$R397="T"),"",IF($R397="B","S",IF($Q397+1&gt;$K$3,"T",IF(INDEX($M$4:$M$2003,MATCH($Q397+1,$P$4:$P$2003,0))&lt;&gt;INDEX($M$4:$M$2003,MATCH($Q397,$P$4:$P$2003,0)),"B","S"))))</f>
        <v/>
      </c>
      <c r="S398">
        <f>IF(Q398="","",IFERROR(MATCH(Q398,$P$4:$P$2003,0),""))</f>
        <v/>
      </c>
    </row>
    <row r="399">
      <c r="A399" s="4">
        <f>IF($R399="","",IF($R399="T","Gesamtergebnis",IF($R399="B",INDEX($M$4:$M$2003,$S399),INDEX($L$4:$L$2003,$S399))))</f>
        <v/>
      </c>
      <c r="B399" s="4">
        <f>IF($R399="","",IF($R399="T",$K$3,IF($R399="B",COUNTIFS($M$4:$M$2003,INDEX($M$4:$M$2003,$S399),$N$4:$N$2003,1),1)))</f>
        <v/>
      </c>
      <c r="L399">
        <f>IF($K$1="","",IFERROR(INDEX(Lines!$A:$AA,ROW()-2,$K$1),""))</f>
        <v/>
      </c>
      <c r="M399">
        <f>IF($K$2="","",IFERROR(INDEX(Lines!$A:$AA,ROW()-2,$K$2),""))</f>
        <v/>
      </c>
      <c r="N399">
        <f>IF(AND(L399&lt;&gt;"",LEFT(L399,1)="N",M399&lt;&gt;"PICKING",M399&lt;&gt;""),1,0)</f>
        <v/>
      </c>
      <c r="O399">
        <f>IF(N399=1,M399&amp;"|"&amp;L399,REPT("z",40))</f>
        <v/>
      </c>
      <c r="P399">
        <f>IF(N399=1,COUNTIF($O$4:$O$2003,"&lt;"&amp;O399)+1,"")</f>
        <v/>
      </c>
      <c r="Q399">
        <f>IF(OR($R398="",$R398="T"),"",IF($R398="B",$Q398,IF($Q398+1&gt;$K$3,"",$Q398+1)))</f>
        <v/>
      </c>
      <c r="R399">
        <f>IF(OR($R398="",$R398="T"),"",IF($R398="B","S",IF($Q398+1&gt;$K$3,"T",IF(INDEX($M$4:$M$2003,MATCH($Q398+1,$P$4:$P$2003,0))&lt;&gt;INDEX($M$4:$M$2003,MATCH($Q398,$P$4:$P$2003,0)),"B","S"))))</f>
        <v/>
      </c>
      <c r="S399">
        <f>IF(Q399="","",IFERROR(MATCH(Q399,$P$4:$P$2003,0),""))</f>
        <v/>
      </c>
    </row>
    <row r="400">
      <c r="A400" s="4">
        <f>IF($R400="","",IF($R400="T","Gesamtergebnis",IF($R400="B",INDEX($M$4:$M$2003,$S400),INDEX($L$4:$L$2003,$S400))))</f>
        <v/>
      </c>
      <c r="B400" s="4">
        <f>IF($R400="","",IF($R400="T",$K$3,IF($R400="B",COUNTIFS($M$4:$M$2003,INDEX($M$4:$M$2003,$S400),$N$4:$N$2003,1),1)))</f>
        <v/>
      </c>
      <c r="L400">
        <f>IF($K$1="","",IFERROR(INDEX(Lines!$A:$AA,ROW()-2,$K$1),""))</f>
        <v/>
      </c>
      <c r="M400">
        <f>IF($K$2="","",IFERROR(INDEX(Lines!$A:$AA,ROW()-2,$K$2),""))</f>
        <v/>
      </c>
      <c r="N400">
        <f>IF(AND(L400&lt;&gt;"",LEFT(L400,1)="N",M400&lt;&gt;"PICKING",M400&lt;&gt;""),1,0)</f>
        <v/>
      </c>
      <c r="O400">
        <f>IF(N400=1,M400&amp;"|"&amp;L400,REPT("z",40))</f>
        <v/>
      </c>
      <c r="P400">
        <f>IF(N400=1,COUNTIF($O$4:$O$2003,"&lt;"&amp;O400)+1,"")</f>
        <v/>
      </c>
      <c r="Q400">
        <f>IF(OR($R399="",$R399="T"),"",IF($R399="B",$Q399,IF($Q399+1&gt;$K$3,"",$Q399+1)))</f>
        <v/>
      </c>
      <c r="R400">
        <f>IF(OR($R399="",$R399="T"),"",IF($R399="B","S",IF($Q399+1&gt;$K$3,"T",IF(INDEX($M$4:$M$2003,MATCH($Q399+1,$P$4:$P$2003,0))&lt;&gt;INDEX($M$4:$M$2003,MATCH($Q399,$P$4:$P$2003,0)),"B","S"))))</f>
        <v/>
      </c>
      <c r="S400">
        <f>IF(Q400="","",IFERROR(MATCH(Q400,$P$4:$P$2003,0),""))</f>
        <v/>
      </c>
    </row>
    <row r="401">
      <c r="A401" s="4">
        <f>IF($R401="","",IF($R401="T","Gesamtergebnis",IF($R401="B",INDEX($M$4:$M$2003,$S401),INDEX($L$4:$L$2003,$S401))))</f>
        <v/>
      </c>
      <c r="B401" s="4">
        <f>IF($R401="","",IF($R401="T",$K$3,IF($R401="B",COUNTIFS($M$4:$M$2003,INDEX($M$4:$M$2003,$S401),$N$4:$N$2003,1),1)))</f>
        <v/>
      </c>
      <c r="L401">
        <f>IF($K$1="","",IFERROR(INDEX(Lines!$A:$AA,ROW()-2,$K$1),""))</f>
        <v/>
      </c>
      <c r="M401">
        <f>IF($K$2="","",IFERROR(INDEX(Lines!$A:$AA,ROW()-2,$K$2),""))</f>
        <v/>
      </c>
      <c r="N401">
        <f>IF(AND(L401&lt;&gt;"",LEFT(L401,1)="N",M401&lt;&gt;"PICKING",M401&lt;&gt;""),1,0)</f>
        <v/>
      </c>
      <c r="O401">
        <f>IF(N401=1,M401&amp;"|"&amp;L401,REPT("z",40))</f>
        <v/>
      </c>
      <c r="P401">
        <f>IF(N401=1,COUNTIF($O$4:$O$2003,"&lt;"&amp;O401)+1,"")</f>
        <v/>
      </c>
      <c r="Q401">
        <f>IF(OR($R400="",$R400="T"),"",IF($R400="B",$Q400,IF($Q400+1&gt;$K$3,"",$Q400+1)))</f>
        <v/>
      </c>
      <c r="R401">
        <f>IF(OR($R400="",$R400="T"),"",IF($R400="B","S",IF($Q400+1&gt;$K$3,"T",IF(INDEX($M$4:$M$2003,MATCH($Q400+1,$P$4:$P$2003,0))&lt;&gt;INDEX($M$4:$M$2003,MATCH($Q400,$P$4:$P$2003,0)),"B","S"))))</f>
        <v/>
      </c>
      <c r="S401">
        <f>IF(Q401="","",IFERROR(MATCH(Q401,$P$4:$P$2003,0),""))</f>
        <v/>
      </c>
    </row>
    <row r="402">
      <c r="A402" s="4">
        <f>IF($R402="","",IF($R402="T","Gesamtergebnis",IF($R402="B",INDEX($M$4:$M$2003,$S402),INDEX($L$4:$L$2003,$S402))))</f>
        <v/>
      </c>
      <c r="B402" s="4">
        <f>IF($R402="","",IF($R402="T",$K$3,IF($R402="B",COUNTIFS($M$4:$M$2003,INDEX($M$4:$M$2003,$S402),$N$4:$N$2003,1),1)))</f>
        <v/>
      </c>
      <c r="L402">
        <f>IF($K$1="","",IFERROR(INDEX(Lines!$A:$AA,ROW()-2,$K$1),""))</f>
        <v/>
      </c>
      <c r="M402">
        <f>IF($K$2="","",IFERROR(INDEX(Lines!$A:$AA,ROW()-2,$K$2),""))</f>
        <v/>
      </c>
      <c r="N402">
        <f>IF(AND(L402&lt;&gt;"",LEFT(L402,1)="N",M402&lt;&gt;"PICKING",M402&lt;&gt;""),1,0)</f>
        <v/>
      </c>
      <c r="O402">
        <f>IF(N402=1,M402&amp;"|"&amp;L402,REPT("z",40))</f>
        <v/>
      </c>
      <c r="P402">
        <f>IF(N402=1,COUNTIF($O$4:$O$2003,"&lt;"&amp;O402)+1,"")</f>
        <v/>
      </c>
      <c r="Q402">
        <f>IF(OR($R401="",$R401="T"),"",IF($R401="B",$Q401,IF($Q401+1&gt;$K$3,"",$Q401+1)))</f>
        <v/>
      </c>
      <c r="R402">
        <f>IF(OR($R401="",$R401="T"),"",IF($R401="B","S",IF($Q401+1&gt;$K$3,"T",IF(INDEX($M$4:$M$2003,MATCH($Q401+1,$P$4:$P$2003,0))&lt;&gt;INDEX($M$4:$M$2003,MATCH($Q401,$P$4:$P$2003,0)),"B","S"))))</f>
        <v/>
      </c>
      <c r="S402">
        <f>IF(Q402="","",IFERROR(MATCH(Q402,$P$4:$P$2003,0),""))</f>
        <v/>
      </c>
    </row>
    <row r="403">
      <c r="A403" s="4">
        <f>IF($R403="","",IF($R403="T","Gesamtergebnis",IF($R403="B",INDEX($M$4:$M$2003,$S403),INDEX($L$4:$L$2003,$S403))))</f>
        <v/>
      </c>
      <c r="B403" s="4">
        <f>IF($R403="","",IF($R403="T",$K$3,IF($R403="B",COUNTIFS($M$4:$M$2003,INDEX($M$4:$M$2003,$S403),$N$4:$N$2003,1),1)))</f>
        <v/>
      </c>
      <c r="L403">
        <f>IF($K$1="","",IFERROR(INDEX(Lines!$A:$AA,ROW()-2,$K$1),""))</f>
        <v/>
      </c>
      <c r="M403">
        <f>IF($K$2="","",IFERROR(INDEX(Lines!$A:$AA,ROW()-2,$K$2),""))</f>
        <v/>
      </c>
      <c r="N403">
        <f>IF(AND(L403&lt;&gt;"",LEFT(L403,1)="N",M403&lt;&gt;"PICKING",M403&lt;&gt;""),1,0)</f>
        <v/>
      </c>
      <c r="O403">
        <f>IF(N403=1,M403&amp;"|"&amp;L403,REPT("z",40))</f>
        <v/>
      </c>
      <c r="P403">
        <f>IF(N403=1,COUNTIF($O$4:$O$2003,"&lt;"&amp;O403)+1,"")</f>
        <v/>
      </c>
      <c r="Q403">
        <f>IF(OR($R402="",$R402="T"),"",IF($R402="B",$Q402,IF($Q402+1&gt;$K$3,"",$Q402+1)))</f>
        <v/>
      </c>
      <c r="R403">
        <f>IF(OR($R402="",$R402="T"),"",IF($R402="B","S",IF($Q402+1&gt;$K$3,"T",IF(INDEX($M$4:$M$2003,MATCH($Q402+1,$P$4:$P$2003,0))&lt;&gt;INDEX($M$4:$M$2003,MATCH($Q402,$P$4:$P$2003,0)),"B","S"))))</f>
        <v/>
      </c>
      <c r="S403">
        <f>IF(Q403="","",IFERROR(MATCH(Q403,$P$4:$P$2003,0),""))</f>
        <v/>
      </c>
    </row>
    <row r="404">
      <c r="A404" s="4">
        <f>IF($R404="","",IF($R404="T","Gesamtergebnis",IF($R404="B",INDEX($M$4:$M$2003,$S404),INDEX($L$4:$L$2003,$S404))))</f>
        <v/>
      </c>
      <c r="B404" s="4">
        <f>IF($R404="","",IF($R404="T",$K$3,IF($R404="B",COUNTIFS($M$4:$M$2003,INDEX($M$4:$M$2003,$S404),$N$4:$N$2003,1),1)))</f>
        <v/>
      </c>
      <c r="L404">
        <f>IF($K$1="","",IFERROR(INDEX(Lines!$A:$AA,ROW()-2,$K$1),""))</f>
        <v/>
      </c>
      <c r="M404">
        <f>IF($K$2="","",IFERROR(INDEX(Lines!$A:$AA,ROW()-2,$K$2),""))</f>
        <v/>
      </c>
      <c r="N404">
        <f>IF(AND(L404&lt;&gt;"",LEFT(L404,1)="N",M404&lt;&gt;"PICKING",M404&lt;&gt;""),1,0)</f>
        <v/>
      </c>
      <c r="O404">
        <f>IF(N404=1,M404&amp;"|"&amp;L404,REPT("z",40))</f>
        <v/>
      </c>
      <c r="P404">
        <f>IF(N404=1,COUNTIF($O$4:$O$2003,"&lt;"&amp;O404)+1,"")</f>
        <v/>
      </c>
      <c r="Q404">
        <f>IF(OR($R403="",$R403="T"),"",IF($R403="B",$Q403,IF($Q403+1&gt;$K$3,"",$Q403+1)))</f>
        <v/>
      </c>
      <c r="R404">
        <f>IF(OR($R403="",$R403="T"),"",IF($R403="B","S",IF($Q403+1&gt;$K$3,"T",IF(INDEX($M$4:$M$2003,MATCH($Q403+1,$P$4:$P$2003,0))&lt;&gt;INDEX($M$4:$M$2003,MATCH($Q403,$P$4:$P$2003,0)),"B","S"))))</f>
        <v/>
      </c>
      <c r="S404">
        <f>IF(Q404="","",IFERROR(MATCH(Q404,$P$4:$P$2003,0),""))</f>
        <v/>
      </c>
    </row>
    <row r="405">
      <c r="A405" s="4">
        <f>IF($R405="","",IF($R405="T","Gesamtergebnis",IF($R405="B",INDEX($M$4:$M$2003,$S405),INDEX($L$4:$L$2003,$S405))))</f>
        <v/>
      </c>
      <c r="B405" s="4">
        <f>IF($R405="","",IF($R405="T",$K$3,IF($R405="B",COUNTIFS($M$4:$M$2003,INDEX($M$4:$M$2003,$S405),$N$4:$N$2003,1),1)))</f>
        <v/>
      </c>
      <c r="L405">
        <f>IF($K$1="","",IFERROR(INDEX(Lines!$A:$AA,ROW()-2,$K$1),""))</f>
        <v/>
      </c>
      <c r="M405">
        <f>IF($K$2="","",IFERROR(INDEX(Lines!$A:$AA,ROW()-2,$K$2),""))</f>
        <v/>
      </c>
      <c r="N405">
        <f>IF(AND(L405&lt;&gt;"",LEFT(L405,1)="N",M405&lt;&gt;"PICKING",M405&lt;&gt;""),1,0)</f>
        <v/>
      </c>
      <c r="O405">
        <f>IF(N405=1,M405&amp;"|"&amp;L405,REPT("z",40))</f>
        <v/>
      </c>
      <c r="P405">
        <f>IF(N405=1,COUNTIF($O$4:$O$2003,"&lt;"&amp;O405)+1,"")</f>
        <v/>
      </c>
      <c r="Q405">
        <f>IF(OR($R404="",$R404="T"),"",IF($R404="B",$Q404,IF($Q404+1&gt;$K$3,"",$Q404+1)))</f>
        <v/>
      </c>
      <c r="R405">
        <f>IF(OR($R404="",$R404="T"),"",IF($R404="B","S",IF($Q404+1&gt;$K$3,"T",IF(INDEX($M$4:$M$2003,MATCH($Q404+1,$P$4:$P$2003,0))&lt;&gt;INDEX($M$4:$M$2003,MATCH($Q404,$P$4:$P$2003,0)),"B","S"))))</f>
        <v/>
      </c>
      <c r="S405">
        <f>IF(Q405="","",IFERROR(MATCH(Q405,$P$4:$P$2003,0),""))</f>
        <v/>
      </c>
    </row>
    <row r="406">
      <c r="A406" s="4">
        <f>IF($R406="","",IF($R406="T","Gesamtergebnis",IF($R406="B",INDEX($M$4:$M$2003,$S406),INDEX($L$4:$L$2003,$S406))))</f>
        <v/>
      </c>
      <c r="B406" s="4">
        <f>IF($R406="","",IF($R406="T",$K$3,IF($R406="B",COUNTIFS($M$4:$M$2003,INDEX($M$4:$M$2003,$S406),$N$4:$N$2003,1),1)))</f>
        <v/>
      </c>
      <c r="L406">
        <f>IF($K$1="","",IFERROR(INDEX(Lines!$A:$AA,ROW()-2,$K$1),""))</f>
        <v/>
      </c>
      <c r="M406">
        <f>IF($K$2="","",IFERROR(INDEX(Lines!$A:$AA,ROW()-2,$K$2),""))</f>
        <v/>
      </c>
      <c r="N406">
        <f>IF(AND(L406&lt;&gt;"",LEFT(L406,1)="N",M406&lt;&gt;"PICKING",M406&lt;&gt;""),1,0)</f>
        <v/>
      </c>
      <c r="O406">
        <f>IF(N406=1,M406&amp;"|"&amp;L406,REPT("z",40))</f>
        <v/>
      </c>
      <c r="P406">
        <f>IF(N406=1,COUNTIF($O$4:$O$2003,"&lt;"&amp;O406)+1,"")</f>
        <v/>
      </c>
      <c r="Q406">
        <f>IF(OR($R405="",$R405="T"),"",IF($R405="B",$Q405,IF($Q405+1&gt;$K$3,"",$Q405+1)))</f>
        <v/>
      </c>
      <c r="R406">
        <f>IF(OR($R405="",$R405="T"),"",IF($R405="B","S",IF($Q405+1&gt;$K$3,"T",IF(INDEX($M$4:$M$2003,MATCH($Q405+1,$P$4:$P$2003,0))&lt;&gt;INDEX($M$4:$M$2003,MATCH($Q405,$P$4:$P$2003,0)),"B","S"))))</f>
        <v/>
      </c>
      <c r="S406">
        <f>IF(Q406="","",IFERROR(MATCH(Q406,$P$4:$P$2003,0),""))</f>
        <v/>
      </c>
    </row>
    <row r="407">
      <c r="A407" s="4">
        <f>IF($R407="","",IF($R407="T","Gesamtergebnis",IF($R407="B",INDEX($M$4:$M$2003,$S407),INDEX($L$4:$L$2003,$S407))))</f>
        <v/>
      </c>
      <c r="B407" s="4">
        <f>IF($R407="","",IF($R407="T",$K$3,IF($R407="B",COUNTIFS($M$4:$M$2003,INDEX($M$4:$M$2003,$S407),$N$4:$N$2003,1),1)))</f>
        <v/>
      </c>
      <c r="L407">
        <f>IF($K$1="","",IFERROR(INDEX(Lines!$A:$AA,ROW()-2,$K$1),""))</f>
        <v/>
      </c>
      <c r="M407">
        <f>IF($K$2="","",IFERROR(INDEX(Lines!$A:$AA,ROW()-2,$K$2),""))</f>
        <v/>
      </c>
      <c r="N407">
        <f>IF(AND(L407&lt;&gt;"",LEFT(L407,1)="N",M407&lt;&gt;"PICKING",M407&lt;&gt;""),1,0)</f>
        <v/>
      </c>
      <c r="O407">
        <f>IF(N407=1,M407&amp;"|"&amp;L407,REPT("z",40))</f>
        <v/>
      </c>
      <c r="P407">
        <f>IF(N407=1,COUNTIF($O$4:$O$2003,"&lt;"&amp;O407)+1,"")</f>
        <v/>
      </c>
      <c r="Q407">
        <f>IF(OR($R406="",$R406="T"),"",IF($R406="B",$Q406,IF($Q406+1&gt;$K$3,"",$Q406+1)))</f>
        <v/>
      </c>
      <c r="R407">
        <f>IF(OR($R406="",$R406="T"),"",IF($R406="B","S",IF($Q406+1&gt;$K$3,"T",IF(INDEX($M$4:$M$2003,MATCH($Q406+1,$P$4:$P$2003,0))&lt;&gt;INDEX($M$4:$M$2003,MATCH($Q406,$P$4:$P$2003,0)),"B","S"))))</f>
        <v/>
      </c>
      <c r="S407">
        <f>IF(Q407="","",IFERROR(MATCH(Q407,$P$4:$P$2003,0),""))</f>
        <v/>
      </c>
    </row>
    <row r="408">
      <c r="A408" s="4">
        <f>IF($R408="","",IF($R408="T","Gesamtergebnis",IF($R408="B",INDEX($M$4:$M$2003,$S408),INDEX($L$4:$L$2003,$S408))))</f>
        <v/>
      </c>
      <c r="B408" s="4">
        <f>IF($R408="","",IF($R408="T",$K$3,IF($R408="B",COUNTIFS($M$4:$M$2003,INDEX($M$4:$M$2003,$S408),$N$4:$N$2003,1),1)))</f>
        <v/>
      </c>
      <c r="L408">
        <f>IF($K$1="","",IFERROR(INDEX(Lines!$A:$AA,ROW()-2,$K$1),""))</f>
        <v/>
      </c>
      <c r="M408">
        <f>IF($K$2="","",IFERROR(INDEX(Lines!$A:$AA,ROW()-2,$K$2),""))</f>
        <v/>
      </c>
      <c r="N408">
        <f>IF(AND(L408&lt;&gt;"",LEFT(L408,1)="N",M408&lt;&gt;"PICKING",M408&lt;&gt;""),1,0)</f>
        <v/>
      </c>
      <c r="O408">
        <f>IF(N408=1,M408&amp;"|"&amp;L408,REPT("z",40))</f>
        <v/>
      </c>
      <c r="P408">
        <f>IF(N408=1,COUNTIF($O$4:$O$2003,"&lt;"&amp;O408)+1,"")</f>
        <v/>
      </c>
      <c r="Q408">
        <f>IF(OR($R407="",$R407="T"),"",IF($R407="B",$Q407,IF($Q407+1&gt;$K$3,"",$Q407+1)))</f>
        <v/>
      </c>
      <c r="R408">
        <f>IF(OR($R407="",$R407="T"),"",IF($R407="B","S",IF($Q407+1&gt;$K$3,"T",IF(INDEX($M$4:$M$2003,MATCH($Q407+1,$P$4:$P$2003,0))&lt;&gt;INDEX($M$4:$M$2003,MATCH($Q407,$P$4:$P$2003,0)),"B","S"))))</f>
        <v/>
      </c>
      <c r="S408">
        <f>IF(Q408="","",IFERROR(MATCH(Q408,$P$4:$P$2003,0),""))</f>
        <v/>
      </c>
    </row>
    <row r="409">
      <c r="A409" s="4">
        <f>IF($R409="","",IF($R409="T","Gesamtergebnis",IF($R409="B",INDEX($M$4:$M$2003,$S409),INDEX($L$4:$L$2003,$S409))))</f>
        <v/>
      </c>
      <c r="B409" s="4">
        <f>IF($R409="","",IF($R409="T",$K$3,IF($R409="B",COUNTIFS($M$4:$M$2003,INDEX($M$4:$M$2003,$S409),$N$4:$N$2003,1),1)))</f>
        <v/>
      </c>
      <c r="L409">
        <f>IF($K$1="","",IFERROR(INDEX(Lines!$A:$AA,ROW()-2,$K$1),""))</f>
        <v/>
      </c>
      <c r="M409">
        <f>IF($K$2="","",IFERROR(INDEX(Lines!$A:$AA,ROW()-2,$K$2),""))</f>
        <v/>
      </c>
      <c r="N409">
        <f>IF(AND(L409&lt;&gt;"",LEFT(L409,1)="N",M409&lt;&gt;"PICKING",M409&lt;&gt;""),1,0)</f>
        <v/>
      </c>
      <c r="O409">
        <f>IF(N409=1,M409&amp;"|"&amp;L409,REPT("z",40))</f>
        <v/>
      </c>
      <c r="P409">
        <f>IF(N409=1,COUNTIF($O$4:$O$2003,"&lt;"&amp;O409)+1,"")</f>
        <v/>
      </c>
      <c r="Q409">
        <f>IF(OR($R408="",$R408="T"),"",IF($R408="B",$Q408,IF($Q408+1&gt;$K$3,"",$Q408+1)))</f>
        <v/>
      </c>
      <c r="R409">
        <f>IF(OR($R408="",$R408="T"),"",IF($R408="B","S",IF($Q408+1&gt;$K$3,"T",IF(INDEX($M$4:$M$2003,MATCH($Q408+1,$P$4:$P$2003,0))&lt;&gt;INDEX($M$4:$M$2003,MATCH($Q408,$P$4:$P$2003,0)),"B","S"))))</f>
        <v/>
      </c>
      <c r="S409">
        <f>IF(Q409="","",IFERROR(MATCH(Q409,$P$4:$P$2003,0),""))</f>
        <v/>
      </c>
    </row>
    <row r="410">
      <c r="A410" s="4">
        <f>IF($R410="","",IF($R410="T","Gesamtergebnis",IF($R410="B",INDEX($M$4:$M$2003,$S410),INDEX($L$4:$L$2003,$S410))))</f>
        <v/>
      </c>
      <c r="B410" s="4">
        <f>IF($R410="","",IF($R410="T",$K$3,IF($R410="B",COUNTIFS($M$4:$M$2003,INDEX($M$4:$M$2003,$S410),$N$4:$N$2003,1),1)))</f>
        <v/>
      </c>
      <c r="L410">
        <f>IF($K$1="","",IFERROR(INDEX(Lines!$A:$AA,ROW()-2,$K$1),""))</f>
        <v/>
      </c>
      <c r="M410">
        <f>IF($K$2="","",IFERROR(INDEX(Lines!$A:$AA,ROW()-2,$K$2),""))</f>
        <v/>
      </c>
      <c r="N410">
        <f>IF(AND(L410&lt;&gt;"",LEFT(L410,1)="N",M410&lt;&gt;"PICKING",M410&lt;&gt;""),1,0)</f>
        <v/>
      </c>
      <c r="O410">
        <f>IF(N410=1,M410&amp;"|"&amp;L410,REPT("z",40))</f>
        <v/>
      </c>
      <c r="P410">
        <f>IF(N410=1,COUNTIF($O$4:$O$2003,"&lt;"&amp;O410)+1,"")</f>
        <v/>
      </c>
      <c r="Q410">
        <f>IF(OR($R409="",$R409="T"),"",IF($R409="B",$Q409,IF($Q409+1&gt;$K$3,"",$Q409+1)))</f>
        <v/>
      </c>
      <c r="R410">
        <f>IF(OR($R409="",$R409="T"),"",IF($R409="B","S",IF($Q409+1&gt;$K$3,"T",IF(INDEX($M$4:$M$2003,MATCH($Q409+1,$P$4:$P$2003,0))&lt;&gt;INDEX($M$4:$M$2003,MATCH($Q409,$P$4:$P$2003,0)),"B","S"))))</f>
        <v/>
      </c>
      <c r="S410">
        <f>IF(Q410="","",IFERROR(MATCH(Q410,$P$4:$P$2003,0),""))</f>
        <v/>
      </c>
    </row>
    <row r="411">
      <c r="A411" s="4">
        <f>IF($R411="","",IF($R411="T","Gesamtergebnis",IF($R411="B",INDEX($M$4:$M$2003,$S411),INDEX($L$4:$L$2003,$S411))))</f>
        <v/>
      </c>
      <c r="B411" s="4">
        <f>IF($R411="","",IF($R411="T",$K$3,IF($R411="B",COUNTIFS($M$4:$M$2003,INDEX($M$4:$M$2003,$S411),$N$4:$N$2003,1),1)))</f>
        <v/>
      </c>
      <c r="L411">
        <f>IF($K$1="","",IFERROR(INDEX(Lines!$A:$AA,ROW()-2,$K$1),""))</f>
        <v/>
      </c>
      <c r="M411">
        <f>IF($K$2="","",IFERROR(INDEX(Lines!$A:$AA,ROW()-2,$K$2),""))</f>
        <v/>
      </c>
      <c r="N411">
        <f>IF(AND(L411&lt;&gt;"",LEFT(L411,1)="N",M411&lt;&gt;"PICKING",M411&lt;&gt;""),1,0)</f>
        <v/>
      </c>
      <c r="O411">
        <f>IF(N411=1,M411&amp;"|"&amp;L411,REPT("z",40))</f>
        <v/>
      </c>
      <c r="P411">
        <f>IF(N411=1,COUNTIF($O$4:$O$2003,"&lt;"&amp;O411)+1,"")</f>
        <v/>
      </c>
      <c r="Q411">
        <f>IF(OR($R410="",$R410="T"),"",IF($R410="B",$Q410,IF($Q410+1&gt;$K$3,"",$Q410+1)))</f>
        <v/>
      </c>
      <c r="R411">
        <f>IF(OR($R410="",$R410="T"),"",IF($R410="B","S",IF($Q410+1&gt;$K$3,"T",IF(INDEX($M$4:$M$2003,MATCH($Q410+1,$P$4:$P$2003,0))&lt;&gt;INDEX($M$4:$M$2003,MATCH($Q410,$P$4:$P$2003,0)),"B","S"))))</f>
        <v/>
      </c>
      <c r="S411">
        <f>IF(Q411="","",IFERROR(MATCH(Q411,$P$4:$P$2003,0),""))</f>
        <v/>
      </c>
    </row>
    <row r="412">
      <c r="A412" s="4">
        <f>IF($R412="","",IF($R412="T","Gesamtergebnis",IF($R412="B",INDEX($M$4:$M$2003,$S412),INDEX($L$4:$L$2003,$S412))))</f>
        <v/>
      </c>
      <c r="B412" s="4">
        <f>IF($R412="","",IF($R412="T",$K$3,IF($R412="B",COUNTIFS($M$4:$M$2003,INDEX($M$4:$M$2003,$S412),$N$4:$N$2003,1),1)))</f>
        <v/>
      </c>
      <c r="L412">
        <f>IF($K$1="","",IFERROR(INDEX(Lines!$A:$AA,ROW()-2,$K$1),""))</f>
        <v/>
      </c>
      <c r="M412">
        <f>IF($K$2="","",IFERROR(INDEX(Lines!$A:$AA,ROW()-2,$K$2),""))</f>
        <v/>
      </c>
      <c r="N412">
        <f>IF(AND(L412&lt;&gt;"",LEFT(L412,1)="N",M412&lt;&gt;"PICKING",M412&lt;&gt;""),1,0)</f>
        <v/>
      </c>
      <c r="O412">
        <f>IF(N412=1,M412&amp;"|"&amp;L412,REPT("z",40))</f>
        <v/>
      </c>
      <c r="P412">
        <f>IF(N412=1,COUNTIF($O$4:$O$2003,"&lt;"&amp;O412)+1,"")</f>
        <v/>
      </c>
      <c r="Q412">
        <f>IF(OR($R411="",$R411="T"),"",IF($R411="B",$Q411,IF($Q411+1&gt;$K$3,"",$Q411+1)))</f>
        <v/>
      </c>
      <c r="R412">
        <f>IF(OR($R411="",$R411="T"),"",IF($R411="B","S",IF($Q411+1&gt;$K$3,"T",IF(INDEX($M$4:$M$2003,MATCH($Q411+1,$P$4:$P$2003,0))&lt;&gt;INDEX($M$4:$M$2003,MATCH($Q411,$P$4:$P$2003,0)),"B","S"))))</f>
        <v/>
      </c>
      <c r="S412">
        <f>IF(Q412="","",IFERROR(MATCH(Q412,$P$4:$P$2003,0),""))</f>
        <v/>
      </c>
    </row>
    <row r="413">
      <c r="A413" s="4">
        <f>IF($R413="","",IF($R413="T","Gesamtergebnis",IF($R413="B",INDEX($M$4:$M$2003,$S413),INDEX($L$4:$L$2003,$S413))))</f>
        <v/>
      </c>
      <c r="B413" s="4">
        <f>IF($R413="","",IF($R413="T",$K$3,IF($R413="B",COUNTIFS($M$4:$M$2003,INDEX($M$4:$M$2003,$S413),$N$4:$N$2003,1),1)))</f>
        <v/>
      </c>
      <c r="L413">
        <f>IF($K$1="","",IFERROR(INDEX(Lines!$A:$AA,ROW()-2,$K$1),""))</f>
        <v/>
      </c>
      <c r="M413">
        <f>IF($K$2="","",IFERROR(INDEX(Lines!$A:$AA,ROW()-2,$K$2),""))</f>
        <v/>
      </c>
      <c r="N413">
        <f>IF(AND(L413&lt;&gt;"",LEFT(L413,1)="N",M413&lt;&gt;"PICKING",M413&lt;&gt;""),1,0)</f>
        <v/>
      </c>
      <c r="O413">
        <f>IF(N413=1,M413&amp;"|"&amp;L413,REPT("z",40))</f>
        <v/>
      </c>
      <c r="P413">
        <f>IF(N413=1,COUNTIF($O$4:$O$2003,"&lt;"&amp;O413)+1,"")</f>
        <v/>
      </c>
      <c r="Q413">
        <f>IF(OR($R412="",$R412="T"),"",IF($R412="B",$Q412,IF($Q412+1&gt;$K$3,"",$Q412+1)))</f>
        <v/>
      </c>
      <c r="R413">
        <f>IF(OR($R412="",$R412="T"),"",IF($R412="B","S",IF($Q412+1&gt;$K$3,"T",IF(INDEX($M$4:$M$2003,MATCH($Q412+1,$P$4:$P$2003,0))&lt;&gt;INDEX($M$4:$M$2003,MATCH($Q412,$P$4:$P$2003,0)),"B","S"))))</f>
        <v/>
      </c>
      <c r="S413">
        <f>IF(Q413="","",IFERROR(MATCH(Q413,$P$4:$P$2003,0),""))</f>
        <v/>
      </c>
    </row>
    <row r="414">
      <c r="A414" s="4">
        <f>IF($R414="","",IF($R414="T","Gesamtergebnis",IF($R414="B",INDEX($M$4:$M$2003,$S414),INDEX($L$4:$L$2003,$S414))))</f>
        <v/>
      </c>
      <c r="B414" s="4">
        <f>IF($R414="","",IF($R414="T",$K$3,IF($R414="B",COUNTIFS($M$4:$M$2003,INDEX($M$4:$M$2003,$S414),$N$4:$N$2003,1),1)))</f>
        <v/>
      </c>
      <c r="L414">
        <f>IF($K$1="","",IFERROR(INDEX(Lines!$A:$AA,ROW()-2,$K$1),""))</f>
        <v/>
      </c>
      <c r="M414">
        <f>IF($K$2="","",IFERROR(INDEX(Lines!$A:$AA,ROW()-2,$K$2),""))</f>
        <v/>
      </c>
      <c r="N414">
        <f>IF(AND(L414&lt;&gt;"",LEFT(L414,1)="N",M414&lt;&gt;"PICKING",M414&lt;&gt;""),1,0)</f>
        <v/>
      </c>
      <c r="O414">
        <f>IF(N414=1,M414&amp;"|"&amp;L414,REPT("z",40))</f>
        <v/>
      </c>
      <c r="P414">
        <f>IF(N414=1,COUNTIF($O$4:$O$2003,"&lt;"&amp;O414)+1,"")</f>
        <v/>
      </c>
      <c r="Q414">
        <f>IF(OR($R413="",$R413="T"),"",IF($R413="B",$Q413,IF($Q413+1&gt;$K$3,"",$Q413+1)))</f>
        <v/>
      </c>
      <c r="R414">
        <f>IF(OR($R413="",$R413="T"),"",IF($R413="B","S",IF($Q413+1&gt;$K$3,"T",IF(INDEX($M$4:$M$2003,MATCH($Q413+1,$P$4:$P$2003,0))&lt;&gt;INDEX($M$4:$M$2003,MATCH($Q413,$P$4:$P$2003,0)),"B","S"))))</f>
        <v/>
      </c>
      <c r="S414">
        <f>IF(Q414="","",IFERROR(MATCH(Q414,$P$4:$P$2003,0),""))</f>
        <v/>
      </c>
    </row>
    <row r="415">
      <c r="A415" s="4">
        <f>IF($R415="","",IF($R415="T","Gesamtergebnis",IF($R415="B",INDEX($M$4:$M$2003,$S415),INDEX($L$4:$L$2003,$S415))))</f>
        <v/>
      </c>
      <c r="B415" s="4">
        <f>IF($R415="","",IF($R415="T",$K$3,IF($R415="B",COUNTIFS($M$4:$M$2003,INDEX($M$4:$M$2003,$S415),$N$4:$N$2003,1),1)))</f>
        <v/>
      </c>
      <c r="L415">
        <f>IF($K$1="","",IFERROR(INDEX(Lines!$A:$AA,ROW()-2,$K$1),""))</f>
        <v/>
      </c>
      <c r="M415">
        <f>IF($K$2="","",IFERROR(INDEX(Lines!$A:$AA,ROW()-2,$K$2),""))</f>
        <v/>
      </c>
      <c r="N415">
        <f>IF(AND(L415&lt;&gt;"",LEFT(L415,1)="N",M415&lt;&gt;"PICKING",M415&lt;&gt;""),1,0)</f>
        <v/>
      </c>
      <c r="O415">
        <f>IF(N415=1,M415&amp;"|"&amp;L415,REPT("z",40))</f>
        <v/>
      </c>
      <c r="P415">
        <f>IF(N415=1,COUNTIF($O$4:$O$2003,"&lt;"&amp;O415)+1,"")</f>
        <v/>
      </c>
      <c r="Q415">
        <f>IF(OR($R414="",$R414="T"),"",IF($R414="B",$Q414,IF($Q414+1&gt;$K$3,"",$Q414+1)))</f>
        <v/>
      </c>
      <c r="R415">
        <f>IF(OR($R414="",$R414="T"),"",IF($R414="B","S",IF($Q414+1&gt;$K$3,"T",IF(INDEX($M$4:$M$2003,MATCH($Q414+1,$P$4:$P$2003,0))&lt;&gt;INDEX($M$4:$M$2003,MATCH($Q414,$P$4:$P$2003,0)),"B","S"))))</f>
        <v/>
      </c>
      <c r="S415">
        <f>IF(Q415="","",IFERROR(MATCH(Q415,$P$4:$P$2003,0),""))</f>
        <v/>
      </c>
    </row>
    <row r="416">
      <c r="A416" s="4">
        <f>IF($R416="","",IF($R416="T","Gesamtergebnis",IF($R416="B",INDEX($M$4:$M$2003,$S416),INDEX($L$4:$L$2003,$S416))))</f>
        <v/>
      </c>
      <c r="B416" s="4">
        <f>IF($R416="","",IF($R416="T",$K$3,IF($R416="B",COUNTIFS($M$4:$M$2003,INDEX($M$4:$M$2003,$S416),$N$4:$N$2003,1),1)))</f>
        <v/>
      </c>
      <c r="L416">
        <f>IF($K$1="","",IFERROR(INDEX(Lines!$A:$AA,ROW()-2,$K$1),""))</f>
        <v/>
      </c>
      <c r="M416">
        <f>IF($K$2="","",IFERROR(INDEX(Lines!$A:$AA,ROW()-2,$K$2),""))</f>
        <v/>
      </c>
      <c r="N416">
        <f>IF(AND(L416&lt;&gt;"",LEFT(L416,1)="N",M416&lt;&gt;"PICKING",M416&lt;&gt;""),1,0)</f>
        <v/>
      </c>
      <c r="O416">
        <f>IF(N416=1,M416&amp;"|"&amp;L416,REPT("z",40))</f>
        <v/>
      </c>
      <c r="P416">
        <f>IF(N416=1,COUNTIF($O$4:$O$2003,"&lt;"&amp;O416)+1,"")</f>
        <v/>
      </c>
      <c r="Q416">
        <f>IF(OR($R415="",$R415="T"),"",IF($R415="B",$Q415,IF($Q415+1&gt;$K$3,"",$Q415+1)))</f>
        <v/>
      </c>
      <c r="R416">
        <f>IF(OR($R415="",$R415="T"),"",IF($R415="B","S",IF($Q415+1&gt;$K$3,"T",IF(INDEX($M$4:$M$2003,MATCH($Q415+1,$P$4:$P$2003,0))&lt;&gt;INDEX($M$4:$M$2003,MATCH($Q415,$P$4:$P$2003,0)),"B","S"))))</f>
        <v/>
      </c>
      <c r="S416">
        <f>IF(Q416="","",IFERROR(MATCH(Q416,$P$4:$P$2003,0),""))</f>
        <v/>
      </c>
    </row>
    <row r="417">
      <c r="A417" s="4">
        <f>IF($R417="","",IF($R417="T","Gesamtergebnis",IF($R417="B",INDEX($M$4:$M$2003,$S417),INDEX($L$4:$L$2003,$S417))))</f>
        <v/>
      </c>
      <c r="B417" s="4">
        <f>IF($R417="","",IF($R417="T",$K$3,IF($R417="B",COUNTIFS($M$4:$M$2003,INDEX($M$4:$M$2003,$S417),$N$4:$N$2003,1),1)))</f>
        <v/>
      </c>
      <c r="L417">
        <f>IF($K$1="","",IFERROR(INDEX(Lines!$A:$AA,ROW()-2,$K$1),""))</f>
        <v/>
      </c>
      <c r="M417">
        <f>IF($K$2="","",IFERROR(INDEX(Lines!$A:$AA,ROW()-2,$K$2),""))</f>
        <v/>
      </c>
      <c r="N417">
        <f>IF(AND(L417&lt;&gt;"",LEFT(L417,1)="N",M417&lt;&gt;"PICKING",M417&lt;&gt;""),1,0)</f>
        <v/>
      </c>
      <c r="O417">
        <f>IF(N417=1,M417&amp;"|"&amp;L417,REPT("z",40))</f>
        <v/>
      </c>
      <c r="P417">
        <f>IF(N417=1,COUNTIF($O$4:$O$2003,"&lt;"&amp;O417)+1,"")</f>
        <v/>
      </c>
      <c r="Q417">
        <f>IF(OR($R416="",$R416="T"),"",IF($R416="B",$Q416,IF($Q416+1&gt;$K$3,"",$Q416+1)))</f>
        <v/>
      </c>
      <c r="R417">
        <f>IF(OR($R416="",$R416="T"),"",IF($R416="B","S",IF($Q416+1&gt;$K$3,"T",IF(INDEX($M$4:$M$2003,MATCH($Q416+1,$P$4:$P$2003,0))&lt;&gt;INDEX($M$4:$M$2003,MATCH($Q416,$P$4:$P$2003,0)),"B","S"))))</f>
        <v/>
      </c>
      <c r="S417">
        <f>IF(Q417="","",IFERROR(MATCH(Q417,$P$4:$P$2003,0),""))</f>
        <v/>
      </c>
    </row>
    <row r="418">
      <c r="A418" s="4">
        <f>IF($R418="","",IF($R418="T","Gesamtergebnis",IF($R418="B",INDEX($M$4:$M$2003,$S418),INDEX($L$4:$L$2003,$S418))))</f>
        <v/>
      </c>
      <c r="B418" s="4">
        <f>IF($R418="","",IF($R418="T",$K$3,IF($R418="B",COUNTIFS($M$4:$M$2003,INDEX($M$4:$M$2003,$S418),$N$4:$N$2003,1),1)))</f>
        <v/>
      </c>
      <c r="L418">
        <f>IF($K$1="","",IFERROR(INDEX(Lines!$A:$AA,ROW()-2,$K$1),""))</f>
        <v/>
      </c>
      <c r="M418">
        <f>IF($K$2="","",IFERROR(INDEX(Lines!$A:$AA,ROW()-2,$K$2),""))</f>
        <v/>
      </c>
      <c r="N418">
        <f>IF(AND(L418&lt;&gt;"",LEFT(L418,1)="N",M418&lt;&gt;"PICKING",M418&lt;&gt;""),1,0)</f>
        <v/>
      </c>
      <c r="O418">
        <f>IF(N418=1,M418&amp;"|"&amp;L418,REPT("z",40))</f>
        <v/>
      </c>
      <c r="P418">
        <f>IF(N418=1,COUNTIF($O$4:$O$2003,"&lt;"&amp;O418)+1,"")</f>
        <v/>
      </c>
      <c r="Q418">
        <f>IF(OR($R417="",$R417="T"),"",IF($R417="B",$Q417,IF($Q417+1&gt;$K$3,"",$Q417+1)))</f>
        <v/>
      </c>
      <c r="R418">
        <f>IF(OR($R417="",$R417="T"),"",IF($R417="B","S",IF($Q417+1&gt;$K$3,"T",IF(INDEX($M$4:$M$2003,MATCH($Q417+1,$P$4:$P$2003,0))&lt;&gt;INDEX($M$4:$M$2003,MATCH($Q417,$P$4:$P$2003,0)),"B","S"))))</f>
        <v/>
      </c>
      <c r="S418">
        <f>IF(Q418="","",IFERROR(MATCH(Q418,$P$4:$P$2003,0),""))</f>
        <v/>
      </c>
    </row>
    <row r="419">
      <c r="A419" s="4">
        <f>IF($R419="","",IF($R419="T","Gesamtergebnis",IF($R419="B",INDEX($M$4:$M$2003,$S419),INDEX($L$4:$L$2003,$S419))))</f>
        <v/>
      </c>
      <c r="B419" s="4">
        <f>IF($R419="","",IF($R419="T",$K$3,IF($R419="B",COUNTIFS($M$4:$M$2003,INDEX($M$4:$M$2003,$S419),$N$4:$N$2003,1),1)))</f>
        <v/>
      </c>
      <c r="L419">
        <f>IF($K$1="","",IFERROR(INDEX(Lines!$A:$AA,ROW()-2,$K$1),""))</f>
        <v/>
      </c>
      <c r="M419">
        <f>IF($K$2="","",IFERROR(INDEX(Lines!$A:$AA,ROW()-2,$K$2),""))</f>
        <v/>
      </c>
      <c r="N419">
        <f>IF(AND(L419&lt;&gt;"",LEFT(L419,1)="N",M419&lt;&gt;"PICKING",M419&lt;&gt;""),1,0)</f>
        <v/>
      </c>
      <c r="O419">
        <f>IF(N419=1,M419&amp;"|"&amp;L419,REPT("z",40))</f>
        <v/>
      </c>
      <c r="P419">
        <f>IF(N419=1,COUNTIF($O$4:$O$2003,"&lt;"&amp;O419)+1,"")</f>
        <v/>
      </c>
      <c r="Q419">
        <f>IF(OR($R418="",$R418="T"),"",IF($R418="B",$Q418,IF($Q418+1&gt;$K$3,"",$Q418+1)))</f>
        <v/>
      </c>
      <c r="R419">
        <f>IF(OR($R418="",$R418="T"),"",IF($R418="B","S",IF($Q418+1&gt;$K$3,"T",IF(INDEX($M$4:$M$2003,MATCH($Q418+1,$P$4:$P$2003,0))&lt;&gt;INDEX($M$4:$M$2003,MATCH($Q418,$P$4:$P$2003,0)),"B","S"))))</f>
        <v/>
      </c>
      <c r="S419">
        <f>IF(Q419="","",IFERROR(MATCH(Q419,$P$4:$P$2003,0),""))</f>
        <v/>
      </c>
    </row>
    <row r="420">
      <c r="A420" s="4">
        <f>IF($R420="","",IF($R420="T","Gesamtergebnis",IF($R420="B",INDEX($M$4:$M$2003,$S420),INDEX($L$4:$L$2003,$S420))))</f>
        <v/>
      </c>
      <c r="B420" s="4">
        <f>IF($R420="","",IF($R420="T",$K$3,IF($R420="B",COUNTIFS($M$4:$M$2003,INDEX($M$4:$M$2003,$S420),$N$4:$N$2003,1),1)))</f>
        <v/>
      </c>
      <c r="L420">
        <f>IF($K$1="","",IFERROR(INDEX(Lines!$A:$AA,ROW()-2,$K$1),""))</f>
        <v/>
      </c>
      <c r="M420">
        <f>IF($K$2="","",IFERROR(INDEX(Lines!$A:$AA,ROW()-2,$K$2),""))</f>
        <v/>
      </c>
      <c r="N420">
        <f>IF(AND(L420&lt;&gt;"",LEFT(L420,1)="N",M420&lt;&gt;"PICKING",M420&lt;&gt;""),1,0)</f>
        <v/>
      </c>
      <c r="O420">
        <f>IF(N420=1,M420&amp;"|"&amp;L420,REPT("z",40))</f>
        <v/>
      </c>
      <c r="P420">
        <f>IF(N420=1,COUNTIF($O$4:$O$2003,"&lt;"&amp;O420)+1,"")</f>
        <v/>
      </c>
      <c r="Q420">
        <f>IF(OR($R419="",$R419="T"),"",IF($R419="B",$Q419,IF($Q419+1&gt;$K$3,"",$Q419+1)))</f>
        <v/>
      </c>
      <c r="R420">
        <f>IF(OR($R419="",$R419="T"),"",IF($R419="B","S",IF($Q419+1&gt;$K$3,"T",IF(INDEX($M$4:$M$2003,MATCH($Q419+1,$P$4:$P$2003,0))&lt;&gt;INDEX($M$4:$M$2003,MATCH($Q419,$P$4:$P$2003,0)),"B","S"))))</f>
        <v/>
      </c>
      <c r="S420">
        <f>IF(Q420="","",IFERROR(MATCH(Q420,$P$4:$P$2003,0),""))</f>
        <v/>
      </c>
    </row>
    <row r="421">
      <c r="A421" s="4">
        <f>IF($R421="","",IF($R421="T","Gesamtergebnis",IF($R421="B",INDEX($M$4:$M$2003,$S421),INDEX($L$4:$L$2003,$S421))))</f>
        <v/>
      </c>
      <c r="B421" s="4">
        <f>IF($R421="","",IF($R421="T",$K$3,IF($R421="B",COUNTIFS($M$4:$M$2003,INDEX($M$4:$M$2003,$S421),$N$4:$N$2003,1),1)))</f>
        <v/>
      </c>
      <c r="L421">
        <f>IF($K$1="","",IFERROR(INDEX(Lines!$A:$AA,ROW()-2,$K$1),""))</f>
        <v/>
      </c>
      <c r="M421">
        <f>IF($K$2="","",IFERROR(INDEX(Lines!$A:$AA,ROW()-2,$K$2),""))</f>
        <v/>
      </c>
      <c r="N421">
        <f>IF(AND(L421&lt;&gt;"",LEFT(L421,1)="N",M421&lt;&gt;"PICKING",M421&lt;&gt;""),1,0)</f>
        <v/>
      </c>
      <c r="O421">
        <f>IF(N421=1,M421&amp;"|"&amp;L421,REPT("z",40))</f>
        <v/>
      </c>
      <c r="P421">
        <f>IF(N421=1,COUNTIF($O$4:$O$2003,"&lt;"&amp;O421)+1,"")</f>
        <v/>
      </c>
      <c r="Q421">
        <f>IF(OR($R420="",$R420="T"),"",IF($R420="B",$Q420,IF($Q420+1&gt;$K$3,"",$Q420+1)))</f>
        <v/>
      </c>
      <c r="R421">
        <f>IF(OR($R420="",$R420="T"),"",IF($R420="B","S",IF($Q420+1&gt;$K$3,"T",IF(INDEX($M$4:$M$2003,MATCH($Q420+1,$P$4:$P$2003,0))&lt;&gt;INDEX($M$4:$M$2003,MATCH($Q420,$P$4:$P$2003,0)),"B","S"))))</f>
        <v/>
      </c>
      <c r="S421">
        <f>IF(Q421="","",IFERROR(MATCH(Q421,$P$4:$P$2003,0),""))</f>
        <v/>
      </c>
    </row>
    <row r="422">
      <c r="A422" s="4">
        <f>IF($R422="","",IF($R422="T","Gesamtergebnis",IF($R422="B",INDEX($M$4:$M$2003,$S422),INDEX($L$4:$L$2003,$S422))))</f>
        <v/>
      </c>
      <c r="B422" s="4">
        <f>IF($R422="","",IF($R422="T",$K$3,IF($R422="B",COUNTIFS($M$4:$M$2003,INDEX($M$4:$M$2003,$S422),$N$4:$N$2003,1),1)))</f>
        <v/>
      </c>
      <c r="L422">
        <f>IF($K$1="","",IFERROR(INDEX(Lines!$A:$AA,ROW()-2,$K$1),""))</f>
        <v/>
      </c>
      <c r="M422">
        <f>IF($K$2="","",IFERROR(INDEX(Lines!$A:$AA,ROW()-2,$K$2),""))</f>
        <v/>
      </c>
      <c r="N422">
        <f>IF(AND(L422&lt;&gt;"",LEFT(L422,1)="N",M422&lt;&gt;"PICKING",M422&lt;&gt;""),1,0)</f>
        <v/>
      </c>
      <c r="O422">
        <f>IF(N422=1,M422&amp;"|"&amp;L422,REPT("z",40))</f>
        <v/>
      </c>
      <c r="P422">
        <f>IF(N422=1,COUNTIF($O$4:$O$2003,"&lt;"&amp;O422)+1,"")</f>
        <v/>
      </c>
      <c r="Q422">
        <f>IF(OR($R421="",$R421="T"),"",IF($R421="B",$Q421,IF($Q421+1&gt;$K$3,"",$Q421+1)))</f>
        <v/>
      </c>
      <c r="R422">
        <f>IF(OR($R421="",$R421="T"),"",IF($R421="B","S",IF($Q421+1&gt;$K$3,"T",IF(INDEX($M$4:$M$2003,MATCH($Q421+1,$P$4:$P$2003,0))&lt;&gt;INDEX($M$4:$M$2003,MATCH($Q421,$P$4:$P$2003,0)),"B","S"))))</f>
        <v/>
      </c>
      <c r="S422">
        <f>IF(Q422="","",IFERROR(MATCH(Q422,$P$4:$P$2003,0),""))</f>
        <v/>
      </c>
    </row>
    <row r="423">
      <c r="A423" s="4">
        <f>IF($R423="","",IF($R423="T","Gesamtergebnis",IF($R423="B",INDEX($M$4:$M$2003,$S423),INDEX($L$4:$L$2003,$S423))))</f>
        <v/>
      </c>
      <c r="B423" s="4">
        <f>IF($R423="","",IF($R423="T",$K$3,IF($R423="B",COUNTIFS($M$4:$M$2003,INDEX($M$4:$M$2003,$S423),$N$4:$N$2003,1),1)))</f>
        <v/>
      </c>
      <c r="L423">
        <f>IF($K$1="","",IFERROR(INDEX(Lines!$A:$AA,ROW()-2,$K$1),""))</f>
        <v/>
      </c>
      <c r="M423">
        <f>IF($K$2="","",IFERROR(INDEX(Lines!$A:$AA,ROW()-2,$K$2),""))</f>
        <v/>
      </c>
      <c r="N423">
        <f>IF(AND(L423&lt;&gt;"",LEFT(L423,1)="N",M423&lt;&gt;"PICKING",M423&lt;&gt;""),1,0)</f>
        <v/>
      </c>
      <c r="O423">
        <f>IF(N423=1,M423&amp;"|"&amp;L423,REPT("z",40))</f>
        <v/>
      </c>
      <c r="P423">
        <f>IF(N423=1,COUNTIF($O$4:$O$2003,"&lt;"&amp;O423)+1,"")</f>
        <v/>
      </c>
      <c r="Q423">
        <f>IF(OR($R422="",$R422="T"),"",IF($R422="B",$Q422,IF($Q422+1&gt;$K$3,"",$Q422+1)))</f>
        <v/>
      </c>
      <c r="R423">
        <f>IF(OR($R422="",$R422="T"),"",IF($R422="B","S",IF($Q422+1&gt;$K$3,"T",IF(INDEX($M$4:$M$2003,MATCH($Q422+1,$P$4:$P$2003,0))&lt;&gt;INDEX($M$4:$M$2003,MATCH($Q422,$P$4:$P$2003,0)),"B","S"))))</f>
        <v/>
      </c>
      <c r="S423">
        <f>IF(Q423="","",IFERROR(MATCH(Q423,$P$4:$P$2003,0),""))</f>
        <v/>
      </c>
    </row>
    <row r="424">
      <c r="A424" s="4">
        <f>IF($R424="","",IF($R424="T","Gesamtergebnis",IF($R424="B",INDEX($M$4:$M$2003,$S424),INDEX($L$4:$L$2003,$S424))))</f>
        <v/>
      </c>
      <c r="B424" s="4">
        <f>IF($R424="","",IF($R424="T",$K$3,IF($R424="B",COUNTIFS($M$4:$M$2003,INDEX($M$4:$M$2003,$S424),$N$4:$N$2003,1),1)))</f>
        <v/>
      </c>
      <c r="L424">
        <f>IF($K$1="","",IFERROR(INDEX(Lines!$A:$AA,ROW()-2,$K$1),""))</f>
        <v/>
      </c>
      <c r="M424">
        <f>IF($K$2="","",IFERROR(INDEX(Lines!$A:$AA,ROW()-2,$K$2),""))</f>
        <v/>
      </c>
      <c r="N424">
        <f>IF(AND(L424&lt;&gt;"",LEFT(L424,1)="N",M424&lt;&gt;"PICKING",M424&lt;&gt;""),1,0)</f>
        <v/>
      </c>
      <c r="O424">
        <f>IF(N424=1,M424&amp;"|"&amp;L424,REPT("z",40))</f>
        <v/>
      </c>
      <c r="P424">
        <f>IF(N424=1,COUNTIF($O$4:$O$2003,"&lt;"&amp;O424)+1,"")</f>
        <v/>
      </c>
      <c r="Q424">
        <f>IF(OR($R423="",$R423="T"),"",IF($R423="B",$Q423,IF($Q423+1&gt;$K$3,"",$Q423+1)))</f>
        <v/>
      </c>
      <c r="R424">
        <f>IF(OR($R423="",$R423="T"),"",IF($R423="B","S",IF($Q423+1&gt;$K$3,"T",IF(INDEX($M$4:$M$2003,MATCH($Q423+1,$P$4:$P$2003,0))&lt;&gt;INDEX($M$4:$M$2003,MATCH($Q423,$P$4:$P$2003,0)),"B","S"))))</f>
        <v/>
      </c>
      <c r="S424">
        <f>IF(Q424="","",IFERROR(MATCH(Q424,$P$4:$P$2003,0),""))</f>
        <v/>
      </c>
    </row>
    <row r="425">
      <c r="A425" s="4">
        <f>IF($R425="","",IF($R425="T","Gesamtergebnis",IF($R425="B",INDEX($M$4:$M$2003,$S425),INDEX($L$4:$L$2003,$S425))))</f>
        <v/>
      </c>
      <c r="B425" s="4">
        <f>IF($R425="","",IF($R425="T",$K$3,IF($R425="B",COUNTIFS($M$4:$M$2003,INDEX($M$4:$M$2003,$S425),$N$4:$N$2003,1),1)))</f>
        <v/>
      </c>
      <c r="L425">
        <f>IF($K$1="","",IFERROR(INDEX(Lines!$A:$AA,ROW()-2,$K$1),""))</f>
        <v/>
      </c>
      <c r="M425">
        <f>IF($K$2="","",IFERROR(INDEX(Lines!$A:$AA,ROW()-2,$K$2),""))</f>
        <v/>
      </c>
      <c r="N425">
        <f>IF(AND(L425&lt;&gt;"",LEFT(L425,1)="N",M425&lt;&gt;"PICKING",M425&lt;&gt;""),1,0)</f>
        <v/>
      </c>
      <c r="O425">
        <f>IF(N425=1,M425&amp;"|"&amp;L425,REPT("z",40))</f>
        <v/>
      </c>
      <c r="P425">
        <f>IF(N425=1,COUNTIF($O$4:$O$2003,"&lt;"&amp;O425)+1,"")</f>
        <v/>
      </c>
      <c r="Q425">
        <f>IF(OR($R424="",$R424="T"),"",IF($R424="B",$Q424,IF($Q424+1&gt;$K$3,"",$Q424+1)))</f>
        <v/>
      </c>
      <c r="R425">
        <f>IF(OR($R424="",$R424="T"),"",IF($R424="B","S",IF($Q424+1&gt;$K$3,"T",IF(INDEX($M$4:$M$2003,MATCH($Q424+1,$P$4:$P$2003,0))&lt;&gt;INDEX($M$4:$M$2003,MATCH($Q424,$P$4:$P$2003,0)),"B","S"))))</f>
        <v/>
      </c>
      <c r="S425">
        <f>IF(Q425="","",IFERROR(MATCH(Q425,$P$4:$P$2003,0),""))</f>
        <v/>
      </c>
    </row>
    <row r="426">
      <c r="A426" s="4">
        <f>IF($R426="","",IF($R426="T","Gesamtergebnis",IF($R426="B",INDEX($M$4:$M$2003,$S426),INDEX($L$4:$L$2003,$S426))))</f>
        <v/>
      </c>
      <c r="B426" s="4">
        <f>IF($R426="","",IF($R426="T",$K$3,IF($R426="B",COUNTIFS($M$4:$M$2003,INDEX($M$4:$M$2003,$S426),$N$4:$N$2003,1),1)))</f>
        <v/>
      </c>
      <c r="L426">
        <f>IF($K$1="","",IFERROR(INDEX(Lines!$A:$AA,ROW()-2,$K$1),""))</f>
        <v/>
      </c>
      <c r="M426">
        <f>IF($K$2="","",IFERROR(INDEX(Lines!$A:$AA,ROW()-2,$K$2),""))</f>
        <v/>
      </c>
      <c r="N426">
        <f>IF(AND(L426&lt;&gt;"",LEFT(L426,1)="N",M426&lt;&gt;"PICKING",M426&lt;&gt;""),1,0)</f>
        <v/>
      </c>
      <c r="O426">
        <f>IF(N426=1,M426&amp;"|"&amp;L426,REPT("z",40))</f>
        <v/>
      </c>
      <c r="P426">
        <f>IF(N426=1,COUNTIF($O$4:$O$2003,"&lt;"&amp;O426)+1,"")</f>
        <v/>
      </c>
      <c r="Q426">
        <f>IF(OR($R425="",$R425="T"),"",IF($R425="B",$Q425,IF($Q425+1&gt;$K$3,"",$Q425+1)))</f>
        <v/>
      </c>
      <c r="R426">
        <f>IF(OR($R425="",$R425="T"),"",IF($R425="B","S",IF($Q425+1&gt;$K$3,"T",IF(INDEX($M$4:$M$2003,MATCH($Q425+1,$P$4:$P$2003,0))&lt;&gt;INDEX($M$4:$M$2003,MATCH($Q425,$P$4:$P$2003,0)),"B","S"))))</f>
        <v/>
      </c>
      <c r="S426">
        <f>IF(Q426="","",IFERROR(MATCH(Q426,$P$4:$P$2003,0),""))</f>
        <v/>
      </c>
    </row>
    <row r="427">
      <c r="A427" s="4">
        <f>IF($R427="","",IF($R427="T","Gesamtergebnis",IF($R427="B",INDEX($M$4:$M$2003,$S427),INDEX($L$4:$L$2003,$S427))))</f>
        <v/>
      </c>
      <c r="B427" s="4">
        <f>IF($R427="","",IF($R427="T",$K$3,IF($R427="B",COUNTIFS($M$4:$M$2003,INDEX($M$4:$M$2003,$S427),$N$4:$N$2003,1),1)))</f>
        <v/>
      </c>
      <c r="L427">
        <f>IF($K$1="","",IFERROR(INDEX(Lines!$A:$AA,ROW()-2,$K$1),""))</f>
        <v/>
      </c>
      <c r="M427">
        <f>IF($K$2="","",IFERROR(INDEX(Lines!$A:$AA,ROW()-2,$K$2),""))</f>
        <v/>
      </c>
      <c r="N427">
        <f>IF(AND(L427&lt;&gt;"",LEFT(L427,1)="N",M427&lt;&gt;"PICKING",M427&lt;&gt;""),1,0)</f>
        <v/>
      </c>
      <c r="O427">
        <f>IF(N427=1,M427&amp;"|"&amp;L427,REPT("z",40))</f>
        <v/>
      </c>
      <c r="P427">
        <f>IF(N427=1,COUNTIF($O$4:$O$2003,"&lt;"&amp;O427)+1,"")</f>
        <v/>
      </c>
      <c r="Q427">
        <f>IF(OR($R426="",$R426="T"),"",IF($R426="B",$Q426,IF($Q426+1&gt;$K$3,"",$Q426+1)))</f>
        <v/>
      </c>
      <c r="R427">
        <f>IF(OR($R426="",$R426="T"),"",IF($R426="B","S",IF($Q426+1&gt;$K$3,"T",IF(INDEX($M$4:$M$2003,MATCH($Q426+1,$P$4:$P$2003,0))&lt;&gt;INDEX($M$4:$M$2003,MATCH($Q426,$P$4:$P$2003,0)),"B","S"))))</f>
        <v/>
      </c>
      <c r="S427">
        <f>IF(Q427="","",IFERROR(MATCH(Q427,$P$4:$P$2003,0),""))</f>
        <v/>
      </c>
    </row>
    <row r="428">
      <c r="A428" s="4">
        <f>IF($R428="","",IF($R428="T","Gesamtergebnis",IF($R428="B",INDEX($M$4:$M$2003,$S428),INDEX($L$4:$L$2003,$S428))))</f>
        <v/>
      </c>
      <c r="B428" s="4">
        <f>IF($R428="","",IF($R428="T",$K$3,IF($R428="B",COUNTIFS($M$4:$M$2003,INDEX($M$4:$M$2003,$S428),$N$4:$N$2003,1),1)))</f>
        <v/>
      </c>
      <c r="L428">
        <f>IF($K$1="","",IFERROR(INDEX(Lines!$A:$AA,ROW()-2,$K$1),""))</f>
        <v/>
      </c>
      <c r="M428">
        <f>IF($K$2="","",IFERROR(INDEX(Lines!$A:$AA,ROW()-2,$K$2),""))</f>
        <v/>
      </c>
      <c r="N428">
        <f>IF(AND(L428&lt;&gt;"",LEFT(L428,1)="N",M428&lt;&gt;"PICKING",M428&lt;&gt;""),1,0)</f>
        <v/>
      </c>
      <c r="O428">
        <f>IF(N428=1,M428&amp;"|"&amp;L428,REPT("z",40))</f>
        <v/>
      </c>
      <c r="P428">
        <f>IF(N428=1,COUNTIF($O$4:$O$2003,"&lt;"&amp;O428)+1,"")</f>
        <v/>
      </c>
      <c r="Q428">
        <f>IF(OR($R427="",$R427="T"),"",IF($R427="B",$Q427,IF($Q427+1&gt;$K$3,"",$Q427+1)))</f>
        <v/>
      </c>
      <c r="R428">
        <f>IF(OR($R427="",$R427="T"),"",IF($R427="B","S",IF($Q427+1&gt;$K$3,"T",IF(INDEX($M$4:$M$2003,MATCH($Q427+1,$P$4:$P$2003,0))&lt;&gt;INDEX($M$4:$M$2003,MATCH($Q427,$P$4:$P$2003,0)),"B","S"))))</f>
        <v/>
      </c>
      <c r="S428">
        <f>IF(Q428="","",IFERROR(MATCH(Q428,$P$4:$P$2003,0),""))</f>
        <v/>
      </c>
    </row>
    <row r="429">
      <c r="A429" s="4">
        <f>IF($R429="","",IF($R429="T","Gesamtergebnis",IF($R429="B",INDEX($M$4:$M$2003,$S429),INDEX($L$4:$L$2003,$S429))))</f>
        <v/>
      </c>
      <c r="B429" s="4">
        <f>IF($R429="","",IF($R429="T",$K$3,IF($R429="B",COUNTIFS($M$4:$M$2003,INDEX($M$4:$M$2003,$S429),$N$4:$N$2003,1),1)))</f>
        <v/>
      </c>
      <c r="L429">
        <f>IF($K$1="","",IFERROR(INDEX(Lines!$A:$AA,ROW()-2,$K$1),""))</f>
        <v/>
      </c>
      <c r="M429">
        <f>IF($K$2="","",IFERROR(INDEX(Lines!$A:$AA,ROW()-2,$K$2),""))</f>
        <v/>
      </c>
      <c r="N429">
        <f>IF(AND(L429&lt;&gt;"",LEFT(L429,1)="N",M429&lt;&gt;"PICKING",M429&lt;&gt;""),1,0)</f>
        <v/>
      </c>
      <c r="O429">
        <f>IF(N429=1,M429&amp;"|"&amp;L429,REPT("z",40))</f>
        <v/>
      </c>
      <c r="P429">
        <f>IF(N429=1,COUNTIF($O$4:$O$2003,"&lt;"&amp;O429)+1,"")</f>
        <v/>
      </c>
      <c r="Q429">
        <f>IF(OR($R428="",$R428="T"),"",IF($R428="B",$Q428,IF($Q428+1&gt;$K$3,"",$Q428+1)))</f>
        <v/>
      </c>
      <c r="R429">
        <f>IF(OR($R428="",$R428="T"),"",IF($R428="B","S",IF($Q428+1&gt;$K$3,"T",IF(INDEX($M$4:$M$2003,MATCH($Q428+1,$P$4:$P$2003,0))&lt;&gt;INDEX($M$4:$M$2003,MATCH($Q428,$P$4:$P$2003,0)),"B","S"))))</f>
        <v/>
      </c>
      <c r="S429">
        <f>IF(Q429="","",IFERROR(MATCH(Q429,$P$4:$P$2003,0),""))</f>
        <v/>
      </c>
    </row>
    <row r="430">
      <c r="A430" s="4">
        <f>IF($R430="","",IF($R430="T","Gesamtergebnis",IF($R430="B",INDEX($M$4:$M$2003,$S430),INDEX($L$4:$L$2003,$S430))))</f>
        <v/>
      </c>
      <c r="B430" s="4">
        <f>IF($R430="","",IF($R430="T",$K$3,IF($R430="B",COUNTIFS($M$4:$M$2003,INDEX($M$4:$M$2003,$S430),$N$4:$N$2003,1),1)))</f>
        <v/>
      </c>
      <c r="L430">
        <f>IF($K$1="","",IFERROR(INDEX(Lines!$A:$AA,ROW()-2,$K$1),""))</f>
        <v/>
      </c>
      <c r="M430">
        <f>IF($K$2="","",IFERROR(INDEX(Lines!$A:$AA,ROW()-2,$K$2),""))</f>
        <v/>
      </c>
      <c r="N430">
        <f>IF(AND(L430&lt;&gt;"",LEFT(L430,1)="N",M430&lt;&gt;"PICKING",M430&lt;&gt;""),1,0)</f>
        <v/>
      </c>
      <c r="O430">
        <f>IF(N430=1,M430&amp;"|"&amp;L430,REPT("z",40))</f>
        <v/>
      </c>
      <c r="P430">
        <f>IF(N430=1,COUNTIF($O$4:$O$2003,"&lt;"&amp;O430)+1,"")</f>
        <v/>
      </c>
      <c r="Q430">
        <f>IF(OR($R429="",$R429="T"),"",IF($R429="B",$Q429,IF($Q429+1&gt;$K$3,"",$Q429+1)))</f>
        <v/>
      </c>
      <c r="R430">
        <f>IF(OR($R429="",$R429="T"),"",IF($R429="B","S",IF($Q429+1&gt;$K$3,"T",IF(INDEX($M$4:$M$2003,MATCH($Q429+1,$P$4:$P$2003,0))&lt;&gt;INDEX($M$4:$M$2003,MATCH($Q429,$P$4:$P$2003,0)),"B","S"))))</f>
        <v/>
      </c>
      <c r="S430">
        <f>IF(Q430="","",IFERROR(MATCH(Q430,$P$4:$P$2003,0),""))</f>
        <v/>
      </c>
    </row>
    <row r="431">
      <c r="A431" s="4">
        <f>IF($R431="","",IF($R431="T","Gesamtergebnis",IF($R431="B",INDEX($M$4:$M$2003,$S431),INDEX($L$4:$L$2003,$S431))))</f>
        <v/>
      </c>
      <c r="B431" s="4">
        <f>IF($R431="","",IF($R431="T",$K$3,IF($R431="B",COUNTIFS($M$4:$M$2003,INDEX($M$4:$M$2003,$S431),$N$4:$N$2003,1),1)))</f>
        <v/>
      </c>
      <c r="L431">
        <f>IF($K$1="","",IFERROR(INDEX(Lines!$A:$AA,ROW()-2,$K$1),""))</f>
        <v/>
      </c>
      <c r="M431">
        <f>IF($K$2="","",IFERROR(INDEX(Lines!$A:$AA,ROW()-2,$K$2),""))</f>
        <v/>
      </c>
      <c r="N431">
        <f>IF(AND(L431&lt;&gt;"",LEFT(L431,1)="N",M431&lt;&gt;"PICKING",M431&lt;&gt;""),1,0)</f>
        <v/>
      </c>
      <c r="O431">
        <f>IF(N431=1,M431&amp;"|"&amp;L431,REPT("z",40))</f>
        <v/>
      </c>
      <c r="P431">
        <f>IF(N431=1,COUNTIF($O$4:$O$2003,"&lt;"&amp;O431)+1,"")</f>
        <v/>
      </c>
      <c r="Q431">
        <f>IF(OR($R430="",$R430="T"),"",IF($R430="B",$Q430,IF($Q430+1&gt;$K$3,"",$Q430+1)))</f>
        <v/>
      </c>
      <c r="R431">
        <f>IF(OR($R430="",$R430="T"),"",IF($R430="B","S",IF($Q430+1&gt;$K$3,"T",IF(INDEX($M$4:$M$2003,MATCH($Q430+1,$P$4:$P$2003,0))&lt;&gt;INDEX($M$4:$M$2003,MATCH($Q430,$P$4:$P$2003,0)),"B","S"))))</f>
        <v/>
      </c>
      <c r="S431">
        <f>IF(Q431="","",IFERROR(MATCH(Q431,$P$4:$P$2003,0),""))</f>
        <v/>
      </c>
    </row>
    <row r="432">
      <c r="A432" s="4">
        <f>IF($R432="","",IF($R432="T","Gesamtergebnis",IF($R432="B",INDEX($M$4:$M$2003,$S432),INDEX($L$4:$L$2003,$S432))))</f>
        <v/>
      </c>
      <c r="B432" s="4">
        <f>IF($R432="","",IF($R432="T",$K$3,IF($R432="B",COUNTIFS($M$4:$M$2003,INDEX($M$4:$M$2003,$S432),$N$4:$N$2003,1),1)))</f>
        <v/>
      </c>
      <c r="L432">
        <f>IF($K$1="","",IFERROR(INDEX(Lines!$A:$AA,ROW()-2,$K$1),""))</f>
        <v/>
      </c>
      <c r="M432">
        <f>IF($K$2="","",IFERROR(INDEX(Lines!$A:$AA,ROW()-2,$K$2),""))</f>
        <v/>
      </c>
      <c r="N432">
        <f>IF(AND(L432&lt;&gt;"",LEFT(L432,1)="N",M432&lt;&gt;"PICKING",M432&lt;&gt;""),1,0)</f>
        <v/>
      </c>
      <c r="O432">
        <f>IF(N432=1,M432&amp;"|"&amp;L432,REPT("z",40))</f>
        <v/>
      </c>
      <c r="P432">
        <f>IF(N432=1,COUNTIF($O$4:$O$2003,"&lt;"&amp;O432)+1,"")</f>
        <v/>
      </c>
      <c r="Q432">
        <f>IF(OR($R431="",$R431="T"),"",IF($R431="B",$Q431,IF($Q431+1&gt;$K$3,"",$Q431+1)))</f>
        <v/>
      </c>
      <c r="R432">
        <f>IF(OR($R431="",$R431="T"),"",IF($R431="B","S",IF($Q431+1&gt;$K$3,"T",IF(INDEX($M$4:$M$2003,MATCH($Q431+1,$P$4:$P$2003,0))&lt;&gt;INDEX($M$4:$M$2003,MATCH($Q431,$P$4:$P$2003,0)),"B","S"))))</f>
        <v/>
      </c>
      <c r="S432">
        <f>IF(Q432="","",IFERROR(MATCH(Q432,$P$4:$P$2003,0),""))</f>
        <v/>
      </c>
    </row>
    <row r="433">
      <c r="A433" s="4">
        <f>IF($R433="","",IF($R433="T","Gesamtergebnis",IF($R433="B",INDEX($M$4:$M$2003,$S433),INDEX($L$4:$L$2003,$S433))))</f>
        <v/>
      </c>
      <c r="B433" s="4">
        <f>IF($R433="","",IF($R433="T",$K$3,IF($R433="B",COUNTIFS($M$4:$M$2003,INDEX($M$4:$M$2003,$S433),$N$4:$N$2003,1),1)))</f>
        <v/>
      </c>
      <c r="L433">
        <f>IF($K$1="","",IFERROR(INDEX(Lines!$A:$AA,ROW()-2,$K$1),""))</f>
        <v/>
      </c>
      <c r="M433">
        <f>IF($K$2="","",IFERROR(INDEX(Lines!$A:$AA,ROW()-2,$K$2),""))</f>
        <v/>
      </c>
      <c r="N433">
        <f>IF(AND(L433&lt;&gt;"",LEFT(L433,1)="N",M433&lt;&gt;"PICKING",M433&lt;&gt;""),1,0)</f>
        <v/>
      </c>
      <c r="O433">
        <f>IF(N433=1,M433&amp;"|"&amp;L433,REPT("z",40))</f>
        <v/>
      </c>
      <c r="P433">
        <f>IF(N433=1,COUNTIF($O$4:$O$2003,"&lt;"&amp;O433)+1,"")</f>
        <v/>
      </c>
      <c r="Q433">
        <f>IF(OR($R432="",$R432="T"),"",IF($R432="B",$Q432,IF($Q432+1&gt;$K$3,"",$Q432+1)))</f>
        <v/>
      </c>
      <c r="R433">
        <f>IF(OR($R432="",$R432="T"),"",IF($R432="B","S",IF($Q432+1&gt;$K$3,"T",IF(INDEX($M$4:$M$2003,MATCH($Q432+1,$P$4:$P$2003,0))&lt;&gt;INDEX($M$4:$M$2003,MATCH($Q432,$P$4:$P$2003,0)),"B","S"))))</f>
        <v/>
      </c>
      <c r="S433">
        <f>IF(Q433="","",IFERROR(MATCH(Q433,$P$4:$P$2003,0),""))</f>
        <v/>
      </c>
    </row>
    <row r="434">
      <c r="A434" s="4">
        <f>IF($R434="","",IF($R434="T","Gesamtergebnis",IF($R434="B",INDEX($M$4:$M$2003,$S434),INDEX($L$4:$L$2003,$S434))))</f>
        <v/>
      </c>
      <c r="B434" s="4">
        <f>IF($R434="","",IF($R434="T",$K$3,IF($R434="B",COUNTIFS($M$4:$M$2003,INDEX($M$4:$M$2003,$S434),$N$4:$N$2003,1),1)))</f>
        <v/>
      </c>
      <c r="L434">
        <f>IF($K$1="","",IFERROR(INDEX(Lines!$A:$AA,ROW()-2,$K$1),""))</f>
        <v/>
      </c>
      <c r="M434">
        <f>IF($K$2="","",IFERROR(INDEX(Lines!$A:$AA,ROW()-2,$K$2),""))</f>
        <v/>
      </c>
      <c r="N434">
        <f>IF(AND(L434&lt;&gt;"",LEFT(L434,1)="N",M434&lt;&gt;"PICKING",M434&lt;&gt;""),1,0)</f>
        <v/>
      </c>
      <c r="O434">
        <f>IF(N434=1,M434&amp;"|"&amp;L434,REPT("z",40))</f>
        <v/>
      </c>
      <c r="P434">
        <f>IF(N434=1,COUNTIF($O$4:$O$2003,"&lt;"&amp;O434)+1,"")</f>
        <v/>
      </c>
      <c r="Q434">
        <f>IF(OR($R433="",$R433="T"),"",IF($R433="B",$Q433,IF($Q433+1&gt;$K$3,"",$Q433+1)))</f>
        <v/>
      </c>
      <c r="R434">
        <f>IF(OR($R433="",$R433="T"),"",IF($R433="B","S",IF($Q433+1&gt;$K$3,"T",IF(INDEX($M$4:$M$2003,MATCH($Q433+1,$P$4:$P$2003,0))&lt;&gt;INDEX($M$4:$M$2003,MATCH($Q433,$P$4:$P$2003,0)),"B","S"))))</f>
        <v/>
      </c>
      <c r="S434">
        <f>IF(Q434="","",IFERROR(MATCH(Q434,$P$4:$P$2003,0),""))</f>
        <v/>
      </c>
    </row>
    <row r="435">
      <c r="A435" s="4">
        <f>IF($R435="","",IF($R435="T","Gesamtergebnis",IF($R435="B",INDEX($M$4:$M$2003,$S435),INDEX($L$4:$L$2003,$S435))))</f>
        <v/>
      </c>
      <c r="B435" s="4">
        <f>IF($R435="","",IF($R435="T",$K$3,IF($R435="B",COUNTIFS($M$4:$M$2003,INDEX($M$4:$M$2003,$S435),$N$4:$N$2003,1),1)))</f>
        <v/>
      </c>
      <c r="L435">
        <f>IF($K$1="","",IFERROR(INDEX(Lines!$A:$AA,ROW()-2,$K$1),""))</f>
        <v/>
      </c>
      <c r="M435">
        <f>IF($K$2="","",IFERROR(INDEX(Lines!$A:$AA,ROW()-2,$K$2),""))</f>
        <v/>
      </c>
      <c r="N435">
        <f>IF(AND(L435&lt;&gt;"",LEFT(L435,1)="N",M435&lt;&gt;"PICKING",M435&lt;&gt;""),1,0)</f>
        <v/>
      </c>
      <c r="O435">
        <f>IF(N435=1,M435&amp;"|"&amp;L435,REPT("z",40))</f>
        <v/>
      </c>
      <c r="P435">
        <f>IF(N435=1,COUNTIF($O$4:$O$2003,"&lt;"&amp;O435)+1,"")</f>
        <v/>
      </c>
      <c r="Q435">
        <f>IF(OR($R434="",$R434="T"),"",IF($R434="B",$Q434,IF($Q434+1&gt;$K$3,"",$Q434+1)))</f>
        <v/>
      </c>
      <c r="R435">
        <f>IF(OR($R434="",$R434="T"),"",IF($R434="B","S",IF($Q434+1&gt;$K$3,"T",IF(INDEX($M$4:$M$2003,MATCH($Q434+1,$P$4:$P$2003,0))&lt;&gt;INDEX($M$4:$M$2003,MATCH($Q434,$P$4:$P$2003,0)),"B","S"))))</f>
        <v/>
      </c>
      <c r="S435">
        <f>IF(Q435="","",IFERROR(MATCH(Q435,$P$4:$P$2003,0),""))</f>
        <v/>
      </c>
    </row>
    <row r="436">
      <c r="A436" s="4">
        <f>IF($R436="","",IF($R436="T","Gesamtergebnis",IF($R436="B",INDEX($M$4:$M$2003,$S436),INDEX($L$4:$L$2003,$S436))))</f>
        <v/>
      </c>
      <c r="B436" s="4">
        <f>IF($R436="","",IF($R436="T",$K$3,IF($R436="B",COUNTIFS($M$4:$M$2003,INDEX($M$4:$M$2003,$S436),$N$4:$N$2003,1),1)))</f>
        <v/>
      </c>
      <c r="L436">
        <f>IF($K$1="","",IFERROR(INDEX(Lines!$A:$AA,ROW()-2,$K$1),""))</f>
        <v/>
      </c>
      <c r="M436">
        <f>IF($K$2="","",IFERROR(INDEX(Lines!$A:$AA,ROW()-2,$K$2),""))</f>
        <v/>
      </c>
      <c r="N436">
        <f>IF(AND(L436&lt;&gt;"",LEFT(L436,1)="N",M436&lt;&gt;"PICKING",M436&lt;&gt;""),1,0)</f>
        <v/>
      </c>
      <c r="O436">
        <f>IF(N436=1,M436&amp;"|"&amp;L436,REPT("z",40))</f>
        <v/>
      </c>
      <c r="P436">
        <f>IF(N436=1,COUNTIF($O$4:$O$2003,"&lt;"&amp;O436)+1,"")</f>
        <v/>
      </c>
      <c r="Q436">
        <f>IF(OR($R435="",$R435="T"),"",IF($R435="B",$Q435,IF($Q435+1&gt;$K$3,"",$Q435+1)))</f>
        <v/>
      </c>
      <c r="R436">
        <f>IF(OR($R435="",$R435="T"),"",IF($R435="B","S",IF($Q435+1&gt;$K$3,"T",IF(INDEX($M$4:$M$2003,MATCH($Q435+1,$P$4:$P$2003,0))&lt;&gt;INDEX($M$4:$M$2003,MATCH($Q435,$P$4:$P$2003,0)),"B","S"))))</f>
        <v/>
      </c>
      <c r="S436">
        <f>IF(Q436="","",IFERROR(MATCH(Q436,$P$4:$P$2003,0),""))</f>
        <v/>
      </c>
    </row>
    <row r="437">
      <c r="A437" s="4">
        <f>IF($R437="","",IF($R437="T","Gesamtergebnis",IF($R437="B",INDEX($M$4:$M$2003,$S437),INDEX($L$4:$L$2003,$S437))))</f>
        <v/>
      </c>
      <c r="B437" s="4">
        <f>IF($R437="","",IF($R437="T",$K$3,IF($R437="B",COUNTIFS($M$4:$M$2003,INDEX($M$4:$M$2003,$S437),$N$4:$N$2003,1),1)))</f>
        <v/>
      </c>
      <c r="L437">
        <f>IF($K$1="","",IFERROR(INDEX(Lines!$A:$AA,ROW()-2,$K$1),""))</f>
        <v/>
      </c>
      <c r="M437">
        <f>IF($K$2="","",IFERROR(INDEX(Lines!$A:$AA,ROW()-2,$K$2),""))</f>
        <v/>
      </c>
      <c r="N437">
        <f>IF(AND(L437&lt;&gt;"",LEFT(L437,1)="N",M437&lt;&gt;"PICKING",M437&lt;&gt;""),1,0)</f>
        <v/>
      </c>
      <c r="O437">
        <f>IF(N437=1,M437&amp;"|"&amp;L437,REPT("z",40))</f>
        <v/>
      </c>
      <c r="P437">
        <f>IF(N437=1,COUNTIF($O$4:$O$2003,"&lt;"&amp;O437)+1,"")</f>
        <v/>
      </c>
      <c r="Q437">
        <f>IF(OR($R436="",$R436="T"),"",IF($R436="B",$Q436,IF($Q436+1&gt;$K$3,"",$Q436+1)))</f>
        <v/>
      </c>
      <c r="R437">
        <f>IF(OR($R436="",$R436="T"),"",IF($R436="B","S",IF($Q436+1&gt;$K$3,"T",IF(INDEX($M$4:$M$2003,MATCH($Q436+1,$P$4:$P$2003,0))&lt;&gt;INDEX($M$4:$M$2003,MATCH($Q436,$P$4:$P$2003,0)),"B","S"))))</f>
        <v/>
      </c>
      <c r="S437">
        <f>IF(Q437="","",IFERROR(MATCH(Q437,$P$4:$P$2003,0),""))</f>
        <v/>
      </c>
    </row>
    <row r="438">
      <c r="A438" s="4">
        <f>IF($R438="","",IF($R438="T","Gesamtergebnis",IF($R438="B",INDEX($M$4:$M$2003,$S438),INDEX($L$4:$L$2003,$S438))))</f>
        <v/>
      </c>
      <c r="B438" s="4">
        <f>IF($R438="","",IF($R438="T",$K$3,IF($R438="B",COUNTIFS($M$4:$M$2003,INDEX($M$4:$M$2003,$S438),$N$4:$N$2003,1),1)))</f>
        <v/>
      </c>
      <c r="L438">
        <f>IF($K$1="","",IFERROR(INDEX(Lines!$A:$AA,ROW()-2,$K$1),""))</f>
        <v/>
      </c>
      <c r="M438">
        <f>IF($K$2="","",IFERROR(INDEX(Lines!$A:$AA,ROW()-2,$K$2),""))</f>
        <v/>
      </c>
      <c r="N438">
        <f>IF(AND(L438&lt;&gt;"",LEFT(L438,1)="N",M438&lt;&gt;"PICKING",M438&lt;&gt;""),1,0)</f>
        <v/>
      </c>
      <c r="O438">
        <f>IF(N438=1,M438&amp;"|"&amp;L438,REPT("z",40))</f>
        <v/>
      </c>
      <c r="P438">
        <f>IF(N438=1,COUNTIF($O$4:$O$2003,"&lt;"&amp;O438)+1,"")</f>
        <v/>
      </c>
      <c r="Q438">
        <f>IF(OR($R437="",$R437="T"),"",IF($R437="B",$Q437,IF($Q437+1&gt;$K$3,"",$Q437+1)))</f>
        <v/>
      </c>
      <c r="R438">
        <f>IF(OR($R437="",$R437="T"),"",IF($R437="B","S",IF($Q437+1&gt;$K$3,"T",IF(INDEX($M$4:$M$2003,MATCH($Q437+1,$P$4:$P$2003,0))&lt;&gt;INDEX($M$4:$M$2003,MATCH($Q437,$P$4:$P$2003,0)),"B","S"))))</f>
        <v/>
      </c>
      <c r="S438">
        <f>IF(Q438="","",IFERROR(MATCH(Q438,$P$4:$P$2003,0),""))</f>
        <v/>
      </c>
    </row>
    <row r="439">
      <c r="A439" s="4">
        <f>IF($R439="","",IF($R439="T","Gesamtergebnis",IF($R439="B",INDEX($M$4:$M$2003,$S439),INDEX($L$4:$L$2003,$S439))))</f>
        <v/>
      </c>
      <c r="B439" s="4">
        <f>IF($R439="","",IF($R439="T",$K$3,IF($R439="B",COUNTIFS($M$4:$M$2003,INDEX($M$4:$M$2003,$S439),$N$4:$N$2003,1),1)))</f>
        <v/>
      </c>
      <c r="L439">
        <f>IF($K$1="","",IFERROR(INDEX(Lines!$A:$AA,ROW()-2,$K$1),""))</f>
        <v/>
      </c>
      <c r="M439">
        <f>IF($K$2="","",IFERROR(INDEX(Lines!$A:$AA,ROW()-2,$K$2),""))</f>
        <v/>
      </c>
      <c r="N439">
        <f>IF(AND(L439&lt;&gt;"",LEFT(L439,1)="N",M439&lt;&gt;"PICKING",M439&lt;&gt;""),1,0)</f>
        <v/>
      </c>
      <c r="O439">
        <f>IF(N439=1,M439&amp;"|"&amp;L439,REPT("z",40))</f>
        <v/>
      </c>
      <c r="P439">
        <f>IF(N439=1,COUNTIF($O$4:$O$2003,"&lt;"&amp;O439)+1,"")</f>
        <v/>
      </c>
      <c r="Q439">
        <f>IF(OR($R438="",$R438="T"),"",IF($R438="B",$Q438,IF($Q438+1&gt;$K$3,"",$Q438+1)))</f>
        <v/>
      </c>
      <c r="R439">
        <f>IF(OR($R438="",$R438="T"),"",IF($R438="B","S",IF($Q438+1&gt;$K$3,"T",IF(INDEX($M$4:$M$2003,MATCH($Q438+1,$P$4:$P$2003,0))&lt;&gt;INDEX($M$4:$M$2003,MATCH($Q438,$P$4:$P$2003,0)),"B","S"))))</f>
        <v/>
      </c>
      <c r="S439">
        <f>IF(Q439="","",IFERROR(MATCH(Q439,$P$4:$P$2003,0),""))</f>
        <v/>
      </c>
    </row>
    <row r="440">
      <c r="A440" s="4">
        <f>IF($R440="","",IF($R440="T","Gesamtergebnis",IF($R440="B",INDEX($M$4:$M$2003,$S440),INDEX($L$4:$L$2003,$S440))))</f>
        <v/>
      </c>
      <c r="B440" s="4">
        <f>IF($R440="","",IF($R440="T",$K$3,IF($R440="B",COUNTIFS($M$4:$M$2003,INDEX($M$4:$M$2003,$S440),$N$4:$N$2003,1),1)))</f>
        <v/>
      </c>
      <c r="L440">
        <f>IF($K$1="","",IFERROR(INDEX(Lines!$A:$AA,ROW()-2,$K$1),""))</f>
        <v/>
      </c>
      <c r="M440">
        <f>IF($K$2="","",IFERROR(INDEX(Lines!$A:$AA,ROW()-2,$K$2),""))</f>
        <v/>
      </c>
      <c r="N440">
        <f>IF(AND(L440&lt;&gt;"",LEFT(L440,1)="N",M440&lt;&gt;"PICKING",M440&lt;&gt;""),1,0)</f>
        <v/>
      </c>
      <c r="O440">
        <f>IF(N440=1,M440&amp;"|"&amp;L440,REPT("z",40))</f>
        <v/>
      </c>
      <c r="P440">
        <f>IF(N440=1,COUNTIF($O$4:$O$2003,"&lt;"&amp;O440)+1,"")</f>
        <v/>
      </c>
      <c r="Q440">
        <f>IF(OR($R439="",$R439="T"),"",IF($R439="B",$Q439,IF($Q439+1&gt;$K$3,"",$Q439+1)))</f>
        <v/>
      </c>
      <c r="R440">
        <f>IF(OR($R439="",$R439="T"),"",IF($R439="B","S",IF($Q439+1&gt;$K$3,"T",IF(INDEX($M$4:$M$2003,MATCH($Q439+1,$P$4:$P$2003,0))&lt;&gt;INDEX($M$4:$M$2003,MATCH($Q439,$P$4:$P$2003,0)),"B","S"))))</f>
        <v/>
      </c>
      <c r="S440">
        <f>IF(Q440="","",IFERROR(MATCH(Q440,$P$4:$P$2003,0),""))</f>
        <v/>
      </c>
    </row>
    <row r="441">
      <c r="A441" s="4">
        <f>IF($R441="","",IF($R441="T","Gesamtergebnis",IF($R441="B",INDEX($M$4:$M$2003,$S441),INDEX($L$4:$L$2003,$S441))))</f>
        <v/>
      </c>
      <c r="B441" s="4">
        <f>IF($R441="","",IF($R441="T",$K$3,IF($R441="B",COUNTIFS($M$4:$M$2003,INDEX($M$4:$M$2003,$S441),$N$4:$N$2003,1),1)))</f>
        <v/>
      </c>
      <c r="L441">
        <f>IF($K$1="","",IFERROR(INDEX(Lines!$A:$AA,ROW()-2,$K$1),""))</f>
        <v/>
      </c>
      <c r="M441">
        <f>IF($K$2="","",IFERROR(INDEX(Lines!$A:$AA,ROW()-2,$K$2),""))</f>
        <v/>
      </c>
      <c r="N441">
        <f>IF(AND(L441&lt;&gt;"",LEFT(L441,1)="N",M441&lt;&gt;"PICKING",M441&lt;&gt;""),1,0)</f>
        <v/>
      </c>
      <c r="O441">
        <f>IF(N441=1,M441&amp;"|"&amp;L441,REPT("z",40))</f>
        <v/>
      </c>
      <c r="P441">
        <f>IF(N441=1,COUNTIF($O$4:$O$2003,"&lt;"&amp;O441)+1,"")</f>
        <v/>
      </c>
      <c r="Q441">
        <f>IF(OR($R440="",$R440="T"),"",IF($R440="B",$Q440,IF($Q440+1&gt;$K$3,"",$Q440+1)))</f>
        <v/>
      </c>
      <c r="R441">
        <f>IF(OR($R440="",$R440="T"),"",IF($R440="B","S",IF($Q440+1&gt;$K$3,"T",IF(INDEX($M$4:$M$2003,MATCH($Q440+1,$P$4:$P$2003,0))&lt;&gt;INDEX($M$4:$M$2003,MATCH($Q440,$P$4:$P$2003,0)),"B","S"))))</f>
        <v/>
      </c>
      <c r="S441">
        <f>IF(Q441="","",IFERROR(MATCH(Q441,$P$4:$P$2003,0),""))</f>
        <v/>
      </c>
    </row>
    <row r="442">
      <c r="A442" s="4">
        <f>IF($R442="","",IF($R442="T","Gesamtergebnis",IF($R442="B",INDEX($M$4:$M$2003,$S442),INDEX($L$4:$L$2003,$S442))))</f>
        <v/>
      </c>
      <c r="B442" s="4">
        <f>IF($R442="","",IF($R442="T",$K$3,IF($R442="B",COUNTIFS($M$4:$M$2003,INDEX($M$4:$M$2003,$S442),$N$4:$N$2003,1),1)))</f>
        <v/>
      </c>
      <c r="L442">
        <f>IF($K$1="","",IFERROR(INDEX(Lines!$A:$AA,ROW()-2,$K$1),""))</f>
        <v/>
      </c>
      <c r="M442">
        <f>IF($K$2="","",IFERROR(INDEX(Lines!$A:$AA,ROW()-2,$K$2),""))</f>
        <v/>
      </c>
      <c r="N442">
        <f>IF(AND(L442&lt;&gt;"",LEFT(L442,1)="N",M442&lt;&gt;"PICKING",M442&lt;&gt;""),1,0)</f>
        <v/>
      </c>
      <c r="O442">
        <f>IF(N442=1,M442&amp;"|"&amp;L442,REPT("z",40))</f>
        <v/>
      </c>
      <c r="P442">
        <f>IF(N442=1,COUNTIF($O$4:$O$2003,"&lt;"&amp;O442)+1,"")</f>
        <v/>
      </c>
      <c r="Q442">
        <f>IF(OR($R441="",$R441="T"),"",IF($R441="B",$Q441,IF($Q441+1&gt;$K$3,"",$Q441+1)))</f>
        <v/>
      </c>
      <c r="R442">
        <f>IF(OR($R441="",$R441="T"),"",IF($R441="B","S",IF($Q441+1&gt;$K$3,"T",IF(INDEX($M$4:$M$2003,MATCH($Q441+1,$P$4:$P$2003,0))&lt;&gt;INDEX($M$4:$M$2003,MATCH($Q441,$P$4:$P$2003,0)),"B","S"))))</f>
        <v/>
      </c>
      <c r="S442">
        <f>IF(Q442="","",IFERROR(MATCH(Q442,$P$4:$P$2003,0),""))</f>
        <v/>
      </c>
    </row>
    <row r="443">
      <c r="A443" s="4">
        <f>IF($R443="","",IF($R443="T","Gesamtergebnis",IF($R443="B",INDEX($M$4:$M$2003,$S443),INDEX($L$4:$L$2003,$S443))))</f>
        <v/>
      </c>
      <c r="B443" s="4">
        <f>IF($R443="","",IF($R443="T",$K$3,IF($R443="B",COUNTIFS($M$4:$M$2003,INDEX($M$4:$M$2003,$S443),$N$4:$N$2003,1),1)))</f>
        <v/>
      </c>
      <c r="L443">
        <f>IF($K$1="","",IFERROR(INDEX(Lines!$A:$AA,ROW()-2,$K$1),""))</f>
        <v/>
      </c>
      <c r="M443">
        <f>IF($K$2="","",IFERROR(INDEX(Lines!$A:$AA,ROW()-2,$K$2),""))</f>
        <v/>
      </c>
      <c r="N443">
        <f>IF(AND(L443&lt;&gt;"",LEFT(L443,1)="N",M443&lt;&gt;"PICKING",M443&lt;&gt;""),1,0)</f>
        <v/>
      </c>
      <c r="O443">
        <f>IF(N443=1,M443&amp;"|"&amp;L443,REPT("z",40))</f>
        <v/>
      </c>
      <c r="P443">
        <f>IF(N443=1,COUNTIF($O$4:$O$2003,"&lt;"&amp;O443)+1,"")</f>
        <v/>
      </c>
      <c r="Q443">
        <f>IF(OR($R442="",$R442="T"),"",IF($R442="B",$Q442,IF($Q442+1&gt;$K$3,"",$Q442+1)))</f>
        <v/>
      </c>
      <c r="R443">
        <f>IF(OR($R442="",$R442="T"),"",IF($R442="B","S",IF($Q442+1&gt;$K$3,"T",IF(INDEX($M$4:$M$2003,MATCH($Q442+1,$P$4:$P$2003,0))&lt;&gt;INDEX($M$4:$M$2003,MATCH($Q442,$P$4:$P$2003,0)),"B","S"))))</f>
        <v/>
      </c>
      <c r="S443">
        <f>IF(Q443="","",IFERROR(MATCH(Q443,$P$4:$P$2003,0),""))</f>
        <v/>
      </c>
    </row>
    <row r="444">
      <c r="A444" s="4">
        <f>IF($R444="","",IF($R444="T","Gesamtergebnis",IF($R444="B",INDEX($M$4:$M$2003,$S444),INDEX($L$4:$L$2003,$S444))))</f>
        <v/>
      </c>
      <c r="B444" s="4">
        <f>IF($R444="","",IF($R444="T",$K$3,IF($R444="B",COUNTIFS($M$4:$M$2003,INDEX($M$4:$M$2003,$S444),$N$4:$N$2003,1),1)))</f>
        <v/>
      </c>
      <c r="L444">
        <f>IF($K$1="","",IFERROR(INDEX(Lines!$A:$AA,ROW()-2,$K$1),""))</f>
        <v/>
      </c>
      <c r="M444">
        <f>IF($K$2="","",IFERROR(INDEX(Lines!$A:$AA,ROW()-2,$K$2),""))</f>
        <v/>
      </c>
      <c r="N444">
        <f>IF(AND(L444&lt;&gt;"",LEFT(L444,1)="N",M444&lt;&gt;"PICKING",M444&lt;&gt;""),1,0)</f>
        <v/>
      </c>
      <c r="O444">
        <f>IF(N444=1,M444&amp;"|"&amp;L444,REPT("z",40))</f>
        <v/>
      </c>
      <c r="P444">
        <f>IF(N444=1,COUNTIF($O$4:$O$2003,"&lt;"&amp;O444)+1,"")</f>
        <v/>
      </c>
      <c r="Q444">
        <f>IF(OR($R443="",$R443="T"),"",IF($R443="B",$Q443,IF($Q443+1&gt;$K$3,"",$Q443+1)))</f>
        <v/>
      </c>
      <c r="R444">
        <f>IF(OR($R443="",$R443="T"),"",IF($R443="B","S",IF($Q443+1&gt;$K$3,"T",IF(INDEX($M$4:$M$2003,MATCH($Q443+1,$P$4:$P$2003,0))&lt;&gt;INDEX($M$4:$M$2003,MATCH($Q443,$P$4:$P$2003,0)),"B","S"))))</f>
        <v/>
      </c>
      <c r="S444">
        <f>IF(Q444="","",IFERROR(MATCH(Q444,$P$4:$P$2003,0),""))</f>
        <v/>
      </c>
    </row>
    <row r="445">
      <c r="A445" s="4">
        <f>IF($R445="","",IF($R445="T","Gesamtergebnis",IF($R445="B",INDEX($M$4:$M$2003,$S445),INDEX($L$4:$L$2003,$S445))))</f>
        <v/>
      </c>
      <c r="B445" s="4">
        <f>IF($R445="","",IF($R445="T",$K$3,IF($R445="B",COUNTIFS($M$4:$M$2003,INDEX($M$4:$M$2003,$S445),$N$4:$N$2003,1),1)))</f>
        <v/>
      </c>
      <c r="L445">
        <f>IF($K$1="","",IFERROR(INDEX(Lines!$A:$AA,ROW()-2,$K$1),""))</f>
        <v/>
      </c>
      <c r="M445">
        <f>IF($K$2="","",IFERROR(INDEX(Lines!$A:$AA,ROW()-2,$K$2),""))</f>
        <v/>
      </c>
      <c r="N445">
        <f>IF(AND(L445&lt;&gt;"",LEFT(L445,1)="N",M445&lt;&gt;"PICKING",M445&lt;&gt;""),1,0)</f>
        <v/>
      </c>
      <c r="O445">
        <f>IF(N445=1,M445&amp;"|"&amp;L445,REPT("z",40))</f>
        <v/>
      </c>
      <c r="P445">
        <f>IF(N445=1,COUNTIF($O$4:$O$2003,"&lt;"&amp;O445)+1,"")</f>
        <v/>
      </c>
      <c r="Q445">
        <f>IF(OR($R444="",$R444="T"),"",IF($R444="B",$Q444,IF($Q444+1&gt;$K$3,"",$Q444+1)))</f>
        <v/>
      </c>
      <c r="R445">
        <f>IF(OR($R444="",$R444="T"),"",IF($R444="B","S",IF($Q444+1&gt;$K$3,"T",IF(INDEX($M$4:$M$2003,MATCH($Q444+1,$P$4:$P$2003,0))&lt;&gt;INDEX($M$4:$M$2003,MATCH($Q444,$P$4:$P$2003,0)),"B","S"))))</f>
        <v/>
      </c>
      <c r="S445">
        <f>IF(Q445="","",IFERROR(MATCH(Q445,$P$4:$P$2003,0),""))</f>
        <v/>
      </c>
    </row>
    <row r="446">
      <c r="A446" s="4">
        <f>IF($R446="","",IF($R446="T","Gesamtergebnis",IF($R446="B",INDEX($M$4:$M$2003,$S446),INDEX($L$4:$L$2003,$S446))))</f>
        <v/>
      </c>
      <c r="B446" s="4">
        <f>IF($R446="","",IF($R446="T",$K$3,IF($R446="B",COUNTIFS($M$4:$M$2003,INDEX($M$4:$M$2003,$S446),$N$4:$N$2003,1),1)))</f>
        <v/>
      </c>
      <c r="L446">
        <f>IF($K$1="","",IFERROR(INDEX(Lines!$A:$AA,ROW()-2,$K$1),""))</f>
        <v/>
      </c>
      <c r="M446">
        <f>IF($K$2="","",IFERROR(INDEX(Lines!$A:$AA,ROW()-2,$K$2),""))</f>
        <v/>
      </c>
      <c r="N446">
        <f>IF(AND(L446&lt;&gt;"",LEFT(L446,1)="N",M446&lt;&gt;"PICKING",M446&lt;&gt;""),1,0)</f>
        <v/>
      </c>
      <c r="O446">
        <f>IF(N446=1,M446&amp;"|"&amp;L446,REPT("z",40))</f>
        <v/>
      </c>
      <c r="P446">
        <f>IF(N446=1,COUNTIF($O$4:$O$2003,"&lt;"&amp;O446)+1,"")</f>
        <v/>
      </c>
      <c r="Q446">
        <f>IF(OR($R445="",$R445="T"),"",IF($R445="B",$Q445,IF($Q445+1&gt;$K$3,"",$Q445+1)))</f>
        <v/>
      </c>
      <c r="R446">
        <f>IF(OR($R445="",$R445="T"),"",IF($R445="B","S",IF($Q445+1&gt;$K$3,"T",IF(INDEX($M$4:$M$2003,MATCH($Q445+1,$P$4:$P$2003,0))&lt;&gt;INDEX($M$4:$M$2003,MATCH($Q445,$P$4:$P$2003,0)),"B","S"))))</f>
        <v/>
      </c>
      <c r="S446">
        <f>IF(Q446="","",IFERROR(MATCH(Q446,$P$4:$P$2003,0),""))</f>
        <v/>
      </c>
    </row>
    <row r="447">
      <c r="A447" s="4">
        <f>IF($R447="","",IF($R447="T","Gesamtergebnis",IF($R447="B",INDEX($M$4:$M$2003,$S447),INDEX($L$4:$L$2003,$S447))))</f>
        <v/>
      </c>
      <c r="B447" s="4">
        <f>IF($R447="","",IF($R447="T",$K$3,IF($R447="B",COUNTIFS($M$4:$M$2003,INDEX($M$4:$M$2003,$S447),$N$4:$N$2003,1),1)))</f>
        <v/>
      </c>
      <c r="L447">
        <f>IF($K$1="","",IFERROR(INDEX(Lines!$A:$AA,ROW()-2,$K$1),""))</f>
        <v/>
      </c>
      <c r="M447">
        <f>IF($K$2="","",IFERROR(INDEX(Lines!$A:$AA,ROW()-2,$K$2),""))</f>
        <v/>
      </c>
      <c r="N447">
        <f>IF(AND(L447&lt;&gt;"",LEFT(L447,1)="N",M447&lt;&gt;"PICKING",M447&lt;&gt;""),1,0)</f>
        <v/>
      </c>
      <c r="O447">
        <f>IF(N447=1,M447&amp;"|"&amp;L447,REPT("z",40))</f>
        <v/>
      </c>
      <c r="P447">
        <f>IF(N447=1,COUNTIF($O$4:$O$2003,"&lt;"&amp;O447)+1,"")</f>
        <v/>
      </c>
      <c r="Q447">
        <f>IF(OR($R446="",$R446="T"),"",IF($R446="B",$Q446,IF($Q446+1&gt;$K$3,"",$Q446+1)))</f>
        <v/>
      </c>
      <c r="R447">
        <f>IF(OR($R446="",$R446="T"),"",IF($R446="B","S",IF($Q446+1&gt;$K$3,"T",IF(INDEX($M$4:$M$2003,MATCH($Q446+1,$P$4:$P$2003,0))&lt;&gt;INDEX($M$4:$M$2003,MATCH($Q446,$P$4:$P$2003,0)),"B","S"))))</f>
        <v/>
      </c>
      <c r="S447">
        <f>IF(Q447="","",IFERROR(MATCH(Q447,$P$4:$P$2003,0),""))</f>
        <v/>
      </c>
    </row>
    <row r="448">
      <c r="A448" s="4">
        <f>IF($R448="","",IF($R448="T","Gesamtergebnis",IF($R448="B",INDEX($M$4:$M$2003,$S448),INDEX($L$4:$L$2003,$S448))))</f>
        <v/>
      </c>
      <c r="B448" s="4">
        <f>IF($R448="","",IF($R448="T",$K$3,IF($R448="B",COUNTIFS($M$4:$M$2003,INDEX($M$4:$M$2003,$S448),$N$4:$N$2003,1),1)))</f>
        <v/>
      </c>
      <c r="L448">
        <f>IF($K$1="","",IFERROR(INDEX(Lines!$A:$AA,ROW()-2,$K$1),""))</f>
        <v/>
      </c>
      <c r="M448">
        <f>IF($K$2="","",IFERROR(INDEX(Lines!$A:$AA,ROW()-2,$K$2),""))</f>
        <v/>
      </c>
      <c r="N448">
        <f>IF(AND(L448&lt;&gt;"",LEFT(L448,1)="N",M448&lt;&gt;"PICKING",M448&lt;&gt;""),1,0)</f>
        <v/>
      </c>
      <c r="O448">
        <f>IF(N448=1,M448&amp;"|"&amp;L448,REPT("z",40))</f>
        <v/>
      </c>
      <c r="P448">
        <f>IF(N448=1,COUNTIF($O$4:$O$2003,"&lt;"&amp;O448)+1,"")</f>
        <v/>
      </c>
      <c r="Q448">
        <f>IF(OR($R447="",$R447="T"),"",IF($R447="B",$Q447,IF($Q447+1&gt;$K$3,"",$Q447+1)))</f>
        <v/>
      </c>
      <c r="R448">
        <f>IF(OR($R447="",$R447="T"),"",IF($R447="B","S",IF($Q447+1&gt;$K$3,"T",IF(INDEX($M$4:$M$2003,MATCH($Q447+1,$P$4:$P$2003,0))&lt;&gt;INDEX($M$4:$M$2003,MATCH($Q447,$P$4:$P$2003,0)),"B","S"))))</f>
        <v/>
      </c>
      <c r="S448">
        <f>IF(Q448="","",IFERROR(MATCH(Q448,$P$4:$P$2003,0),""))</f>
        <v/>
      </c>
    </row>
    <row r="449">
      <c r="A449" s="4">
        <f>IF($R449="","",IF($R449="T","Gesamtergebnis",IF($R449="B",INDEX($M$4:$M$2003,$S449),INDEX($L$4:$L$2003,$S449))))</f>
        <v/>
      </c>
      <c r="B449" s="4">
        <f>IF($R449="","",IF($R449="T",$K$3,IF($R449="B",COUNTIFS($M$4:$M$2003,INDEX($M$4:$M$2003,$S449),$N$4:$N$2003,1),1)))</f>
        <v/>
      </c>
      <c r="L449">
        <f>IF($K$1="","",IFERROR(INDEX(Lines!$A:$AA,ROW()-2,$K$1),""))</f>
        <v/>
      </c>
      <c r="M449">
        <f>IF($K$2="","",IFERROR(INDEX(Lines!$A:$AA,ROW()-2,$K$2),""))</f>
        <v/>
      </c>
      <c r="N449">
        <f>IF(AND(L449&lt;&gt;"",LEFT(L449,1)="N",M449&lt;&gt;"PICKING",M449&lt;&gt;""),1,0)</f>
        <v/>
      </c>
      <c r="O449">
        <f>IF(N449=1,M449&amp;"|"&amp;L449,REPT("z",40))</f>
        <v/>
      </c>
      <c r="P449">
        <f>IF(N449=1,COUNTIF($O$4:$O$2003,"&lt;"&amp;O449)+1,"")</f>
        <v/>
      </c>
      <c r="Q449">
        <f>IF(OR($R448="",$R448="T"),"",IF($R448="B",$Q448,IF($Q448+1&gt;$K$3,"",$Q448+1)))</f>
        <v/>
      </c>
      <c r="R449">
        <f>IF(OR($R448="",$R448="T"),"",IF($R448="B","S",IF($Q448+1&gt;$K$3,"T",IF(INDEX($M$4:$M$2003,MATCH($Q448+1,$P$4:$P$2003,0))&lt;&gt;INDEX($M$4:$M$2003,MATCH($Q448,$P$4:$P$2003,0)),"B","S"))))</f>
        <v/>
      </c>
      <c r="S449">
        <f>IF(Q449="","",IFERROR(MATCH(Q449,$P$4:$P$2003,0),""))</f>
        <v/>
      </c>
    </row>
    <row r="450">
      <c r="A450" s="4">
        <f>IF($R450="","",IF($R450="T","Gesamtergebnis",IF($R450="B",INDEX($M$4:$M$2003,$S450),INDEX($L$4:$L$2003,$S450))))</f>
        <v/>
      </c>
      <c r="B450" s="4">
        <f>IF($R450="","",IF($R450="T",$K$3,IF($R450="B",COUNTIFS($M$4:$M$2003,INDEX($M$4:$M$2003,$S450),$N$4:$N$2003,1),1)))</f>
        <v/>
      </c>
      <c r="L450">
        <f>IF($K$1="","",IFERROR(INDEX(Lines!$A:$AA,ROW()-2,$K$1),""))</f>
        <v/>
      </c>
      <c r="M450">
        <f>IF($K$2="","",IFERROR(INDEX(Lines!$A:$AA,ROW()-2,$K$2),""))</f>
        <v/>
      </c>
      <c r="N450">
        <f>IF(AND(L450&lt;&gt;"",LEFT(L450,1)="N",M450&lt;&gt;"PICKING",M450&lt;&gt;""),1,0)</f>
        <v/>
      </c>
      <c r="O450">
        <f>IF(N450=1,M450&amp;"|"&amp;L450,REPT("z",40))</f>
        <v/>
      </c>
      <c r="P450">
        <f>IF(N450=1,COUNTIF($O$4:$O$2003,"&lt;"&amp;O450)+1,"")</f>
        <v/>
      </c>
      <c r="Q450">
        <f>IF(OR($R449="",$R449="T"),"",IF($R449="B",$Q449,IF($Q449+1&gt;$K$3,"",$Q449+1)))</f>
        <v/>
      </c>
      <c r="R450">
        <f>IF(OR($R449="",$R449="T"),"",IF($R449="B","S",IF($Q449+1&gt;$K$3,"T",IF(INDEX($M$4:$M$2003,MATCH($Q449+1,$P$4:$P$2003,0))&lt;&gt;INDEX($M$4:$M$2003,MATCH($Q449,$P$4:$P$2003,0)),"B","S"))))</f>
        <v/>
      </c>
      <c r="S450">
        <f>IF(Q450="","",IFERROR(MATCH(Q450,$P$4:$P$2003,0),""))</f>
        <v/>
      </c>
    </row>
    <row r="451">
      <c r="A451" s="4">
        <f>IF($R451="","",IF($R451="T","Gesamtergebnis",IF($R451="B",INDEX($M$4:$M$2003,$S451),INDEX($L$4:$L$2003,$S451))))</f>
        <v/>
      </c>
      <c r="B451" s="4">
        <f>IF($R451="","",IF($R451="T",$K$3,IF($R451="B",COUNTIFS($M$4:$M$2003,INDEX($M$4:$M$2003,$S451),$N$4:$N$2003,1),1)))</f>
        <v/>
      </c>
      <c r="L451">
        <f>IF($K$1="","",IFERROR(INDEX(Lines!$A:$AA,ROW()-2,$K$1),""))</f>
        <v/>
      </c>
      <c r="M451">
        <f>IF($K$2="","",IFERROR(INDEX(Lines!$A:$AA,ROW()-2,$K$2),""))</f>
        <v/>
      </c>
      <c r="N451">
        <f>IF(AND(L451&lt;&gt;"",LEFT(L451,1)="N",M451&lt;&gt;"PICKING",M451&lt;&gt;""),1,0)</f>
        <v/>
      </c>
      <c r="O451">
        <f>IF(N451=1,M451&amp;"|"&amp;L451,REPT("z",40))</f>
        <v/>
      </c>
      <c r="P451">
        <f>IF(N451=1,COUNTIF($O$4:$O$2003,"&lt;"&amp;O451)+1,"")</f>
        <v/>
      </c>
      <c r="Q451">
        <f>IF(OR($R450="",$R450="T"),"",IF($R450="B",$Q450,IF($Q450+1&gt;$K$3,"",$Q450+1)))</f>
        <v/>
      </c>
      <c r="R451">
        <f>IF(OR($R450="",$R450="T"),"",IF($R450="B","S",IF($Q450+1&gt;$K$3,"T",IF(INDEX($M$4:$M$2003,MATCH($Q450+1,$P$4:$P$2003,0))&lt;&gt;INDEX($M$4:$M$2003,MATCH($Q450,$P$4:$P$2003,0)),"B","S"))))</f>
        <v/>
      </c>
      <c r="S451">
        <f>IF(Q451="","",IFERROR(MATCH(Q451,$P$4:$P$2003,0),""))</f>
        <v/>
      </c>
    </row>
    <row r="452">
      <c r="A452" s="4">
        <f>IF($R452="","",IF($R452="T","Gesamtergebnis",IF($R452="B",INDEX($M$4:$M$2003,$S452),INDEX($L$4:$L$2003,$S452))))</f>
        <v/>
      </c>
      <c r="B452" s="4">
        <f>IF($R452="","",IF($R452="T",$K$3,IF($R452="B",COUNTIFS($M$4:$M$2003,INDEX($M$4:$M$2003,$S452),$N$4:$N$2003,1),1)))</f>
        <v/>
      </c>
      <c r="L452">
        <f>IF($K$1="","",IFERROR(INDEX(Lines!$A:$AA,ROW()-2,$K$1),""))</f>
        <v/>
      </c>
      <c r="M452">
        <f>IF($K$2="","",IFERROR(INDEX(Lines!$A:$AA,ROW()-2,$K$2),""))</f>
        <v/>
      </c>
      <c r="N452">
        <f>IF(AND(L452&lt;&gt;"",LEFT(L452,1)="N",M452&lt;&gt;"PICKING",M452&lt;&gt;""),1,0)</f>
        <v/>
      </c>
      <c r="O452">
        <f>IF(N452=1,M452&amp;"|"&amp;L452,REPT("z",40))</f>
        <v/>
      </c>
      <c r="P452">
        <f>IF(N452=1,COUNTIF($O$4:$O$2003,"&lt;"&amp;O452)+1,"")</f>
        <v/>
      </c>
      <c r="Q452">
        <f>IF(OR($R451="",$R451="T"),"",IF($R451="B",$Q451,IF($Q451+1&gt;$K$3,"",$Q451+1)))</f>
        <v/>
      </c>
      <c r="R452">
        <f>IF(OR($R451="",$R451="T"),"",IF($R451="B","S",IF($Q451+1&gt;$K$3,"T",IF(INDEX($M$4:$M$2003,MATCH($Q451+1,$P$4:$P$2003,0))&lt;&gt;INDEX($M$4:$M$2003,MATCH($Q451,$P$4:$P$2003,0)),"B","S"))))</f>
        <v/>
      </c>
      <c r="S452">
        <f>IF(Q452="","",IFERROR(MATCH(Q452,$P$4:$P$2003,0),""))</f>
        <v/>
      </c>
    </row>
    <row r="453">
      <c r="A453" s="4">
        <f>IF($R453="","",IF($R453="T","Gesamtergebnis",IF($R453="B",INDEX($M$4:$M$2003,$S453),INDEX($L$4:$L$2003,$S453))))</f>
        <v/>
      </c>
      <c r="B453" s="4">
        <f>IF($R453="","",IF($R453="T",$K$3,IF($R453="B",COUNTIFS($M$4:$M$2003,INDEX($M$4:$M$2003,$S453),$N$4:$N$2003,1),1)))</f>
        <v/>
      </c>
      <c r="L453">
        <f>IF($K$1="","",IFERROR(INDEX(Lines!$A:$AA,ROW()-2,$K$1),""))</f>
        <v/>
      </c>
      <c r="M453">
        <f>IF($K$2="","",IFERROR(INDEX(Lines!$A:$AA,ROW()-2,$K$2),""))</f>
        <v/>
      </c>
      <c r="N453">
        <f>IF(AND(L453&lt;&gt;"",LEFT(L453,1)="N",M453&lt;&gt;"PICKING",M453&lt;&gt;""),1,0)</f>
        <v/>
      </c>
      <c r="O453">
        <f>IF(N453=1,M453&amp;"|"&amp;L453,REPT("z",40))</f>
        <v/>
      </c>
      <c r="P453">
        <f>IF(N453=1,COUNTIF($O$4:$O$2003,"&lt;"&amp;O453)+1,"")</f>
        <v/>
      </c>
      <c r="Q453">
        <f>IF(OR($R452="",$R452="T"),"",IF($R452="B",$Q452,IF($Q452+1&gt;$K$3,"",$Q452+1)))</f>
        <v/>
      </c>
      <c r="R453">
        <f>IF(OR($R452="",$R452="T"),"",IF($R452="B","S",IF($Q452+1&gt;$K$3,"T",IF(INDEX($M$4:$M$2003,MATCH($Q452+1,$P$4:$P$2003,0))&lt;&gt;INDEX($M$4:$M$2003,MATCH($Q452,$P$4:$P$2003,0)),"B","S"))))</f>
        <v/>
      </c>
      <c r="S453">
        <f>IF(Q453="","",IFERROR(MATCH(Q453,$P$4:$P$2003,0),""))</f>
        <v/>
      </c>
    </row>
    <row r="454">
      <c r="A454" s="4">
        <f>IF($R454="","",IF($R454="T","Gesamtergebnis",IF($R454="B",INDEX($M$4:$M$2003,$S454),INDEX($L$4:$L$2003,$S454))))</f>
        <v/>
      </c>
      <c r="B454" s="4">
        <f>IF($R454="","",IF($R454="T",$K$3,IF($R454="B",COUNTIFS($M$4:$M$2003,INDEX($M$4:$M$2003,$S454),$N$4:$N$2003,1),1)))</f>
        <v/>
      </c>
      <c r="L454">
        <f>IF($K$1="","",IFERROR(INDEX(Lines!$A:$AA,ROW()-2,$K$1),""))</f>
        <v/>
      </c>
      <c r="M454">
        <f>IF($K$2="","",IFERROR(INDEX(Lines!$A:$AA,ROW()-2,$K$2),""))</f>
        <v/>
      </c>
      <c r="N454">
        <f>IF(AND(L454&lt;&gt;"",LEFT(L454,1)="N",M454&lt;&gt;"PICKING",M454&lt;&gt;""),1,0)</f>
        <v/>
      </c>
      <c r="O454">
        <f>IF(N454=1,M454&amp;"|"&amp;L454,REPT("z",40))</f>
        <v/>
      </c>
      <c r="P454">
        <f>IF(N454=1,COUNTIF($O$4:$O$2003,"&lt;"&amp;O454)+1,"")</f>
        <v/>
      </c>
      <c r="Q454">
        <f>IF(OR($R453="",$R453="T"),"",IF($R453="B",$Q453,IF($Q453+1&gt;$K$3,"",$Q453+1)))</f>
        <v/>
      </c>
      <c r="R454">
        <f>IF(OR($R453="",$R453="T"),"",IF($R453="B","S",IF($Q453+1&gt;$K$3,"T",IF(INDEX($M$4:$M$2003,MATCH($Q453+1,$P$4:$P$2003,0))&lt;&gt;INDEX($M$4:$M$2003,MATCH($Q453,$P$4:$P$2003,0)),"B","S"))))</f>
        <v/>
      </c>
      <c r="S454">
        <f>IF(Q454="","",IFERROR(MATCH(Q454,$P$4:$P$2003,0),""))</f>
        <v/>
      </c>
    </row>
    <row r="455">
      <c r="A455" s="4">
        <f>IF($R455="","",IF($R455="T","Gesamtergebnis",IF($R455="B",INDEX($M$4:$M$2003,$S455),INDEX($L$4:$L$2003,$S455))))</f>
        <v/>
      </c>
      <c r="B455" s="4">
        <f>IF($R455="","",IF($R455="T",$K$3,IF($R455="B",COUNTIFS($M$4:$M$2003,INDEX($M$4:$M$2003,$S455),$N$4:$N$2003,1),1)))</f>
        <v/>
      </c>
      <c r="L455">
        <f>IF($K$1="","",IFERROR(INDEX(Lines!$A:$AA,ROW()-2,$K$1),""))</f>
        <v/>
      </c>
      <c r="M455">
        <f>IF($K$2="","",IFERROR(INDEX(Lines!$A:$AA,ROW()-2,$K$2),""))</f>
        <v/>
      </c>
      <c r="N455">
        <f>IF(AND(L455&lt;&gt;"",LEFT(L455,1)="N",M455&lt;&gt;"PICKING",M455&lt;&gt;""),1,0)</f>
        <v/>
      </c>
      <c r="O455">
        <f>IF(N455=1,M455&amp;"|"&amp;L455,REPT("z",40))</f>
        <v/>
      </c>
      <c r="P455">
        <f>IF(N455=1,COUNTIF($O$4:$O$2003,"&lt;"&amp;O455)+1,"")</f>
        <v/>
      </c>
      <c r="Q455">
        <f>IF(OR($R454="",$R454="T"),"",IF($R454="B",$Q454,IF($Q454+1&gt;$K$3,"",$Q454+1)))</f>
        <v/>
      </c>
      <c r="R455">
        <f>IF(OR($R454="",$R454="T"),"",IF($R454="B","S",IF($Q454+1&gt;$K$3,"T",IF(INDEX($M$4:$M$2003,MATCH($Q454+1,$P$4:$P$2003,0))&lt;&gt;INDEX($M$4:$M$2003,MATCH($Q454,$P$4:$P$2003,0)),"B","S"))))</f>
        <v/>
      </c>
      <c r="S455">
        <f>IF(Q455="","",IFERROR(MATCH(Q455,$P$4:$P$2003,0),""))</f>
        <v/>
      </c>
    </row>
    <row r="456">
      <c r="A456" s="4">
        <f>IF($R456="","",IF($R456="T","Gesamtergebnis",IF($R456="B",INDEX($M$4:$M$2003,$S456),INDEX($L$4:$L$2003,$S456))))</f>
        <v/>
      </c>
      <c r="B456" s="4">
        <f>IF($R456="","",IF($R456="T",$K$3,IF($R456="B",COUNTIFS($M$4:$M$2003,INDEX($M$4:$M$2003,$S456),$N$4:$N$2003,1),1)))</f>
        <v/>
      </c>
      <c r="L456">
        <f>IF($K$1="","",IFERROR(INDEX(Lines!$A:$AA,ROW()-2,$K$1),""))</f>
        <v/>
      </c>
      <c r="M456">
        <f>IF($K$2="","",IFERROR(INDEX(Lines!$A:$AA,ROW()-2,$K$2),""))</f>
        <v/>
      </c>
      <c r="N456">
        <f>IF(AND(L456&lt;&gt;"",LEFT(L456,1)="N",M456&lt;&gt;"PICKING",M456&lt;&gt;""),1,0)</f>
        <v/>
      </c>
      <c r="O456">
        <f>IF(N456=1,M456&amp;"|"&amp;L456,REPT("z",40))</f>
        <v/>
      </c>
      <c r="P456">
        <f>IF(N456=1,COUNTIF($O$4:$O$2003,"&lt;"&amp;O456)+1,"")</f>
        <v/>
      </c>
      <c r="Q456">
        <f>IF(OR($R455="",$R455="T"),"",IF($R455="B",$Q455,IF($Q455+1&gt;$K$3,"",$Q455+1)))</f>
        <v/>
      </c>
      <c r="R456">
        <f>IF(OR($R455="",$R455="T"),"",IF($R455="B","S",IF($Q455+1&gt;$K$3,"T",IF(INDEX($M$4:$M$2003,MATCH($Q455+1,$P$4:$P$2003,0))&lt;&gt;INDEX($M$4:$M$2003,MATCH($Q455,$P$4:$P$2003,0)),"B","S"))))</f>
        <v/>
      </c>
      <c r="S456">
        <f>IF(Q456="","",IFERROR(MATCH(Q456,$P$4:$P$2003,0),""))</f>
        <v/>
      </c>
    </row>
    <row r="457">
      <c r="A457" s="4">
        <f>IF($R457="","",IF($R457="T","Gesamtergebnis",IF($R457="B",INDEX($M$4:$M$2003,$S457),INDEX($L$4:$L$2003,$S457))))</f>
        <v/>
      </c>
      <c r="B457" s="4">
        <f>IF($R457="","",IF($R457="T",$K$3,IF($R457="B",COUNTIFS($M$4:$M$2003,INDEX($M$4:$M$2003,$S457),$N$4:$N$2003,1),1)))</f>
        <v/>
      </c>
      <c r="L457">
        <f>IF($K$1="","",IFERROR(INDEX(Lines!$A:$AA,ROW()-2,$K$1),""))</f>
        <v/>
      </c>
      <c r="M457">
        <f>IF($K$2="","",IFERROR(INDEX(Lines!$A:$AA,ROW()-2,$K$2),""))</f>
        <v/>
      </c>
      <c r="N457">
        <f>IF(AND(L457&lt;&gt;"",LEFT(L457,1)="N",M457&lt;&gt;"PICKING",M457&lt;&gt;""),1,0)</f>
        <v/>
      </c>
      <c r="O457">
        <f>IF(N457=1,M457&amp;"|"&amp;L457,REPT("z",40))</f>
        <v/>
      </c>
      <c r="P457">
        <f>IF(N457=1,COUNTIF($O$4:$O$2003,"&lt;"&amp;O457)+1,"")</f>
        <v/>
      </c>
      <c r="Q457">
        <f>IF(OR($R456="",$R456="T"),"",IF($R456="B",$Q456,IF($Q456+1&gt;$K$3,"",$Q456+1)))</f>
        <v/>
      </c>
      <c r="R457">
        <f>IF(OR($R456="",$R456="T"),"",IF($R456="B","S",IF($Q456+1&gt;$K$3,"T",IF(INDEX($M$4:$M$2003,MATCH($Q456+1,$P$4:$P$2003,0))&lt;&gt;INDEX($M$4:$M$2003,MATCH($Q456,$P$4:$P$2003,0)),"B","S"))))</f>
        <v/>
      </c>
      <c r="S457">
        <f>IF(Q457="","",IFERROR(MATCH(Q457,$P$4:$P$2003,0),""))</f>
        <v/>
      </c>
    </row>
    <row r="458">
      <c r="A458" s="4">
        <f>IF($R458="","",IF($R458="T","Gesamtergebnis",IF($R458="B",INDEX($M$4:$M$2003,$S458),INDEX($L$4:$L$2003,$S458))))</f>
        <v/>
      </c>
      <c r="B458" s="4">
        <f>IF($R458="","",IF($R458="T",$K$3,IF($R458="B",COUNTIFS($M$4:$M$2003,INDEX($M$4:$M$2003,$S458),$N$4:$N$2003,1),1)))</f>
        <v/>
      </c>
      <c r="L458">
        <f>IF($K$1="","",IFERROR(INDEX(Lines!$A:$AA,ROW()-2,$K$1),""))</f>
        <v/>
      </c>
      <c r="M458">
        <f>IF($K$2="","",IFERROR(INDEX(Lines!$A:$AA,ROW()-2,$K$2),""))</f>
        <v/>
      </c>
      <c r="N458">
        <f>IF(AND(L458&lt;&gt;"",LEFT(L458,1)="N",M458&lt;&gt;"PICKING",M458&lt;&gt;""),1,0)</f>
        <v/>
      </c>
      <c r="O458">
        <f>IF(N458=1,M458&amp;"|"&amp;L458,REPT("z",40))</f>
        <v/>
      </c>
      <c r="P458">
        <f>IF(N458=1,COUNTIF($O$4:$O$2003,"&lt;"&amp;O458)+1,"")</f>
        <v/>
      </c>
      <c r="Q458">
        <f>IF(OR($R457="",$R457="T"),"",IF($R457="B",$Q457,IF($Q457+1&gt;$K$3,"",$Q457+1)))</f>
        <v/>
      </c>
      <c r="R458">
        <f>IF(OR($R457="",$R457="T"),"",IF($R457="B","S",IF($Q457+1&gt;$K$3,"T",IF(INDEX($M$4:$M$2003,MATCH($Q457+1,$P$4:$P$2003,0))&lt;&gt;INDEX($M$4:$M$2003,MATCH($Q457,$P$4:$P$2003,0)),"B","S"))))</f>
        <v/>
      </c>
      <c r="S458">
        <f>IF(Q458="","",IFERROR(MATCH(Q458,$P$4:$P$2003,0),""))</f>
        <v/>
      </c>
    </row>
    <row r="459">
      <c r="A459" s="4">
        <f>IF($R459="","",IF($R459="T","Gesamtergebnis",IF($R459="B",INDEX($M$4:$M$2003,$S459),INDEX($L$4:$L$2003,$S459))))</f>
        <v/>
      </c>
      <c r="B459" s="4">
        <f>IF($R459="","",IF($R459="T",$K$3,IF($R459="B",COUNTIFS($M$4:$M$2003,INDEX($M$4:$M$2003,$S459),$N$4:$N$2003,1),1)))</f>
        <v/>
      </c>
      <c r="L459">
        <f>IF($K$1="","",IFERROR(INDEX(Lines!$A:$AA,ROW()-2,$K$1),""))</f>
        <v/>
      </c>
      <c r="M459">
        <f>IF($K$2="","",IFERROR(INDEX(Lines!$A:$AA,ROW()-2,$K$2),""))</f>
        <v/>
      </c>
      <c r="N459">
        <f>IF(AND(L459&lt;&gt;"",LEFT(L459,1)="N",M459&lt;&gt;"PICKING",M459&lt;&gt;""),1,0)</f>
        <v/>
      </c>
      <c r="O459">
        <f>IF(N459=1,M459&amp;"|"&amp;L459,REPT("z",40))</f>
        <v/>
      </c>
      <c r="P459">
        <f>IF(N459=1,COUNTIF($O$4:$O$2003,"&lt;"&amp;O459)+1,"")</f>
        <v/>
      </c>
      <c r="Q459">
        <f>IF(OR($R458="",$R458="T"),"",IF($R458="B",$Q458,IF($Q458+1&gt;$K$3,"",$Q458+1)))</f>
        <v/>
      </c>
      <c r="R459">
        <f>IF(OR($R458="",$R458="T"),"",IF($R458="B","S",IF($Q458+1&gt;$K$3,"T",IF(INDEX($M$4:$M$2003,MATCH($Q458+1,$P$4:$P$2003,0))&lt;&gt;INDEX($M$4:$M$2003,MATCH($Q458,$P$4:$P$2003,0)),"B","S"))))</f>
        <v/>
      </c>
      <c r="S459">
        <f>IF(Q459="","",IFERROR(MATCH(Q459,$P$4:$P$2003,0),""))</f>
        <v/>
      </c>
    </row>
    <row r="460">
      <c r="A460" s="4">
        <f>IF($R460="","",IF($R460="T","Gesamtergebnis",IF($R460="B",INDEX($M$4:$M$2003,$S460),INDEX($L$4:$L$2003,$S460))))</f>
        <v/>
      </c>
      <c r="B460" s="4">
        <f>IF($R460="","",IF($R460="T",$K$3,IF($R460="B",COUNTIFS($M$4:$M$2003,INDEX($M$4:$M$2003,$S460),$N$4:$N$2003,1),1)))</f>
        <v/>
      </c>
      <c r="L460">
        <f>IF($K$1="","",IFERROR(INDEX(Lines!$A:$AA,ROW()-2,$K$1),""))</f>
        <v/>
      </c>
      <c r="M460">
        <f>IF($K$2="","",IFERROR(INDEX(Lines!$A:$AA,ROW()-2,$K$2),""))</f>
        <v/>
      </c>
      <c r="N460">
        <f>IF(AND(L460&lt;&gt;"",LEFT(L460,1)="N",M460&lt;&gt;"PICKING",M460&lt;&gt;""),1,0)</f>
        <v/>
      </c>
      <c r="O460">
        <f>IF(N460=1,M460&amp;"|"&amp;L460,REPT("z",40))</f>
        <v/>
      </c>
      <c r="P460">
        <f>IF(N460=1,COUNTIF($O$4:$O$2003,"&lt;"&amp;O460)+1,"")</f>
        <v/>
      </c>
      <c r="Q460">
        <f>IF(OR($R459="",$R459="T"),"",IF($R459="B",$Q459,IF($Q459+1&gt;$K$3,"",$Q459+1)))</f>
        <v/>
      </c>
      <c r="R460">
        <f>IF(OR($R459="",$R459="T"),"",IF($R459="B","S",IF($Q459+1&gt;$K$3,"T",IF(INDEX($M$4:$M$2003,MATCH($Q459+1,$P$4:$P$2003,0))&lt;&gt;INDEX($M$4:$M$2003,MATCH($Q459,$P$4:$P$2003,0)),"B","S"))))</f>
        <v/>
      </c>
      <c r="S460">
        <f>IF(Q460="","",IFERROR(MATCH(Q460,$P$4:$P$2003,0),""))</f>
        <v/>
      </c>
    </row>
    <row r="461">
      <c r="A461" s="4">
        <f>IF($R461="","",IF($R461="T","Gesamtergebnis",IF($R461="B",INDEX($M$4:$M$2003,$S461),INDEX($L$4:$L$2003,$S461))))</f>
        <v/>
      </c>
      <c r="B461" s="4">
        <f>IF($R461="","",IF($R461="T",$K$3,IF($R461="B",COUNTIFS($M$4:$M$2003,INDEX($M$4:$M$2003,$S461),$N$4:$N$2003,1),1)))</f>
        <v/>
      </c>
      <c r="L461">
        <f>IF($K$1="","",IFERROR(INDEX(Lines!$A:$AA,ROW()-2,$K$1),""))</f>
        <v/>
      </c>
      <c r="M461">
        <f>IF($K$2="","",IFERROR(INDEX(Lines!$A:$AA,ROW()-2,$K$2),""))</f>
        <v/>
      </c>
      <c r="N461">
        <f>IF(AND(L461&lt;&gt;"",LEFT(L461,1)="N",M461&lt;&gt;"PICKING",M461&lt;&gt;""),1,0)</f>
        <v/>
      </c>
      <c r="O461">
        <f>IF(N461=1,M461&amp;"|"&amp;L461,REPT("z",40))</f>
        <v/>
      </c>
      <c r="P461">
        <f>IF(N461=1,COUNTIF($O$4:$O$2003,"&lt;"&amp;O461)+1,"")</f>
        <v/>
      </c>
      <c r="Q461">
        <f>IF(OR($R460="",$R460="T"),"",IF($R460="B",$Q460,IF($Q460+1&gt;$K$3,"",$Q460+1)))</f>
        <v/>
      </c>
      <c r="R461">
        <f>IF(OR($R460="",$R460="T"),"",IF($R460="B","S",IF($Q460+1&gt;$K$3,"T",IF(INDEX($M$4:$M$2003,MATCH($Q460+1,$P$4:$P$2003,0))&lt;&gt;INDEX($M$4:$M$2003,MATCH($Q460,$P$4:$P$2003,0)),"B","S"))))</f>
        <v/>
      </c>
      <c r="S461">
        <f>IF(Q461="","",IFERROR(MATCH(Q461,$P$4:$P$2003,0),""))</f>
        <v/>
      </c>
    </row>
    <row r="462">
      <c r="A462" s="4">
        <f>IF($R462="","",IF($R462="T","Gesamtergebnis",IF($R462="B",INDEX($M$4:$M$2003,$S462),INDEX($L$4:$L$2003,$S462))))</f>
        <v/>
      </c>
      <c r="B462" s="4">
        <f>IF($R462="","",IF($R462="T",$K$3,IF($R462="B",COUNTIFS($M$4:$M$2003,INDEX($M$4:$M$2003,$S462),$N$4:$N$2003,1),1)))</f>
        <v/>
      </c>
      <c r="L462">
        <f>IF($K$1="","",IFERROR(INDEX(Lines!$A:$AA,ROW()-2,$K$1),""))</f>
        <v/>
      </c>
      <c r="M462">
        <f>IF($K$2="","",IFERROR(INDEX(Lines!$A:$AA,ROW()-2,$K$2),""))</f>
        <v/>
      </c>
      <c r="N462">
        <f>IF(AND(L462&lt;&gt;"",LEFT(L462,1)="N",M462&lt;&gt;"PICKING",M462&lt;&gt;""),1,0)</f>
        <v/>
      </c>
      <c r="O462">
        <f>IF(N462=1,M462&amp;"|"&amp;L462,REPT("z",40))</f>
        <v/>
      </c>
      <c r="P462">
        <f>IF(N462=1,COUNTIF($O$4:$O$2003,"&lt;"&amp;O462)+1,"")</f>
        <v/>
      </c>
      <c r="Q462">
        <f>IF(OR($R461="",$R461="T"),"",IF($R461="B",$Q461,IF($Q461+1&gt;$K$3,"",$Q461+1)))</f>
        <v/>
      </c>
      <c r="R462">
        <f>IF(OR($R461="",$R461="T"),"",IF($R461="B","S",IF($Q461+1&gt;$K$3,"T",IF(INDEX($M$4:$M$2003,MATCH($Q461+1,$P$4:$P$2003,0))&lt;&gt;INDEX($M$4:$M$2003,MATCH($Q461,$P$4:$P$2003,0)),"B","S"))))</f>
        <v/>
      </c>
      <c r="S462">
        <f>IF(Q462="","",IFERROR(MATCH(Q462,$P$4:$P$2003,0),""))</f>
        <v/>
      </c>
    </row>
    <row r="463">
      <c r="A463" s="4">
        <f>IF($R463="","",IF($R463="T","Gesamtergebnis",IF($R463="B",INDEX($M$4:$M$2003,$S463),INDEX($L$4:$L$2003,$S463))))</f>
        <v/>
      </c>
      <c r="B463" s="4">
        <f>IF($R463="","",IF($R463="T",$K$3,IF($R463="B",COUNTIFS($M$4:$M$2003,INDEX($M$4:$M$2003,$S463),$N$4:$N$2003,1),1)))</f>
        <v/>
      </c>
      <c r="L463">
        <f>IF($K$1="","",IFERROR(INDEX(Lines!$A:$AA,ROW()-2,$K$1),""))</f>
        <v/>
      </c>
      <c r="M463">
        <f>IF($K$2="","",IFERROR(INDEX(Lines!$A:$AA,ROW()-2,$K$2),""))</f>
        <v/>
      </c>
      <c r="N463">
        <f>IF(AND(L463&lt;&gt;"",LEFT(L463,1)="N",M463&lt;&gt;"PICKING",M463&lt;&gt;""),1,0)</f>
        <v/>
      </c>
      <c r="O463">
        <f>IF(N463=1,M463&amp;"|"&amp;L463,REPT("z",40))</f>
        <v/>
      </c>
      <c r="P463">
        <f>IF(N463=1,COUNTIF($O$4:$O$2003,"&lt;"&amp;O463)+1,"")</f>
        <v/>
      </c>
      <c r="Q463">
        <f>IF(OR($R462="",$R462="T"),"",IF($R462="B",$Q462,IF($Q462+1&gt;$K$3,"",$Q462+1)))</f>
        <v/>
      </c>
      <c r="R463">
        <f>IF(OR($R462="",$R462="T"),"",IF($R462="B","S",IF($Q462+1&gt;$K$3,"T",IF(INDEX($M$4:$M$2003,MATCH($Q462+1,$P$4:$P$2003,0))&lt;&gt;INDEX($M$4:$M$2003,MATCH($Q462,$P$4:$P$2003,0)),"B","S"))))</f>
        <v/>
      </c>
      <c r="S463">
        <f>IF(Q463="","",IFERROR(MATCH(Q463,$P$4:$P$2003,0),""))</f>
        <v/>
      </c>
    </row>
    <row r="464">
      <c r="A464" s="4">
        <f>IF($R464="","",IF($R464="T","Gesamtergebnis",IF($R464="B",INDEX($M$4:$M$2003,$S464),INDEX($L$4:$L$2003,$S464))))</f>
        <v/>
      </c>
      <c r="B464" s="4">
        <f>IF($R464="","",IF($R464="T",$K$3,IF($R464="B",COUNTIFS($M$4:$M$2003,INDEX($M$4:$M$2003,$S464),$N$4:$N$2003,1),1)))</f>
        <v/>
      </c>
      <c r="L464">
        <f>IF($K$1="","",IFERROR(INDEX(Lines!$A:$AA,ROW()-2,$K$1),""))</f>
        <v/>
      </c>
      <c r="M464">
        <f>IF($K$2="","",IFERROR(INDEX(Lines!$A:$AA,ROW()-2,$K$2),""))</f>
        <v/>
      </c>
      <c r="N464">
        <f>IF(AND(L464&lt;&gt;"",LEFT(L464,1)="N",M464&lt;&gt;"PICKING",M464&lt;&gt;""),1,0)</f>
        <v/>
      </c>
      <c r="O464">
        <f>IF(N464=1,M464&amp;"|"&amp;L464,REPT("z",40))</f>
        <v/>
      </c>
      <c r="P464">
        <f>IF(N464=1,COUNTIF($O$4:$O$2003,"&lt;"&amp;O464)+1,"")</f>
        <v/>
      </c>
      <c r="Q464">
        <f>IF(OR($R463="",$R463="T"),"",IF($R463="B",$Q463,IF($Q463+1&gt;$K$3,"",$Q463+1)))</f>
        <v/>
      </c>
      <c r="R464">
        <f>IF(OR($R463="",$R463="T"),"",IF($R463="B","S",IF($Q463+1&gt;$K$3,"T",IF(INDEX($M$4:$M$2003,MATCH($Q463+1,$P$4:$P$2003,0))&lt;&gt;INDEX($M$4:$M$2003,MATCH($Q463,$P$4:$P$2003,0)),"B","S"))))</f>
        <v/>
      </c>
      <c r="S464">
        <f>IF(Q464="","",IFERROR(MATCH(Q464,$P$4:$P$2003,0),""))</f>
        <v/>
      </c>
    </row>
    <row r="465">
      <c r="A465" s="4">
        <f>IF($R465="","",IF($R465="T","Gesamtergebnis",IF($R465="B",INDEX($M$4:$M$2003,$S465),INDEX($L$4:$L$2003,$S465))))</f>
        <v/>
      </c>
      <c r="B465" s="4">
        <f>IF($R465="","",IF($R465="T",$K$3,IF($R465="B",COUNTIFS($M$4:$M$2003,INDEX($M$4:$M$2003,$S465),$N$4:$N$2003,1),1)))</f>
        <v/>
      </c>
      <c r="L465">
        <f>IF($K$1="","",IFERROR(INDEX(Lines!$A:$AA,ROW()-2,$K$1),""))</f>
        <v/>
      </c>
      <c r="M465">
        <f>IF($K$2="","",IFERROR(INDEX(Lines!$A:$AA,ROW()-2,$K$2),""))</f>
        <v/>
      </c>
      <c r="N465">
        <f>IF(AND(L465&lt;&gt;"",LEFT(L465,1)="N",M465&lt;&gt;"PICKING",M465&lt;&gt;""),1,0)</f>
        <v/>
      </c>
      <c r="O465">
        <f>IF(N465=1,M465&amp;"|"&amp;L465,REPT("z",40))</f>
        <v/>
      </c>
      <c r="P465">
        <f>IF(N465=1,COUNTIF($O$4:$O$2003,"&lt;"&amp;O465)+1,"")</f>
        <v/>
      </c>
      <c r="Q465">
        <f>IF(OR($R464="",$R464="T"),"",IF($R464="B",$Q464,IF($Q464+1&gt;$K$3,"",$Q464+1)))</f>
        <v/>
      </c>
      <c r="R465">
        <f>IF(OR($R464="",$R464="T"),"",IF($R464="B","S",IF($Q464+1&gt;$K$3,"T",IF(INDEX($M$4:$M$2003,MATCH($Q464+1,$P$4:$P$2003,0))&lt;&gt;INDEX($M$4:$M$2003,MATCH($Q464,$P$4:$P$2003,0)),"B","S"))))</f>
        <v/>
      </c>
      <c r="S465">
        <f>IF(Q465="","",IFERROR(MATCH(Q465,$P$4:$P$2003,0),""))</f>
        <v/>
      </c>
    </row>
    <row r="466">
      <c r="A466" s="4">
        <f>IF($R466="","",IF($R466="T","Gesamtergebnis",IF($R466="B",INDEX($M$4:$M$2003,$S466),INDEX($L$4:$L$2003,$S466))))</f>
        <v/>
      </c>
      <c r="B466" s="4">
        <f>IF($R466="","",IF($R466="T",$K$3,IF($R466="B",COUNTIFS($M$4:$M$2003,INDEX($M$4:$M$2003,$S466),$N$4:$N$2003,1),1)))</f>
        <v/>
      </c>
      <c r="L466">
        <f>IF($K$1="","",IFERROR(INDEX(Lines!$A:$AA,ROW()-2,$K$1),""))</f>
        <v/>
      </c>
      <c r="M466">
        <f>IF($K$2="","",IFERROR(INDEX(Lines!$A:$AA,ROW()-2,$K$2),""))</f>
        <v/>
      </c>
      <c r="N466">
        <f>IF(AND(L466&lt;&gt;"",LEFT(L466,1)="N",M466&lt;&gt;"PICKING",M466&lt;&gt;""),1,0)</f>
        <v/>
      </c>
      <c r="O466">
        <f>IF(N466=1,M466&amp;"|"&amp;L466,REPT("z",40))</f>
        <v/>
      </c>
      <c r="P466">
        <f>IF(N466=1,COUNTIF($O$4:$O$2003,"&lt;"&amp;O466)+1,"")</f>
        <v/>
      </c>
      <c r="Q466">
        <f>IF(OR($R465="",$R465="T"),"",IF($R465="B",$Q465,IF($Q465+1&gt;$K$3,"",$Q465+1)))</f>
        <v/>
      </c>
      <c r="R466">
        <f>IF(OR($R465="",$R465="T"),"",IF($R465="B","S",IF($Q465+1&gt;$K$3,"T",IF(INDEX($M$4:$M$2003,MATCH($Q465+1,$P$4:$P$2003,0))&lt;&gt;INDEX($M$4:$M$2003,MATCH($Q465,$P$4:$P$2003,0)),"B","S"))))</f>
        <v/>
      </c>
      <c r="S466">
        <f>IF(Q466="","",IFERROR(MATCH(Q466,$P$4:$P$2003,0),""))</f>
        <v/>
      </c>
    </row>
    <row r="467">
      <c r="A467" s="4">
        <f>IF($R467="","",IF($R467="T","Gesamtergebnis",IF($R467="B",INDEX($M$4:$M$2003,$S467),INDEX($L$4:$L$2003,$S467))))</f>
        <v/>
      </c>
      <c r="B467" s="4">
        <f>IF($R467="","",IF($R467="T",$K$3,IF($R467="B",COUNTIFS($M$4:$M$2003,INDEX($M$4:$M$2003,$S467),$N$4:$N$2003,1),1)))</f>
        <v/>
      </c>
      <c r="L467">
        <f>IF($K$1="","",IFERROR(INDEX(Lines!$A:$AA,ROW()-2,$K$1),""))</f>
        <v/>
      </c>
      <c r="M467">
        <f>IF($K$2="","",IFERROR(INDEX(Lines!$A:$AA,ROW()-2,$K$2),""))</f>
        <v/>
      </c>
      <c r="N467">
        <f>IF(AND(L467&lt;&gt;"",LEFT(L467,1)="N",M467&lt;&gt;"PICKING",M467&lt;&gt;""),1,0)</f>
        <v/>
      </c>
      <c r="O467">
        <f>IF(N467=1,M467&amp;"|"&amp;L467,REPT("z",40))</f>
        <v/>
      </c>
      <c r="P467">
        <f>IF(N467=1,COUNTIF($O$4:$O$2003,"&lt;"&amp;O467)+1,"")</f>
        <v/>
      </c>
      <c r="Q467">
        <f>IF(OR($R466="",$R466="T"),"",IF($R466="B",$Q466,IF($Q466+1&gt;$K$3,"",$Q466+1)))</f>
        <v/>
      </c>
      <c r="R467">
        <f>IF(OR($R466="",$R466="T"),"",IF($R466="B","S",IF($Q466+1&gt;$K$3,"T",IF(INDEX($M$4:$M$2003,MATCH($Q466+1,$P$4:$P$2003,0))&lt;&gt;INDEX($M$4:$M$2003,MATCH($Q466,$P$4:$P$2003,0)),"B","S"))))</f>
        <v/>
      </c>
      <c r="S467">
        <f>IF(Q467="","",IFERROR(MATCH(Q467,$P$4:$P$2003,0),""))</f>
        <v/>
      </c>
    </row>
    <row r="468">
      <c r="A468" s="4">
        <f>IF($R468="","",IF($R468="T","Gesamtergebnis",IF($R468="B",INDEX($M$4:$M$2003,$S468),INDEX($L$4:$L$2003,$S468))))</f>
        <v/>
      </c>
      <c r="B468" s="4">
        <f>IF($R468="","",IF($R468="T",$K$3,IF($R468="B",COUNTIFS($M$4:$M$2003,INDEX($M$4:$M$2003,$S468),$N$4:$N$2003,1),1)))</f>
        <v/>
      </c>
      <c r="L468">
        <f>IF($K$1="","",IFERROR(INDEX(Lines!$A:$AA,ROW()-2,$K$1),""))</f>
        <v/>
      </c>
      <c r="M468">
        <f>IF($K$2="","",IFERROR(INDEX(Lines!$A:$AA,ROW()-2,$K$2),""))</f>
        <v/>
      </c>
      <c r="N468">
        <f>IF(AND(L468&lt;&gt;"",LEFT(L468,1)="N",M468&lt;&gt;"PICKING",M468&lt;&gt;""),1,0)</f>
        <v/>
      </c>
      <c r="O468">
        <f>IF(N468=1,M468&amp;"|"&amp;L468,REPT("z",40))</f>
        <v/>
      </c>
      <c r="P468">
        <f>IF(N468=1,COUNTIF($O$4:$O$2003,"&lt;"&amp;O468)+1,"")</f>
        <v/>
      </c>
      <c r="Q468">
        <f>IF(OR($R467="",$R467="T"),"",IF($R467="B",$Q467,IF($Q467+1&gt;$K$3,"",$Q467+1)))</f>
        <v/>
      </c>
      <c r="R468">
        <f>IF(OR($R467="",$R467="T"),"",IF($R467="B","S",IF($Q467+1&gt;$K$3,"T",IF(INDEX($M$4:$M$2003,MATCH($Q467+1,$P$4:$P$2003,0))&lt;&gt;INDEX($M$4:$M$2003,MATCH($Q467,$P$4:$P$2003,0)),"B","S"))))</f>
        <v/>
      </c>
      <c r="S468">
        <f>IF(Q468="","",IFERROR(MATCH(Q468,$P$4:$P$2003,0),""))</f>
        <v/>
      </c>
    </row>
    <row r="469">
      <c r="A469" s="4">
        <f>IF($R469="","",IF($R469="T","Gesamtergebnis",IF($R469="B",INDEX($M$4:$M$2003,$S469),INDEX($L$4:$L$2003,$S469))))</f>
        <v/>
      </c>
      <c r="B469" s="4">
        <f>IF($R469="","",IF($R469="T",$K$3,IF($R469="B",COUNTIFS($M$4:$M$2003,INDEX($M$4:$M$2003,$S469),$N$4:$N$2003,1),1)))</f>
        <v/>
      </c>
      <c r="L469">
        <f>IF($K$1="","",IFERROR(INDEX(Lines!$A:$AA,ROW()-2,$K$1),""))</f>
        <v/>
      </c>
      <c r="M469">
        <f>IF($K$2="","",IFERROR(INDEX(Lines!$A:$AA,ROW()-2,$K$2),""))</f>
        <v/>
      </c>
      <c r="N469">
        <f>IF(AND(L469&lt;&gt;"",LEFT(L469,1)="N",M469&lt;&gt;"PICKING",M469&lt;&gt;""),1,0)</f>
        <v/>
      </c>
      <c r="O469">
        <f>IF(N469=1,M469&amp;"|"&amp;L469,REPT("z",40))</f>
        <v/>
      </c>
      <c r="P469">
        <f>IF(N469=1,COUNTIF($O$4:$O$2003,"&lt;"&amp;O469)+1,"")</f>
        <v/>
      </c>
      <c r="Q469">
        <f>IF(OR($R468="",$R468="T"),"",IF($R468="B",$Q468,IF($Q468+1&gt;$K$3,"",$Q468+1)))</f>
        <v/>
      </c>
      <c r="R469">
        <f>IF(OR($R468="",$R468="T"),"",IF($R468="B","S",IF($Q468+1&gt;$K$3,"T",IF(INDEX($M$4:$M$2003,MATCH($Q468+1,$P$4:$P$2003,0))&lt;&gt;INDEX($M$4:$M$2003,MATCH($Q468,$P$4:$P$2003,0)),"B","S"))))</f>
        <v/>
      </c>
      <c r="S469">
        <f>IF(Q469="","",IFERROR(MATCH(Q469,$P$4:$P$2003,0),""))</f>
        <v/>
      </c>
    </row>
    <row r="470">
      <c r="A470" s="4">
        <f>IF($R470="","",IF($R470="T","Gesamtergebnis",IF($R470="B",INDEX($M$4:$M$2003,$S470),INDEX($L$4:$L$2003,$S470))))</f>
        <v/>
      </c>
      <c r="B470" s="4">
        <f>IF($R470="","",IF($R470="T",$K$3,IF($R470="B",COUNTIFS($M$4:$M$2003,INDEX($M$4:$M$2003,$S470),$N$4:$N$2003,1),1)))</f>
        <v/>
      </c>
      <c r="L470">
        <f>IF($K$1="","",IFERROR(INDEX(Lines!$A:$AA,ROW()-2,$K$1),""))</f>
        <v/>
      </c>
      <c r="M470">
        <f>IF($K$2="","",IFERROR(INDEX(Lines!$A:$AA,ROW()-2,$K$2),""))</f>
        <v/>
      </c>
      <c r="N470">
        <f>IF(AND(L470&lt;&gt;"",LEFT(L470,1)="N",M470&lt;&gt;"PICKING",M470&lt;&gt;""),1,0)</f>
        <v/>
      </c>
      <c r="O470">
        <f>IF(N470=1,M470&amp;"|"&amp;L470,REPT("z",40))</f>
        <v/>
      </c>
      <c r="P470">
        <f>IF(N470=1,COUNTIF($O$4:$O$2003,"&lt;"&amp;O470)+1,"")</f>
        <v/>
      </c>
      <c r="Q470">
        <f>IF(OR($R469="",$R469="T"),"",IF($R469="B",$Q469,IF($Q469+1&gt;$K$3,"",$Q469+1)))</f>
        <v/>
      </c>
      <c r="R470">
        <f>IF(OR($R469="",$R469="T"),"",IF($R469="B","S",IF($Q469+1&gt;$K$3,"T",IF(INDEX($M$4:$M$2003,MATCH($Q469+1,$P$4:$P$2003,0))&lt;&gt;INDEX($M$4:$M$2003,MATCH($Q469,$P$4:$P$2003,0)),"B","S"))))</f>
        <v/>
      </c>
      <c r="S470">
        <f>IF(Q470="","",IFERROR(MATCH(Q470,$P$4:$P$2003,0),""))</f>
        <v/>
      </c>
    </row>
    <row r="471">
      <c r="A471" s="4">
        <f>IF($R471="","",IF($R471="T","Gesamtergebnis",IF($R471="B",INDEX($M$4:$M$2003,$S471),INDEX($L$4:$L$2003,$S471))))</f>
        <v/>
      </c>
      <c r="B471" s="4">
        <f>IF($R471="","",IF($R471="T",$K$3,IF($R471="B",COUNTIFS($M$4:$M$2003,INDEX($M$4:$M$2003,$S471),$N$4:$N$2003,1),1)))</f>
        <v/>
      </c>
      <c r="L471">
        <f>IF($K$1="","",IFERROR(INDEX(Lines!$A:$AA,ROW()-2,$K$1),""))</f>
        <v/>
      </c>
      <c r="M471">
        <f>IF($K$2="","",IFERROR(INDEX(Lines!$A:$AA,ROW()-2,$K$2),""))</f>
        <v/>
      </c>
      <c r="N471">
        <f>IF(AND(L471&lt;&gt;"",LEFT(L471,1)="N",M471&lt;&gt;"PICKING",M471&lt;&gt;""),1,0)</f>
        <v/>
      </c>
      <c r="O471">
        <f>IF(N471=1,M471&amp;"|"&amp;L471,REPT("z",40))</f>
        <v/>
      </c>
      <c r="P471">
        <f>IF(N471=1,COUNTIF($O$4:$O$2003,"&lt;"&amp;O471)+1,"")</f>
        <v/>
      </c>
      <c r="Q471">
        <f>IF(OR($R470="",$R470="T"),"",IF($R470="B",$Q470,IF($Q470+1&gt;$K$3,"",$Q470+1)))</f>
        <v/>
      </c>
      <c r="R471">
        <f>IF(OR($R470="",$R470="T"),"",IF($R470="B","S",IF($Q470+1&gt;$K$3,"T",IF(INDEX($M$4:$M$2003,MATCH($Q470+1,$P$4:$P$2003,0))&lt;&gt;INDEX($M$4:$M$2003,MATCH($Q470,$P$4:$P$2003,0)),"B","S"))))</f>
        <v/>
      </c>
      <c r="S471">
        <f>IF(Q471="","",IFERROR(MATCH(Q471,$P$4:$P$2003,0),""))</f>
        <v/>
      </c>
    </row>
    <row r="472">
      <c r="A472" s="4">
        <f>IF($R472="","",IF($R472="T","Gesamtergebnis",IF($R472="B",INDEX($M$4:$M$2003,$S472),INDEX($L$4:$L$2003,$S472))))</f>
        <v/>
      </c>
      <c r="B472" s="4">
        <f>IF($R472="","",IF($R472="T",$K$3,IF($R472="B",COUNTIFS($M$4:$M$2003,INDEX($M$4:$M$2003,$S472),$N$4:$N$2003,1),1)))</f>
        <v/>
      </c>
      <c r="L472">
        <f>IF($K$1="","",IFERROR(INDEX(Lines!$A:$AA,ROW()-2,$K$1),""))</f>
        <v/>
      </c>
      <c r="M472">
        <f>IF($K$2="","",IFERROR(INDEX(Lines!$A:$AA,ROW()-2,$K$2),""))</f>
        <v/>
      </c>
      <c r="N472">
        <f>IF(AND(L472&lt;&gt;"",LEFT(L472,1)="N",M472&lt;&gt;"PICKING",M472&lt;&gt;""),1,0)</f>
        <v/>
      </c>
      <c r="O472">
        <f>IF(N472=1,M472&amp;"|"&amp;L472,REPT("z",40))</f>
        <v/>
      </c>
      <c r="P472">
        <f>IF(N472=1,COUNTIF($O$4:$O$2003,"&lt;"&amp;O472)+1,"")</f>
        <v/>
      </c>
      <c r="Q472">
        <f>IF(OR($R471="",$R471="T"),"",IF($R471="B",$Q471,IF($Q471+1&gt;$K$3,"",$Q471+1)))</f>
        <v/>
      </c>
      <c r="R472">
        <f>IF(OR($R471="",$R471="T"),"",IF($R471="B","S",IF($Q471+1&gt;$K$3,"T",IF(INDEX($M$4:$M$2003,MATCH($Q471+1,$P$4:$P$2003,0))&lt;&gt;INDEX($M$4:$M$2003,MATCH($Q471,$P$4:$P$2003,0)),"B","S"))))</f>
        <v/>
      </c>
      <c r="S472">
        <f>IF(Q472="","",IFERROR(MATCH(Q472,$P$4:$P$2003,0),""))</f>
        <v/>
      </c>
    </row>
    <row r="473">
      <c r="A473" s="4">
        <f>IF($R473="","",IF($R473="T","Gesamtergebnis",IF($R473="B",INDEX($M$4:$M$2003,$S473),INDEX($L$4:$L$2003,$S473))))</f>
        <v/>
      </c>
      <c r="B473" s="4">
        <f>IF($R473="","",IF($R473="T",$K$3,IF($R473="B",COUNTIFS($M$4:$M$2003,INDEX($M$4:$M$2003,$S473),$N$4:$N$2003,1),1)))</f>
        <v/>
      </c>
      <c r="L473">
        <f>IF($K$1="","",IFERROR(INDEX(Lines!$A:$AA,ROW()-2,$K$1),""))</f>
        <v/>
      </c>
      <c r="M473">
        <f>IF($K$2="","",IFERROR(INDEX(Lines!$A:$AA,ROW()-2,$K$2),""))</f>
        <v/>
      </c>
      <c r="N473">
        <f>IF(AND(L473&lt;&gt;"",LEFT(L473,1)="N",M473&lt;&gt;"PICKING",M473&lt;&gt;""),1,0)</f>
        <v/>
      </c>
      <c r="O473">
        <f>IF(N473=1,M473&amp;"|"&amp;L473,REPT("z",40))</f>
        <v/>
      </c>
      <c r="P473">
        <f>IF(N473=1,COUNTIF($O$4:$O$2003,"&lt;"&amp;O473)+1,"")</f>
        <v/>
      </c>
      <c r="Q473">
        <f>IF(OR($R472="",$R472="T"),"",IF($R472="B",$Q472,IF($Q472+1&gt;$K$3,"",$Q472+1)))</f>
        <v/>
      </c>
      <c r="R473">
        <f>IF(OR($R472="",$R472="T"),"",IF($R472="B","S",IF($Q472+1&gt;$K$3,"T",IF(INDEX($M$4:$M$2003,MATCH($Q472+1,$P$4:$P$2003,0))&lt;&gt;INDEX($M$4:$M$2003,MATCH($Q472,$P$4:$P$2003,0)),"B","S"))))</f>
        <v/>
      </c>
      <c r="S473">
        <f>IF(Q473="","",IFERROR(MATCH(Q473,$P$4:$P$2003,0),""))</f>
        <v/>
      </c>
    </row>
    <row r="474">
      <c r="A474" s="4">
        <f>IF($R474="","",IF($R474="T","Gesamtergebnis",IF($R474="B",INDEX($M$4:$M$2003,$S474),INDEX($L$4:$L$2003,$S474))))</f>
        <v/>
      </c>
      <c r="B474" s="4">
        <f>IF($R474="","",IF($R474="T",$K$3,IF($R474="B",COUNTIFS($M$4:$M$2003,INDEX($M$4:$M$2003,$S474),$N$4:$N$2003,1),1)))</f>
        <v/>
      </c>
      <c r="L474">
        <f>IF($K$1="","",IFERROR(INDEX(Lines!$A:$AA,ROW()-2,$K$1),""))</f>
        <v/>
      </c>
      <c r="M474">
        <f>IF($K$2="","",IFERROR(INDEX(Lines!$A:$AA,ROW()-2,$K$2),""))</f>
        <v/>
      </c>
      <c r="N474">
        <f>IF(AND(L474&lt;&gt;"",LEFT(L474,1)="N",M474&lt;&gt;"PICKING",M474&lt;&gt;""),1,0)</f>
        <v/>
      </c>
      <c r="O474">
        <f>IF(N474=1,M474&amp;"|"&amp;L474,REPT("z",40))</f>
        <v/>
      </c>
      <c r="P474">
        <f>IF(N474=1,COUNTIF($O$4:$O$2003,"&lt;"&amp;O474)+1,"")</f>
        <v/>
      </c>
      <c r="Q474">
        <f>IF(OR($R473="",$R473="T"),"",IF($R473="B",$Q473,IF($Q473+1&gt;$K$3,"",$Q473+1)))</f>
        <v/>
      </c>
      <c r="R474">
        <f>IF(OR($R473="",$R473="T"),"",IF($R473="B","S",IF($Q473+1&gt;$K$3,"T",IF(INDEX($M$4:$M$2003,MATCH($Q473+1,$P$4:$P$2003,0))&lt;&gt;INDEX($M$4:$M$2003,MATCH($Q473,$P$4:$P$2003,0)),"B","S"))))</f>
        <v/>
      </c>
      <c r="S474">
        <f>IF(Q474="","",IFERROR(MATCH(Q474,$P$4:$P$2003,0),""))</f>
        <v/>
      </c>
    </row>
    <row r="475">
      <c r="A475" s="4">
        <f>IF($R475="","",IF($R475="T","Gesamtergebnis",IF($R475="B",INDEX($M$4:$M$2003,$S475),INDEX($L$4:$L$2003,$S475))))</f>
        <v/>
      </c>
      <c r="B475" s="4">
        <f>IF($R475="","",IF($R475="T",$K$3,IF($R475="B",COUNTIFS($M$4:$M$2003,INDEX($M$4:$M$2003,$S475),$N$4:$N$2003,1),1)))</f>
        <v/>
      </c>
      <c r="L475">
        <f>IF($K$1="","",IFERROR(INDEX(Lines!$A:$AA,ROW()-2,$K$1),""))</f>
        <v/>
      </c>
      <c r="M475">
        <f>IF($K$2="","",IFERROR(INDEX(Lines!$A:$AA,ROW()-2,$K$2),""))</f>
        <v/>
      </c>
      <c r="N475">
        <f>IF(AND(L475&lt;&gt;"",LEFT(L475,1)="N",M475&lt;&gt;"PICKING",M475&lt;&gt;""),1,0)</f>
        <v/>
      </c>
      <c r="O475">
        <f>IF(N475=1,M475&amp;"|"&amp;L475,REPT("z",40))</f>
        <v/>
      </c>
      <c r="P475">
        <f>IF(N475=1,COUNTIF($O$4:$O$2003,"&lt;"&amp;O475)+1,"")</f>
        <v/>
      </c>
      <c r="Q475">
        <f>IF(OR($R474="",$R474="T"),"",IF($R474="B",$Q474,IF($Q474+1&gt;$K$3,"",$Q474+1)))</f>
        <v/>
      </c>
      <c r="R475">
        <f>IF(OR($R474="",$R474="T"),"",IF($R474="B","S",IF($Q474+1&gt;$K$3,"T",IF(INDEX($M$4:$M$2003,MATCH($Q474+1,$P$4:$P$2003,0))&lt;&gt;INDEX($M$4:$M$2003,MATCH($Q474,$P$4:$P$2003,0)),"B","S"))))</f>
        <v/>
      </c>
      <c r="S475">
        <f>IF(Q475="","",IFERROR(MATCH(Q475,$P$4:$P$2003,0),""))</f>
        <v/>
      </c>
    </row>
    <row r="476">
      <c r="A476" s="4">
        <f>IF($R476="","",IF($R476="T","Gesamtergebnis",IF($R476="B",INDEX($M$4:$M$2003,$S476),INDEX($L$4:$L$2003,$S476))))</f>
        <v/>
      </c>
      <c r="B476" s="4">
        <f>IF($R476="","",IF($R476="T",$K$3,IF($R476="B",COUNTIFS($M$4:$M$2003,INDEX($M$4:$M$2003,$S476),$N$4:$N$2003,1),1)))</f>
        <v/>
      </c>
      <c r="L476">
        <f>IF($K$1="","",IFERROR(INDEX(Lines!$A:$AA,ROW()-2,$K$1),""))</f>
        <v/>
      </c>
      <c r="M476">
        <f>IF($K$2="","",IFERROR(INDEX(Lines!$A:$AA,ROW()-2,$K$2),""))</f>
        <v/>
      </c>
      <c r="N476">
        <f>IF(AND(L476&lt;&gt;"",LEFT(L476,1)="N",M476&lt;&gt;"PICKING",M476&lt;&gt;""),1,0)</f>
        <v/>
      </c>
      <c r="O476">
        <f>IF(N476=1,M476&amp;"|"&amp;L476,REPT("z",40))</f>
        <v/>
      </c>
      <c r="P476">
        <f>IF(N476=1,COUNTIF($O$4:$O$2003,"&lt;"&amp;O476)+1,"")</f>
        <v/>
      </c>
      <c r="Q476">
        <f>IF(OR($R475="",$R475="T"),"",IF($R475="B",$Q475,IF($Q475+1&gt;$K$3,"",$Q475+1)))</f>
        <v/>
      </c>
      <c r="R476">
        <f>IF(OR($R475="",$R475="T"),"",IF($R475="B","S",IF($Q475+1&gt;$K$3,"T",IF(INDEX($M$4:$M$2003,MATCH($Q475+1,$P$4:$P$2003,0))&lt;&gt;INDEX($M$4:$M$2003,MATCH($Q475,$P$4:$P$2003,0)),"B","S"))))</f>
        <v/>
      </c>
      <c r="S476">
        <f>IF(Q476="","",IFERROR(MATCH(Q476,$P$4:$P$2003,0),""))</f>
        <v/>
      </c>
    </row>
    <row r="477">
      <c r="A477" s="4">
        <f>IF($R477="","",IF($R477="T","Gesamtergebnis",IF($R477="B",INDEX($M$4:$M$2003,$S477),INDEX($L$4:$L$2003,$S477))))</f>
        <v/>
      </c>
      <c r="B477" s="4">
        <f>IF($R477="","",IF($R477="T",$K$3,IF($R477="B",COUNTIFS($M$4:$M$2003,INDEX($M$4:$M$2003,$S477),$N$4:$N$2003,1),1)))</f>
        <v/>
      </c>
      <c r="L477">
        <f>IF($K$1="","",IFERROR(INDEX(Lines!$A:$AA,ROW()-2,$K$1),""))</f>
        <v/>
      </c>
      <c r="M477">
        <f>IF($K$2="","",IFERROR(INDEX(Lines!$A:$AA,ROW()-2,$K$2),""))</f>
        <v/>
      </c>
      <c r="N477">
        <f>IF(AND(L477&lt;&gt;"",LEFT(L477,1)="N",M477&lt;&gt;"PICKING",M477&lt;&gt;""),1,0)</f>
        <v/>
      </c>
      <c r="O477">
        <f>IF(N477=1,M477&amp;"|"&amp;L477,REPT("z",40))</f>
        <v/>
      </c>
      <c r="P477">
        <f>IF(N477=1,COUNTIF($O$4:$O$2003,"&lt;"&amp;O477)+1,"")</f>
        <v/>
      </c>
      <c r="Q477">
        <f>IF(OR($R476="",$R476="T"),"",IF($R476="B",$Q476,IF($Q476+1&gt;$K$3,"",$Q476+1)))</f>
        <v/>
      </c>
      <c r="R477">
        <f>IF(OR($R476="",$R476="T"),"",IF($R476="B","S",IF($Q476+1&gt;$K$3,"T",IF(INDEX($M$4:$M$2003,MATCH($Q476+1,$P$4:$P$2003,0))&lt;&gt;INDEX($M$4:$M$2003,MATCH($Q476,$P$4:$P$2003,0)),"B","S"))))</f>
        <v/>
      </c>
      <c r="S477">
        <f>IF(Q477="","",IFERROR(MATCH(Q477,$P$4:$P$2003,0),""))</f>
        <v/>
      </c>
    </row>
    <row r="478">
      <c r="A478" s="4">
        <f>IF($R478="","",IF($R478="T","Gesamtergebnis",IF($R478="B",INDEX($M$4:$M$2003,$S478),INDEX($L$4:$L$2003,$S478))))</f>
        <v/>
      </c>
      <c r="B478" s="4">
        <f>IF($R478="","",IF($R478="T",$K$3,IF($R478="B",COUNTIFS($M$4:$M$2003,INDEX($M$4:$M$2003,$S478),$N$4:$N$2003,1),1)))</f>
        <v/>
      </c>
      <c r="L478">
        <f>IF($K$1="","",IFERROR(INDEX(Lines!$A:$AA,ROW()-2,$K$1),""))</f>
        <v/>
      </c>
      <c r="M478">
        <f>IF($K$2="","",IFERROR(INDEX(Lines!$A:$AA,ROW()-2,$K$2),""))</f>
        <v/>
      </c>
      <c r="N478">
        <f>IF(AND(L478&lt;&gt;"",LEFT(L478,1)="N",M478&lt;&gt;"PICKING",M478&lt;&gt;""),1,0)</f>
        <v/>
      </c>
      <c r="O478">
        <f>IF(N478=1,M478&amp;"|"&amp;L478,REPT("z",40))</f>
        <v/>
      </c>
      <c r="P478">
        <f>IF(N478=1,COUNTIF($O$4:$O$2003,"&lt;"&amp;O478)+1,"")</f>
        <v/>
      </c>
      <c r="Q478">
        <f>IF(OR($R477="",$R477="T"),"",IF($R477="B",$Q477,IF($Q477+1&gt;$K$3,"",$Q477+1)))</f>
        <v/>
      </c>
      <c r="R478">
        <f>IF(OR($R477="",$R477="T"),"",IF($R477="B","S",IF($Q477+1&gt;$K$3,"T",IF(INDEX($M$4:$M$2003,MATCH($Q477+1,$P$4:$P$2003,0))&lt;&gt;INDEX($M$4:$M$2003,MATCH($Q477,$P$4:$P$2003,0)),"B","S"))))</f>
        <v/>
      </c>
      <c r="S478">
        <f>IF(Q478="","",IFERROR(MATCH(Q478,$P$4:$P$2003,0),""))</f>
        <v/>
      </c>
    </row>
    <row r="479">
      <c r="A479" s="4">
        <f>IF($R479="","",IF($R479="T","Gesamtergebnis",IF($R479="B",INDEX($M$4:$M$2003,$S479),INDEX($L$4:$L$2003,$S479))))</f>
        <v/>
      </c>
      <c r="B479" s="4">
        <f>IF($R479="","",IF($R479="T",$K$3,IF($R479="B",COUNTIFS($M$4:$M$2003,INDEX($M$4:$M$2003,$S479),$N$4:$N$2003,1),1)))</f>
        <v/>
      </c>
      <c r="L479">
        <f>IF($K$1="","",IFERROR(INDEX(Lines!$A:$AA,ROW()-2,$K$1),""))</f>
        <v/>
      </c>
      <c r="M479">
        <f>IF($K$2="","",IFERROR(INDEX(Lines!$A:$AA,ROW()-2,$K$2),""))</f>
        <v/>
      </c>
      <c r="N479">
        <f>IF(AND(L479&lt;&gt;"",LEFT(L479,1)="N",M479&lt;&gt;"PICKING",M479&lt;&gt;""),1,0)</f>
        <v/>
      </c>
      <c r="O479">
        <f>IF(N479=1,M479&amp;"|"&amp;L479,REPT("z",40))</f>
        <v/>
      </c>
      <c r="P479">
        <f>IF(N479=1,COUNTIF($O$4:$O$2003,"&lt;"&amp;O479)+1,"")</f>
        <v/>
      </c>
      <c r="Q479">
        <f>IF(OR($R478="",$R478="T"),"",IF($R478="B",$Q478,IF($Q478+1&gt;$K$3,"",$Q478+1)))</f>
        <v/>
      </c>
      <c r="R479">
        <f>IF(OR($R478="",$R478="T"),"",IF($R478="B","S",IF($Q478+1&gt;$K$3,"T",IF(INDEX($M$4:$M$2003,MATCH($Q478+1,$P$4:$P$2003,0))&lt;&gt;INDEX($M$4:$M$2003,MATCH($Q478,$P$4:$P$2003,0)),"B","S"))))</f>
        <v/>
      </c>
      <c r="S479">
        <f>IF(Q479="","",IFERROR(MATCH(Q479,$P$4:$P$2003,0),""))</f>
        <v/>
      </c>
    </row>
    <row r="480">
      <c r="A480" s="4">
        <f>IF($R480="","",IF($R480="T","Gesamtergebnis",IF($R480="B",INDEX($M$4:$M$2003,$S480),INDEX($L$4:$L$2003,$S480))))</f>
        <v/>
      </c>
      <c r="B480" s="4">
        <f>IF($R480="","",IF($R480="T",$K$3,IF($R480="B",COUNTIFS($M$4:$M$2003,INDEX($M$4:$M$2003,$S480),$N$4:$N$2003,1),1)))</f>
        <v/>
      </c>
      <c r="L480">
        <f>IF($K$1="","",IFERROR(INDEX(Lines!$A:$AA,ROW()-2,$K$1),""))</f>
        <v/>
      </c>
      <c r="M480">
        <f>IF($K$2="","",IFERROR(INDEX(Lines!$A:$AA,ROW()-2,$K$2),""))</f>
        <v/>
      </c>
      <c r="N480">
        <f>IF(AND(L480&lt;&gt;"",LEFT(L480,1)="N",M480&lt;&gt;"PICKING",M480&lt;&gt;""),1,0)</f>
        <v/>
      </c>
      <c r="O480">
        <f>IF(N480=1,M480&amp;"|"&amp;L480,REPT("z",40))</f>
        <v/>
      </c>
      <c r="P480">
        <f>IF(N480=1,COUNTIF($O$4:$O$2003,"&lt;"&amp;O480)+1,"")</f>
        <v/>
      </c>
      <c r="Q480">
        <f>IF(OR($R479="",$R479="T"),"",IF($R479="B",$Q479,IF($Q479+1&gt;$K$3,"",$Q479+1)))</f>
        <v/>
      </c>
      <c r="R480">
        <f>IF(OR($R479="",$R479="T"),"",IF($R479="B","S",IF($Q479+1&gt;$K$3,"T",IF(INDEX($M$4:$M$2003,MATCH($Q479+1,$P$4:$P$2003,0))&lt;&gt;INDEX($M$4:$M$2003,MATCH($Q479,$P$4:$P$2003,0)),"B","S"))))</f>
        <v/>
      </c>
      <c r="S480">
        <f>IF(Q480="","",IFERROR(MATCH(Q480,$P$4:$P$2003,0),""))</f>
        <v/>
      </c>
    </row>
    <row r="481">
      <c r="A481" s="4">
        <f>IF($R481="","",IF($R481="T","Gesamtergebnis",IF($R481="B",INDEX($M$4:$M$2003,$S481),INDEX($L$4:$L$2003,$S481))))</f>
        <v/>
      </c>
      <c r="B481" s="4">
        <f>IF($R481="","",IF($R481="T",$K$3,IF($R481="B",COUNTIFS($M$4:$M$2003,INDEX($M$4:$M$2003,$S481),$N$4:$N$2003,1),1)))</f>
        <v/>
      </c>
      <c r="L481">
        <f>IF($K$1="","",IFERROR(INDEX(Lines!$A:$AA,ROW()-2,$K$1),""))</f>
        <v/>
      </c>
      <c r="M481">
        <f>IF($K$2="","",IFERROR(INDEX(Lines!$A:$AA,ROW()-2,$K$2),""))</f>
        <v/>
      </c>
      <c r="N481">
        <f>IF(AND(L481&lt;&gt;"",LEFT(L481,1)="N",M481&lt;&gt;"PICKING",M481&lt;&gt;""),1,0)</f>
        <v/>
      </c>
      <c r="O481">
        <f>IF(N481=1,M481&amp;"|"&amp;L481,REPT("z",40))</f>
        <v/>
      </c>
      <c r="P481">
        <f>IF(N481=1,COUNTIF($O$4:$O$2003,"&lt;"&amp;O481)+1,"")</f>
        <v/>
      </c>
      <c r="Q481">
        <f>IF(OR($R480="",$R480="T"),"",IF($R480="B",$Q480,IF($Q480+1&gt;$K$3,"",$Q480+1)))</f>
        <v/>
      </c>
      <c r="R481">
        <f>IF(OR($R480="",$R480="T"),"",IF($R480="B","S",IF($Q480+1&gt;$K$3,"T",IF(INDEX($M$4:$M$2003,MATCH($Q480+1,$P$4:$P$2003,0))&lt;&gt;INDEX($M$4:$M$2003,MATCH($Q480,$P$4:$P$2003,0)),"B","S"))))</f>
        <v/>
      </c>
      <c r="S481">
        <f>IF(Q481="","",IFERROR(MATCH(Q481,$P$4:$P$2003,0),""))</f>
        <v/>
      </c>
    </row>
    <row r="482">
      <c r="A482" s="4">
        <f>IF($R482="","",IF($R482="T","Gesamtergebnis",IF($R482="B",INDEX($M$4:$M$2003,$S482),INDEX($L$4:$L$2003,$S482))))</f>
        <v/>
      </c>
      <c r="B482" s="4">
        <f>IF($R482="","",IF($R482="T",$K$3,IF($R482="B",COUNTIFS($M$4:$M$2003,INDEX($M$4:$M$2003,$S482),$N$4:$N$2003,1),1)))</f>
        <v/>
      </c>
      <c r="L482">
        <f>IF($K$1="","",IFERROR(INDEX(Lines!$A:$AA,ROW()-2,$K$1),""))</f>
        <v/>
      </c>
      <c r="M482">
        <f>IF($K$2="","",IFERROR(INDEX(Lines!$A:$AA,ROW()-2,$K$2),""))</f>
        <v/>
      </c>
      <c r="N482">
        <f>IF(AND(L482&lt;&gt;"",LEFT(L482,1)="N",M482&lt;&gt;"PICKING",M482&lt;&gt;""),1,0)</f>
        <v/>
      </c>
      <c r="O482">
        <f>IF(N482=1,M482&amp;"|"&amp;L482,REPT("z",40))</f>
        <v/>
      </c>
      <c r="P482">
        <f>IF(N482=1,COUNTIF($O$4:$O$2003,"&lt;"&amp;O482)+1,"")</f>
        <v/>
      </c>
      <c r="Q482">
        <f>IF(OR($R481="",$R481="T"),"",IF($R481="B",$Q481,IF($Q481+1&gt;$K$3,"",$Q481+1)))</f>
        <v/>
      </c>
      <c r="R482">
        <f>IF(OR($R481="",$R481="T"),"",IF($R481="B","S",IF($Q481+1&gt;$K$3,"T",IF(INDEX($M$4:$M$2003,MATCH($Q481+1,$P$4:$P$2003,0))&lt;&gt;INDEX($M$4:$M$2003,MATCH($Q481,$P$4:$P$2003,0)),"B","S"))))</f>
        <v/>
      </c>
      <c r="S482">
        <f>IF(Q482="","",IFERROR(MATCH(Q482,$P$4:$P$2003,0),""))</f>
        <v/>
      </c>
    </row>
    <row r="483">
      <c r="A483" s="4">
        <f>IF($R483="","",IF($R483="T","Gesamtergebnis",IF($R483="B",INDEX($M$4:$M$2003,$S483),INDEX($L$4:$L$2003,$S483))))</f>
        <v/>
      </c>
      <c r="B483" s="4">
        <f>IF($R483="","",IF($R483="T",$K$3,IF($R483="B",COUNTIFS($M$4:$M$2003,INDEX($M$4:$M$2003,$S483),$N$4:$N$2003,1),1)))</f>
        <v/>
      </c>
      <c r="L483">
        <f>IF($K$1="","",IFERROR(INDEX(Lines!$A:$AA,ROW()-2,$K$1),""))</f>
        <v/>
      </c>
      <c r="M483">
        <f>IF($K$2="","",IFERROR(INDEX(Lines!$A:$AA,ROW()-2,$K$2),""))</f>
        <v/>
      </c>
      <c r="N483">
        <f>IF(AND(L483&lt;&gt;"",LEFT(L483,1)="N",M483&lt;&gt;"PICKING",M483&lt;&gt;""),1,0)</f>
        <v/>
      </c>
      <c r="O483">
        <f>IF(N483=1,M483&amp;"|"&amp;L483,REPT("z",40))</f>
        <v/>
      </c>
      <c r="P483">
        <f>IF(N483=1,COUNTIF($O$4:$O$2003,"&lt;"&amp;O483)+1,"")</f>
        <v/>
      </c>
      <c r="Q483">
        <f>IF(OR($R482="",$R482="T"),"",IF($R482="B",$Q482,IF($Q482+1&gt;$K$3,"",$Q482+1)))</f>
        <v/>
      </c>
      <c r="R483">
        <f>IF(OR($R482="",$R482="T"),"",IF($R482="B","S",IF($Q482+1&gt;$K$3,"T",IF(INDEX($M$4:$M$2003,MATCH($Q482+1,$P$4:$P$2003,0))&lt;&gt;INDEX($M$4:$M$2003,MATCH($Q482,$P$4:$P$2003,0)),"B","S"))))</f>
        <v/>
      </c>
      <c r="S483">
        <f>IF(Q483="","",IFERROR(MATCH(Q483,$P$4:$P$2003,0),""))</f>
        <v/>
      </c>
    </row>
    <row r="484">
      <c r="A484" s="4">
        <f>IF($R484="","",IF($R484="T","Gesamtergebnis",IF($R484="B",INDEX($M$4:$M$2003,$S484),INDEX($L$4:$L$2003,$S484))))</f>
        <v/>
      </c>
      <c r="B484" s="4">
        <f>IF($R484="","",IF($R484="T",$K$3,IF($R484="B",COUNTIFS($M$4:$M$2003,INDEX($M$4:$M$2003,$S484),$N$4:$N$2003,1),1)))</f>
        <v/>
      </c>
      <c r="L484">
        <f>IF($K$1="","",IFERROR(INDEX(Lines!$A:$AA,ROW()-2,$K$1),""))</f>
        <v/>
      </c>
      <c r="M484">
        <f>IF($K$2="","",IFERROR(INDEX(Lines!$A:$AA,ROW()-2,$K$2),""))</f>
        <v/>
      </c>
      <c r="N484">
        <f>IF(AND(L484&lt;&gt;"",LEFT(L484,1)="N",M484&lt;&gt;"PICKING",M484&lt;&gt;""),1,0)</f>
        <v/>
      </c>
      <c r="O484">
        <f>IF(N484=1,M484&amp;"|"&amp;L484,REPT("z",40))</f>
        <v/>
      </c>
      <c r="P484">
        <f>IF(N484=1,COUNTIF($O$4:$O$2003,"&lt;"&amp;O484)+1,"")</f>
        <v/>
      </c>
      <c r="Q484">
        <f>IF(OR($R483="",$R483="T"),"",IF($R483="B",$Q483,IF($Q483+1&gt;$K$3,"",$Q483+1)))</f>
        <v/>
      </c>
      <c r="R484">
        <f>IF(OR($R483="",$R483="T"),"",IF($R483="B","S",IF($Q483+1&gt;$K$3,"T",IF(INDEX($M$4:$M$2003,MATCH($Q483+1,$P$4:$P$2003,0))&lt;&gt;INDEX($M$4:$M$2003,MATCH($Q483,$P$4:$P$2003,0)),"B","S"))))</f>
        <v/>
      </c>
      <c r="S484">
        <f>IF(Q484="","",IFERROR(MATCH(Q484,$P$4:$P$2003,0),""))</f>
        <v/>
      </c>
    </row>
    <row r="485">
      <c r="A485" s="4">
        <f>IF($R485="","",IF($R485="T","Gesamtergebnis",IF($R485="B",INDEX($M$4:$M$2003,$S485),INDEX($L$4:$L$2003,$S485))))</f>
        <v/>
      </c>
      <c r="B485" s="4">
        <f>IF($R485="","",IF($R485="T",$K$3,IF($R485="B",COUNTIFS($M$4:$M$2003,INDEX($M$4:$M$2003,$S485),$N$4:$N$2003,1),1)))</f>
        <v/>
      </c>
      <c r="L485">
        <f>IF($K$1="","",IFERROR(INDEX(Lines!$A:$AA,ROW()-2,$K$1),""))</f>
        <v/>
      </c>
      <c r="M485">
        <f>IF($K$2="","",IFERROR(INDEX(Lines!$A:$AA,ROW()-2,$K$2),""))</f>
        <v/>
      </c>
      <c r="N485">
        <f>IF(AND(L485&lt;&gt;"",LEFT(L485,1)="N",M485&lt;&gt;"PICKING",M485&lt;&gt;""),1,0)</f>
        <v/>
      </c>
      <c r="O485">
        <f>IF(N485=1,M485&amp;"|"&amp;L485,REPT("z",40))</f>
        <v/>
      </c>
      <c r="P485">
        <f>IF(N485=1,COUNTIF($O$4:$O$2003,"&lt;"&amp;O485)+1,"")</f>
        <v/>
      </c>
      <c r="Q485">
        <f>IF(OR($R484="",$R484="T"),"",IF($R484="B",$Q484,IF($Q484+1&gt;$K$3,"",$Q484+1)))</f>
        <v/>
      </c>
      <c r="R485">
        <f>IF(OR($R484="",$R484="T"),"",IF($R484="B","S",IF($Q484+1&gt;$K$3,"T",IF(INDEX($M$4:$M$2003,MATCH($Q484+1,$P$4:$P$2003,0))&lt;&gt;INDEX($M$4:$M$2003,MATCH($Q484,$P$4:$P$2003,0)),"B","S"))))</f>
        <v/>
      </c>
      <c r="S485">
        <f>IF(Q485="","",IFERROR(MATCH(Q485,$P$4:$P$2003,0),""))</f>
        <v/>
      </c>
    </row>
    <row r="486">
      <c r="A486" s="4">
        <f>IF($R486="","",IF($R486="T","Gesamtergebnis",IF($R486="B",INDEX($M$4:$M$2003,$S486),INDEX($L$4:$L$2003,$S486))))</f>
        <v/>
      </c>
      <c r="B486" s="4">
        <f>IF($R486="","",IF($R486="T",$K$3,IF($R486="B",COUNTIFS($M$4:$M$2003,INDEX($M$4:$M$2003,$S486),$N$4:$N$2003,1),1)))</f>
        <v/>
      </c>
      <c r="L486">
        <f>IF($K$1="","",IFERROR(INDEX(Lines!$A:$AA,ROW()-2,$K$1),""))</f>
        <v/>
      </c>
      <c r="M486">
        <f>IF($K$2="","",IFERROR(INDEX(Lines!$A:$AA,ROW()-2,$K$2),""))</f>
        <v/>
      </c>
      <c r="N486">
        <f>IF(AND(L486&lt;&gt;"",LEFT(L486,1)="N",M486&lt;&gt;"PICKING",M486&lt;&gt;""),1,0)</f>
        <v/>
      </c>
      <c r="O486">
        <f>IF(N486=1,M486&amp;"|"&amp;L486,REPT("z",40))</f>
        <v/>
      </c>
      <c r="P486">
        <f>IF(N486=1,COUNTIF($O$4:$O$2003,"&lt;"&amp;O486)+1,"")</f>
        <v/>
      </c>
      <c r="Q486">
        <f>IF(OR($R485="",$R485="T"),"",IF($R485="B",$Q485,IF($Q485+1&gt;$K$3,"",$Q485+1)))</f>
        <v/>
      </c>
      <c r="R486">
        <f>IF(OR($R485="",$R485="T"),"",IF($R485="B","S",IF($Q485+1&gt;$K$3,"T",IF(INDEX($M$4:$M$2003,MATCH($Q485+1,$P$4:$P$2003,0))&lt;&gt;INDEX($M$4:$M$2003,MATCH($Q485,$P$4:$P$2003,0)),"B","S"))))</f>
        <v/>
      </c>
      <c r="S486">
        <f>IF(Q486="","",IFERROR(MATCH(Q486,$P$4:$P$2003,0),""))</f>
        <v/>
      </c>
    </row>
    <row r="487">
      <c r="A487" s="4">
        <f>IF($R487="","",IF($R487="T","Gesamtergebnis",IF($R487="B",INDEX($M$4:$M$2003,$S487),INDEX($L$4:$L$2003,$S487))))</f>
        <v/>
      </c>
      <c r="B487" s="4">
        <f>IF($R487="","",IF($R487="T",$K$3,IF($R487="B",COUNTIFS($M$4:$M$2003,INDEX($M$4:$M$2003,$S487),$N$4:$N$2003,1),1)))</f>
        <v/>
      </c>
      <c r="L487">
        <f>IF($K$1="","",IFERROR(INDEX(Lines!$A:$AA,ROW()-2,$K$1),""))</f>
        <v/>
      </c>
      <c r="M487">
        <f>IF($K$2="","",IFERROR(INDEX(Lines!$A:$AA,ROW()-2,$K$2),""))</f>
        <v/>
      </c>
      <c r="N487">
        <f>IF(AND(L487&lt;&gt;"",LEFT(L487,1)="N",M487&lt;&gt;"PICKING",M487&lt;&gt;""),1,0)</f>
        <v/>
      </c>
      <c r="O487">
        <f>IF(N487=1,M487&amp;"|"&amp;L487,REPT("z",40))</f>
        <v/>
      </c>
      <c r="P487">
        <f>IF(N487=1,COUNTIF($O$4:$O$2003,"&lt;"&amp;O487)+1,"")</f>
        <v/>
      </c>
      <c r="Q487">
        <f>IF(OR($R486="",$R486="T"),"",IF($R486="B",$Q486,IF($Q486+1&gt;$K$3,"",$Q486+1)))</f>
        <v/>
      </c>
      <c r="R487">
        <f>IF(OR($R486="",$R486="T"),"",IF($R486="B","S",IF($Q486+1&gt;$K$3,"T",IF(INDEX($M$4:$M$2003,MATCH($Q486+1,$P$4:$P$2003,0))&lt;&gt;INDEX($M$4:$M$2003,MATCH($Q486,$P$4:$P$2003,0)),"B","S"))))</f>
        <v/>
      </c>
      <c r="S487">
        <f>IF(Q487="","",IFERROR(MATCH(Q487,$P$4:$P$2003,0),""))</f>
        <v/>
      </c>
    </row>
    <row r="488">
      <c r="A488" s="4">
        <f>IF($R488="","",IF($R488="T","Gesamtergebnis",IF($R488="B",INDEX($M$4:$M$2003,$S488),INDEX($L$4:$L$2003,$S488))))</f>
        <v/>
      </c>
      <c r="B488" s="4">
        <f>IF($R488="","",IF($R488="T",$K$3,IF($R488="B",COUNTIFS($M$4:$M$2003,INDEX($M$4:$M$2003,$S488),$N$4:$N$2003,1),1)))</f>
        <v/>
      </c>
      <c r="L488">
        <f>IF($K$1="","",IFERROR(INDEX(Lines!$A:$AA,ROW()-2,$K$1),""))</f>
        <v/>
      </c>
      <c r="M488">
        <f>IF($K$2="","",IFERROR(INDEX(Lines!$A:$AA,ROW()-2,$K$2),""))</f>
        <v/>
      </c>
      <c r="N488">
        <f>IF(AND(L488&lt;&gt;"",LEFT(L488,1)="N",M488&lt;&gt;"PICKING",M488&lt;&gt;""),1,0)</f>
        <v/>
      </c>
      <c r="O488">
        <f>IF(N488=1,M488&amp;"|"&amp;L488,REPT("z",40))</f>
        <v/>
      </c>
      <c r="P488">
        <f>IF(N488=1,COUNTIF($O$4:$O$2003,"&lt;"&amp;O488)+1,"")</f>
        <v/>
      </c>
      <c r="Q488">
        <f>IF(OR($R487="",$R487="T"),"",IF($R487="B",$Q487,IF($Q487+1&gt;$K$3,"",$Q487+1)))</f>
        <v/>
      </c>
      <c r="R488">
        <f>IF(OR($R487="",$R487="T"),"",IF($R487="B","S",IF($Q487+1&gt;$K$3,"T",IF(INDEX($M$4:$M$2003,MATCH($Q487+1,$P$4:$P$2003,0))&lt;&gt;INDEX($M$4:$M$2003,MATCH($Q487,$P$4:$P$2003,0)),"B","S"))))</f>
        <v/>
      </c>
      <c r="S488">
        <f>IF(Q488="","",IFERROR(MATCH(Q488,$P$4:$P$2003,0),""))</f>
        <v/>
      </c>
    </row>
    <row r="489">
      <c r="A489" s="4">
        <f>IF($R489="","",IF($R489="T","Gesamtergebnis",IF($R489="B",INDEX($M$4:$M$2003,$S489),INDEX($L$4:$L$2003,$S489))))</f>
        <v/>
      </c>
      <c r="B489" s="4">
        <f>IF($R489="","",IF($R489="T",$K$3,IF($R489="B",COUNTIFS($M$4:$M$2003,INDEX($M$4:$M$2003,$S489),$N$4:$N$2003,1),1)))</f>
        <v/>
      </c>
      <c r="L489">
        <f>IF($K$1="","",IFERROR(INDEX(Lines!$A:$AA,ROW()-2,$K$1),""))</f>
        <v/>
      </c>
      <c r="M489">
        <f>IF($K$2="","",IFERROR(INDEX(Lines!$A:$AA,ROW()-2,$K$2),""))</f>
        <v/>
      </c>
      <c r="N489">
        <f>IF(AND(L489&lt;&gt;"",LEFT(L489,1)="N",M489&lt;&gt;"PICKING",M489&lt;&gt;""),1,0)</f>
        <v/>
      </c>
      <c r="O489">
        <f>IF(N489=1,M489&amp;"|"&amp;L489,REPT("z",40))</f>
        <v/>
      </c>
      <c r="P489">
        <f>IF(N489=1,COUNTIF($O$4:$O$2003,"&lt;"&amp;O489)+1,"")</f>
        <v/>
      </c>
      <c r="Q489">
        <f>IF(OR($R488="",$R488="T"),"",IF($R488="B",$Q488,IF($Q488+1&gt;$K$3,"",$Q488+1)))</f>
        <v/>
      </c>
      <c r="R489">
        <f>IF(OR($R488="",$R488="T"),"",IF($R488="B","S",IF($Q488+1&gt;$K$3,"T",IF(INDEX($M$4:$M$2003,MATCH($Q488+1,$P$4:$P$2003,0))&lt;&gt;INDEX($M$4:$M$2003,MATCH($Q488,$P$4:$P$2003,0)),"B","S"))))</f>
        <v/>
      </c>
      <c r="S489">
        <f>IF(Q489="","",IFERROR(MATCH(Q489,$P$4:$P$2003,0),""))</f>
        <v/>
      </c>
    </row>
    <row r="490">
      <c r="A490" s="4">
        <f>IF($R490="","",IF($R490="T","Gesamtergebnis",IF($R490="B",INDEX($M$4:$M$2003,$S490),INDEX($L$4:$L$2003,$S490))))</f>
        <v/>
      </c>
      <c r="B490" s="4">
        <f>IF($R490="","",IF($R490="T",$K$3,IF($R490="B",COUNTIFS($M$4:$M$2003,INDEX($M$4:$M$2003,$S490),$N$4:$N$2003,1),1)))</f>
        <v/>
      </c>
      <c r="L490">
        <f>IF($K$1="","",IFERROR(INDEX(Lines!$A:$AA,ROW()-2,$K$1),""))</f>
        <v/>
      </c>
      <c r="M490">
        <f>IF($K$2="","",IFERROR(INDEX(Lines!$A:$AA,ROW()-2,$K$2),""))</f>
        <v/>
      </c>
      <c r="N490">
        <f>IF(AND(L490&lt;&gt;"",LEFT(L490,1)="N",M490&lt;&gt;"PICKING",M490&lt;&gt;""),1,0)</f>
        <v/>
      </c>
      <c r="O490">
        <f>IF(N490=1,M490&amp;"|"&amp;L490,REPT("z",40))</f>
        <v/>
      </c>
      <c r="P490">
        <f>IF(N490=1,COUNTIF($O$4:$O$2003,"&lt;"&amp;O490)+1,"")</f>
        <v/>
      </c>
      <c r="Q490">
        <f>IF(OR($R489="",$R489="T"),"",IF($R489="B",$Q489,IF($Q489+1&gt;$K$3,"",$Q489+1)))</f>
        <v/>
      </c>
      <c r="R490">
        <f>IF(OR($R489="",$R489="T"),"",IF($R489="B","S",IF($Q489+1&gt;$K$3,"T",IF(INDEX($M$4:$M$2003,MATCH($Q489+1,$P$4:$P$2003,0))&lt;&gt;INDEX($M$4:$M$2003,MATCH($Q489,$P$4:$P$2003,0)),"B","S"))))</f>
        <v/>
      </c>
      <c r="S490">
        <f>IF(Q490="","",IFERROR(MATCH(Q490,$P$4:$P$2003,0),""))</f>
        <v/>
      </c>
    </row>
    <row r="491">
      <c r="A491" s="4">
        <f>IF($R491="","",IF($R491="T","Gesamtergebnis",IF($R491="B",INDEX($M$4:$M$2003,$S491),INDEX($L$4:$L$2003,$S491))))</f>
        <v/>
      </c>
      <c r="B491" s="4">
        <f>IF($R491="","",IF($R491="T",$K$3,IF($R491="B",COUNTIFS($M$4:$M$2003,INDEX($M$4:$M$2003,$S491),$N$4:$N$2003,1),1)))</f>
        <v/>
      </c>
      <c r="L491">
        <f>IF($K$1="","",IFERROR(INDEX(Lines!$A:$AA,ROW()-2,$K$1),""))</f>
        <v/>
      </c>
      <c r="M491">
        <f>IF($K$2="","",IFERROR(INDEX(Lines!$A:$AA,ROW()-2,$K$2),""))</f>
        <v/>
      </c>
      <c r="N491">
        <f>IF(AND(L491&lt;&gt;"",LEFT(L491,1)="N",M491&lt;&gt;"PICKING",M491&lt;&gt;""),1,0)</f>
        <v/>
      </c>
      <c r="O491">
        <f>IF(N491=1,M491&amp;"|"&amp;L491,REPT("z",40))</f>
        <v/>
      </c>
      <c r="P491">
        <f>IF(N491=1,COUNTIF($O$4:$O$2003,"&lt;"&amp;O491)+1,"")</f>
        <v/>
      </c>
      <c r="Q491">
        <f>IF(OR($R490="",$R490="T"),"",IF($R490="B",$Q490,IF($Q490+1&gt;$K$3,"",$Q490+1)))</f>
        <v/>
      </c>
      <c r="R491">
        <f>IF(OR($R490="",$R490="T"),"",IF($R490="B","S",IF($Q490+1&gt;$K$3,"T",IF(INDEX($M$4:$M$2003,MATCH($Q490+1,$P$4:$P$2003,0))&lt;&gt;INDEX($M$4:$M$2003,MATCH($Q490,$P$4:$P$2003,0)),"B","S"))))</f>
        <v/>
      </c>
      <c r="S491">
        <f>IF(Q491="","",IFERROR(MATCH(Q491,$P$4:$P$2003,0),""))</f>
        <v/>
      </c>
    </row>
    <row r="492">
      <c r="A492" s="4">
        <f>IF($R492="","",IF($R492="T","Gesamtergebnis",IF($R492="B",INDEX($M$4:$M$2003,$S492),INDEX($L$4:$L$2003,$S492))))</f>
        <v/>
      </c>
      <c r="B492" s="4">
        <f>IF($R492="","",IF($R492="T",$K$3,IF($R492="B",COUNTIFS($M$4:$M$2003,INDEX($M$4:$M$2003,$S492),$N$4:$N$2003,1),1)))</f>
        <v/>
      </c>
      <c r="L492">
        <f>IF($K$1="","",IFERROR(INDEX(Lines!$A:$AA,ROW()-2,$K$1),""))</f>
        <v/>
      </c>
      <c r="M492">
        <f>IF($K$2="","",IFERROR(INDEX(Lines!$A:$AA,ROW()-2,$K$2),""))</f>
        <v/>
      </c>
      <c r="N492">
        <f>IF(AND(L492&lt;&gt;"",LEFT(L492,1)="N",M492&lt;&gt;"PICKING",M492&lt;&gt;""),1,0)</f>
        <v/>
      </c>
      <c r="O492">
        <f>IF(N492=1,M492&amp;"|"&amp;L492,REPT("z",40))</f>
        <v/>
      </c>
      <c r="P492">
        <f>IF(N492=1,COUNTIF($O$4:$O$2003,"&lt;"&amp;O492)+1,"")</f>
        <v/>
      </c>
      <c r="Q492">
        <f>IF(OR($R491="",$R491="T"),"",IF($R491="B",$Q491,IF($Q491+1&gt;$K$3,"",$Q491+1)))</f>
        <v/>
      </c>
      <c r="R492">
        <f>IF(OR($R491="",$R491="T"),"",IF($R491="B","S",IF($Q491+1&gt;$K$3,"T",IF(INDEX($M$4:$M$2003,MATCH($Q491+1,$P$4:$P$2003,0))&lt;&gt;INDEX($M$4:$M$2003,MATCH($Q491,$P$4:$P$2003,0)),"B","S"))))</f>
        <v/>
      </c>
      <c r="S492">
        <f>IF(Q492="","",IFERROR(MATCH(Q492,$P$4:$P$2003,0),""))</f>
        <v/>
      </c>
    </row>
    <row r="493">
      <c r="A493" s="4">
        <f>IF($R493="","",IF($R493="T","Gesamtergebnis",IF($R493="B",INDEX($M$4:$M$2003,$S493),INDEX($L$4:$L$2003,$S493))))</f>
        <v/>
      </c>
      <c r="B493" s="4">
        <f>IF($R493="","",IF($R493="T",$K$3,IF($R493="B",COUNTIFS($M$4:$M$2003,INDEX($M$4:$M$2003,$S493),$N$4:$N$2003,1),1)))</f>
        <v/>
      </c>
      <c r="L493">
        <f>IF($K$1="","",IFERROR(INDEX(Lines!$A:$AA,ROW()-2,$K$1),""))</f>
        <v/>
      </c>
      <c r="M493">
        <f>IF($K$2="","",IFERROR(INDEX(Lines!$A:$AA,ROW()-2,$K$2),""))</f>
        <v/>
      </c>
      <c r="N493">
        <f>IF(AND(L493&lt;&gt;"",LEFT(L493,1)="N",M493&lt;&gt;"PICKING",M493&lt;&gt;""),1,0)</f>
        <v/>
      </c>
      <c r="O493">
        <f>IF(N493=1,M493&amp;"|"&amp;L493,REPT("z",40))</f>
        <v/>
      </c>
      <c r="P493">
        <f>IF(N493=1,COUNTIF($O$4:$O$2003,"&lt;"&amp;O493)+1,"")</f>
        <v/>
      </c>
      <c r="Q493">
        <f>IF(OR($R492="",$R492="T"),"",IF($R492="B",$Q492,IF($Q492+1&gt;$K$3,"",$Q492+1)))</f>
        <v/>
      </c>
      <c r="R493">
        <f>IF(OR($R492="",$R492="T"),"",IF($R492="B","S",IF($Q492+1&gt;$K$3,"T",IF(INDEX($M$4:$M$2003,MATCH($Q492+1,$P$4:$P$2003,0))&lt;&gt;INDEX($M$4:$M$2003,MATCH($Q492,$P$4:$P$2003,0)),"B","S"))))</f>
        <v/>
      </c>
      <c r="S493">
        <f>IF(Q493="","",IFERROR(MATCH(Q493,$P$4:$P$2003,0),""))</f>
        <v/>
      </c>
    </row>
    <row r="494">
      <c r="A494" s="4">
        <f>IF($R494="","",IF($R494="T","Gesamtergebnis",IF($R494="B",INDEX($M$4:$M$2003,$S494),INDEX($L$4:$L$2003,$S494))))</f>
        <v/>
      </c>
      <c r="B494" s="4">
        <f>IF($R494="","",IF($R494="T",$K$3,IF($R494="B",COUNTIFS($M$4:$M$2003,INDEX($M$4:$M$2003,$S494),$N$4:$N$2003,1),1)))</f>
        <v/>
      </c>
      <c r="L494">
        <f>IF($K$1="","",IFERROR(INDEX(Lines!$A:$AA,ROW()-2,$K$1),""))</f>
        <v/>
      </c>
      <c r="M494">
        <f>IF($K$2="","",IFERROR(INDEX(Lines!$A:$AA,ROW()-2,$K$2),""))</f>
        <v/>
      </c>
      <c r="N494">
        <f>IF(AND(L494&lt;&gt;"",LEFT(L494,1)="N",M494&lt;&gt;"PICKING",M494&lt;&gt;""),1,0)</f>
        <v/>
      </c>
      <c r="O494">
        <f>IF(N494=1,M494&amp;"|"&amp;L494,REPT("z",40))</f>
        <v/>
      </c>
      <c r="P494">
        <f>IF(N494=1,COUNTIF($O$4:$O$2003,"&lt;"&amp;O494)+1,"")</f>
        <v/>
      </c>
      <c r="Q494">
        <f>IF(OR($R493="",$R493="T"),"",IF($R493="B",$Q493,IF($Q493+1&gt;$K$3,"",$Q493+1)))</f>
        <v/>
      </c>
      <c r="R494">
        <f>IF(OR($R493="",$R493="T"),"",IF($R493="B","S",IF($Q493+1&gt;$K$3,"T",IF(INDEX($M$4:$M$2003,MATCH($Q493+1,$P$4:$P$2003,0))&lt;&gt;INDEX($M$4:$M$2003,MATCH($Q493,$P$4:$P$2003,0)),"B","S"))))</f>
        <v/>
      </c>
      <c r="S494">
        <f>IF(Q494="","",IFERROR(MATCH(Q494,$P$4:$P$2003,0),""))</f>
        <v/>
      </c>
    </row>
    <row r="495">
      <c r="A495" s="4">
        <f>IF($R495="","",IF($R495="T","Gesamtergebnis",IF($R495="B",INDEX($M$4:$M$2003,$S495),INDEX($L$4:$L$2003,$S495))))</f>
        <v/>
      </c>
      <c r="B495" s="4">
        <f>IF($R495="","",IF($R495="T",$K$3,IF($R495="B",COUNTIFS($M$4:$M$2003,INDEX($M$4:$M$2003,$S495),$N$4:$N$2003,1),1)))</f>
        <v/>
      </c>
      <c r="L495">
        <f>IF($K$1="","",IFERROR(INDEX(Lines!$A:$AA,ROW()-2,$K$1),""))</f>
        <v/>
      </c>
      <c r="M495">
        <f>IF($K$2="","",IFERROR(INDEX(Lines!$A:$AA,ROW()-2,$K$2),""))</f>
        <v/>
      </c>
      <c r="N495">
        <f>IF(AND(L495&lt;&gt;"",LEFT(L495,1)="N",M495&lt;&gt;"PICKING",M495&lt;&gt;""),1,0)</f>
        <v/>
      </c>
      <c r="O495">
        <f>IF(N495=1,M495&amp;"|"&amp;L495,REPT("z",40))</f>
        <v/>
      </c>
      <c r="P495">
        <f>IF(N495=1,COUNTIF($O$4:$O$2003,"&lt;"&amp;O495)+1,"")</f>
        <v/>
      </c>
      <c r="Q495">
        <f>IF(OR($R494="",$R494="T"),"",IF($R494="B",$Q494,IF($Q494+1&gt;$K$3,"",$Q494+1)))</f>
        <v/>
      </c>
      <c r="R495">
        <f>IF(OR($R494="",$R494="T"),"",IF($R494="B","S",IF($Q494+1&gt;$K$3,"T",IF(INDEX($M$4:$M$2003,MATCH($Q494+1,$P$4:$P$2003,0))&lt;&gt;INDEX($M$4:$M$2003,MATCH($Q494,$P$4:$P$2003,0)),"B","S"))))</f>
        <v/>
      </c>
      <c r="S495">
        <f>IF(Q495="","",IFERROR(MATCH(Q495,$P$4:$P$2003,0),""))</f>
        <v/>
      </c>
    </row>
    <row r="496">
      <c r="A496" s="4">
        <f>IF($R496="","",IF($R496="T","Gesamtergebnis",IF($R496="B",INDEX($M$4:$M$2003,$S496),INDEX($L$4:$L$2003,$S496))))</f>
        <v/>
      </c>
      <c r="B496" s="4">
        <f>IF($R496="","",IF($R496="T",$K$3,IF($R496="B",COUNTIFS($M$4:$M$2003,INDEX($M$4:$M$2003,$S496),$N$4:$N$2003,1),1)))</f>
        <v/>
      </c>
      <c r="L496">
        <f>IF($K$1="","",IFERROR(INDEX(Lines!$A:$AA,ROW()-2,$K$1),""))</f>
        <v/>
      </c>
      <c r="M496">
        <f>IF($K$2="","",IFERROR(INDEX(Lines!$A:$AA,ROW()-2,$K$2),""))</f>
        <v/>
      </c>
      <c r="N496">
        <f>IF(AND(L496&lt;&gt;"",LEFT(L496,1)="N",M496&lt;&gt;"PICKING",M496&lt;&gt;""),1,0)</f>
        <v/>
      </c>
      <c r="O496">
        <f>IF(N496=1,M496&amp;"|"&amp;L496,REPT("z",40))</f>
        <v/>
      </c>
      <c r="P496">
        <f>IF(N496=1,COUNTIF($O$4:$O$2003,"&lt;"&amp;O496)+1,"")</f>
        <v/>
      </c>
      <c r="Q496">
        <f>IF(OR($R495="",$R495="T"),"",IF($R495="B",$Q495,IF($Q495+1&gt;$K$3,"",$Q495+1)))</f>
        <v/>
      </c>
      <c r="R496">
        <f>IF(OR($R495="",$R495="T"),"",IF($R495="B","S",IF($Q495+1&gt;$K$3,"T",IF(INDEX($M$4:$M$2003,MATCH($Q495+1,$P$4:$P$2003,0))&lt;&gt;INDEX($M$4:$M$2003,MATCH($Q495,$P$4:$P$2003,0)),"B","S"))))</f>
        <v/>
      </c>
      <c r="S496">
        <f>IF(Q496="","",IFERROR(MATCH(Q496,$P$4:$P$2003,0),""))</f>
        <v/>
      </c>
    </row>
    <row r="497">
      <c r="A497" s="4">
        <f>IF($R497="","",IF($R497="T","Gesamtergebnis",IF($R497="B",INDEX($M$4:$M$2003,$S497),INDEX($L$4:$L$2003,$S497))))</f>
        <v/>
      </c>
      <c r="B497" s="4">
        <f>IF($R497="","",IF($R497="T",$K$3,IF($R497="B",COUNTIFS($M$4:$M$2003,INDEX($M$4:$M$2003,$S497),$N$4:$N$2003,1),1)))</f>
        <v/>
      </c>
      <c r="L497">
        <f>IF($K$1="","",IFERROR(INDEX(Lines!$A:$AA,ROW()-2,$K$1),""))</f>
        <v/>
      </c>
      <c r="M497">
        <f>IF($K$2="","",IFERROR(INDEX(Lines!$A:$AA,ROW()-2,$K$2),""))</f>
        <v/>
      </c>
      <c r="N497">
        <f>IF(AND(L497&lt;&gt;"",LEFT(L497,1)="N",M497&lt;&gt;"PICKING",M497&lt;&gt;""),1,0)</f>
        <v/>
      </c>
      <c r="O497">
        <f>IF(N497=1,M497&amp;"|"&amp;L497,REPT("z",40))</f>
        <v/>
      </c>
      <c r="P497">
        <f>IF(N497=1,COUNTIF($O$4:$O$2003,"&lt;"&amp;O497)+1,"")</f>
        <v/>
      </c>
      <c r="Q497">
        <f>IF(OR($R496="",$R496="T"),"",IF($R496="B",$Q496,IF($Q496+1&gt;$K$3,"",$Q496+1)))</f>
        <v/>
      </c>
      <c r="R497">
        <f>IF(OR($R496="",$R496="T"),"",IF($R496="B","S",IF($Q496+1&gt;$K$3,"T",IF(INDEX($M$4:$M$2003,MATCH($Q496+1,$P$4:$P$2003,0))&lt;&gt;INDEX($M$4:$M$2003,MATCH($Q496,$P$4:$P$2003,0)),"B","S"))))</f>
        <v/>
      </c>
      <c r="S497">
        <f>IF(Q497="","",IFERROR(MATCH(Q497,$P$4:$P$2003,0),""))</f>
        <v/>
      </c>
    </row>
    <row r="498">
      <c r="A498" s="4">
        <f>IF($R498="","",IF($R498="T","Gesamtergebnis",IF($R498="B",INDEX($M$4:$M$2003,$S498),INDEX($L$4:$L$2003,$S498))))</f>
        <v/>
      </c>
      <c r="B498" s="4">
        <f>IF($R498="","",IF($R498="T",$K$3,IF($R498="B",COUNTIFS($M$4:$M$2003,INDEX($M$4:$M$2003,$S498),$N$4:$N$2003,1),1)))</f>
        <v/>
      </c>
      <c r="L498">
        <f>IF($K$1="","",IFERROR(INDEX(Lines!$A:$AA,ROW()-2,$K$1),""))</f>
        <v/>
      </c>
      <c r="M498">
        <f>IF($K$2="","",IFERROR(INDEX(Lines!$A:$AA,ROW()-2,$K$2),""))</f>
        <v/>
      </c>
      <c r="N498">
        <f>IF(AND(L498&lt;&gt;"",LEFT(L498,1)="N",M498&lt;&gt;"PICKING",M498&lt;&gt;""),1,0)</f>
        <v/>
      </c>
      <c r="O498">
        <f>IF(N498=1,M498&amp;"|"&amp;L498,REPT("z",40))</f>
        <v/>
      </c>
      <c r="P498">
        <f>IF(N498=1,COUNTIF($O$4:$O$2003,"&lt;"&amp;O498)+1,"")</f>
        <v/>
      </c>
      <c r="Q498">
        <f>IF(OR($R497="",$R497="T"),"",IF($R497="B",$Q497,IF($Q497+1&gt;$K$3,"",$Q497+1)))</f>
        <v/>
      </c>
      <c r="R498">
        <f>IF(OR($R497="",$R497="T"),"",IF($R497="B","S",IF($Q497+1&gt;$K$3,"T",IF(INDEX($M$4:$M$2003,MATCH($Q497+1,$P$4:$P$2003,0))&lt;&gt;INDEX($M$4:$M$2003,MATCH($Q497,$P$4:$P$2003,0)),"B","S"))))</f>
        <v/>
      </c>
      <c r="S498">
        <f>IF(Q498="","",IFERROR(MATCH(Q498,$P$4:$P$2003,0),""))</f>
        <v/>
      </c>
    </row>
    <row r="499">
      <c r="A499" s="4">
        <f>IF($R499="","",IF($R499="T","Gesamtergebnis",IF($R499="B",INDEX($M$4:$M$2003,$S499),INDEX($L$4:$L$2003,$S499))))</f>
        <v/>
      </c>
      <c r="B499" s="4">
        <f>IF($R499="","",IF($R499="T",$K$3,IF($R499="B",COUNTIFS($M$4:$M$2003,INDEX($M$4:$M$2003,$S499),$N$4:$N$2003,1),1)))</f>
        <v/>
      </c>
      <c r="L499">
        <f>IF($K$1="","",IFERROR(INDEX(Lines!$A:$AA,ROW()-2,$K$1),""))</f>
        <v/>
      </c>
      <c r="M499">
        <f>IF($K$2="","",IFERROR(INDEX(Lines!$A:$AA,ROW()-2,$K$2),""))</f>
        <v/>
      </c>
      <c r="N499">
        <f>IF(AND(L499&lt;&gt;"",LEFT(L499,1)="N",M499&lt;&gt;"PICKING",M499&lt;&gt;""),1,0)</f>
        <v/>
      </c>
      <c r="O499">
        <f>IF(N499=1,M499&amp;"|"&amp;L499,REPT("z",40))</f>
        <v/>
      </c>
      <c r="P499">
        <f>IF(N499=1,COUNTIF($O$4:$O$2003,"&lt;"&amp;O499)+1,"")</f>
        <v/>
      </c>
      <c r="Q499">
        <f>IF(OR($R498="",$R498="T"),"",IF($R498="B",$Q498,IF($Q498+1&gt;$K$3,"",$Q498+1)))</f>
        <v/>
      </c>
      <c r="R499">
        <f>IF(OR($R498="",$R498="T"),"",IF($R498="B","S",IF($Q498+1&gt;$K$3,"T",IF(INDEX($M$4:$M$2003,MATCH($Q498+1,$P$4:$P$2003,0))&lt;&gt;INDEX($M$4:$M$2003,MATCH($Q498,$P$4:$P$2003,0)),"B","S"))))</f>
        <v/>
      </c>
      <c r="S499">
        <f>IF(Q499="","",IFERROR(MATCH(Q499,$P$4:$P$2003,0),""))</f>
        <v/>
      </c>
    </row>
    <row r="500">
      <c r="A500" s="4">
        <f>IF($R500="","",IF($R500="T","Gesamtergebnis",IF($R500="B",INDEX($M$4:$M$2003,$S500),INDEX($L$4:$L$2003,$S500))))</f>
        <v/>
      </c>
      <c r="B500" s="4">
        <f>IF($R500="","",IF($R500="T",$K$3,IF($R500="B",COUNTIFS($M$4:$M$2003,INDEX($M$4:$M$2003,$S500),$N$4:$N$2003,1),1)))</f>
        <v/>
      </c>
      <c r="L500">
        <f>IF($K$1="","",IFERROR(INDEX(Lines!$A:$AA,ROW()-2,$K$1),""))</f>
        <v/>
      </c>
      <c r="M500">
        <f>IF($K$2="","",IFERROR(INDEX(Lines!$A:$AA,ROW()-2,$K$2),""))</f>
        <v/>
      </c>
      <c r="N500">
        <f>IF(AND(L500&lt;&gt;"",LEFT(L500,1)="N",M500&lt;&gt;"PICKING",M500&lt;&gt;""),1,0)</f>
        <v/>
      </c>
      <c r="O500">
        <f>IF(N500=1,M500&amp;"|"&amp;L500,REPT("z",40))</f>
        <v/>
      </c>
      <c r="P500">
        <f>IF(N500=1,COUNTIF($O$4:$O$2003,"&lt;"&amp;O500)+1,"")</f>
        <v/>
      </c>
      <c r="Q500">
        <f>IF(OR($R499="",$R499="T"),"",IF($R499="B",$Q499,IF($Q499+1&gt;$K$3,"",$Q499+1)))</f>
        <v/>
      </c>
      <c r="R500">
        <f>IF(OR($R499="",$R499="T"),"",IF($R499="B","S",IF($Q499+1&gt;$K$3,"T",IF(INDEX($M$4:$M$2003,MATCH($Q499+1,$P$4:$P$2003,0))&lt;&gt;INDEX($M$4:$M$2003,MATCH($Q499,$P$4:$P$2003,0)),"B","S"))))</f>
        <v/>
      </c>
      <c r="S500">
        <f>IF(Q500="","",IFERROR(MATCH(Q500,$P$4:$P$2003,0),""))</f>
        <v/>
      </c>
    </row>
    <row r="501">
      <c r="A501" s="4">
        <f>IF($R501="","",IF($R501="T","Gesamtergebnis",IF($R501="B",INDEX($M$4:$M$2003,$S501),INDEX($L$4:$L$2003,$S501))))</f>
        <v/>
      </c>
      <c r="B501" s="4">
        <f>IF($R501="","",IF($R501="T",$K$3,IF($R501="B",COUNTIFS($M$4:$M$2003,INDEX($M$4:$M$2003,$S501),$N$4:$N$2003,1),1)))</f>
        <v/>
      </c>
      <c r="L501">
        <f>IF($K$1="","",IFERROR(INDEX(Lines!$A:$AA,ROW()-2,$K$1),""))</f>
        <v/>
      </c>
      <c r="M501">
        <f>IF($K$2="","",IFERROR(INDEX(Lines!$A:$AA,ROW()-2,$K$2),""))</f>
        <v/>
      </c>
      <c r="N501">
        <f>IF(AND(L501&lt;&gt;"",LEFT(L501,1)="N",M501&lt;&gt;"PICKING",M501&lt;&gt;""),1,0)</f>
        <v/>
      </c>
      <c r="O501">
        <f>IF(N501=1,M501&amp;"|"&amp;L501,REPT("z",40))</f>
        <v/>
      </c>
      <c r="P501">
        <f>IF(N501=1,COUNTIF($O$4:$O$2003,"&lt;"&amp;O501)+1,"")</f>
        <v/>
      </c>
      <c r="Q501">
        <f>IF(OR($R500="",$R500="T"),"",IF($R500="B",$Q500,IF($Q500+1&gt;$K$3,"",$Q500+1)))</f>
        <v/>
      </c>
      <c r="R501">
        <f>IF(OR($R500="",$R500="T"),"",IF($R500="B","S",IF($Q500+1&gt;$K$3,"T",IF(INDEX($M$4:$M$2003,MATCH($Q500+1,$P$4:$P$2003,0))&lt;&gt;INDEX($M$4:$M$2003,MATCH($Q500,$P$4:$P$2003,0)),"B","S"))))</f>
        <v/>
      </c>
      <c r="S501">
        <f>IF(Q501="","",IFERROR(MATCH(Q501,$P$4:$P$2003,0),""))</f>
        <v/>
      </c>
    </row>
    <row r="502">
      <c r="A502" s="4">
        <f>IF($R502="","",IF($R502="T","Gesamtergebnis",IF($R502="B",INDEX($M$4:$M$2003,$S502),INDEX($L$4:$L$2003,$S502))))</f>
        <v/>
      </c>
      <c r="B502" s="4">
        <f>IF($R502="","",IF($R502="T",$K$3,IF($R502="B",COUNTIFS($M$4:$M$2003,INDEX($M$4:$M$2003,$S502),$N$4:$N$2003,1),1)))</f>
        <v/>
      </c>
      <c r="L502">
        <f>IF($K$1="","",IFERROR(INDEX(Lines!$A:$AA,ROW()-2,$K$1),""))</f>
        <v/>
      </c>
      <c r="M502">
        <f>IF($K$2="","",IFERROR(INDEX(Lines!$A:$AA,ROW()-2,$K$2),""))</f>
        <v/>
      </c>
      <c r="N502">
        <f>IF(AND(L502&lt;&gt;"",LEFT(L502,1)="N",M502&lt;&gt;"PICKING",M502&lt;&gt;""),1,0)</f>
        <v/>
      </c>
      <c r="O502">
        <f>IF(N502=1,M502&amp;"|"&amp;L502,REPT("z",40))</f>
        <v/>
      </c>
      <c r="P502">
        <f>IF(N502=1,COUNTIF($O$4:$O$2003,"&lt;"&amp;O502)+1,"")</f>
        <v/>
      </c>
      <c r="Q502">
        <f>IF(OR($R501="",$R501="T"),"",IF($R501="B",$Q501,IF($Q501+1&gt;$K$3,"",$Q501+1)))</f>
        <v/>
      </c>
      <c r="R502">
        <f>IF(OR($R501="",$R501="T"),"",IF($R501="B","S",IF($Q501+1&gt;$K$3,"T",IF(INDEX($M$4:$M$2003,MATCH($Q501+1,$P$4:$P$2003,0))&lt;&gt;INDEX($M$4:$M$2003,MATCH($Q501,$P$4:$P$2003,0)),"B","S"))))</f>
        <v/>
      </c>
      <c r="S502">
        <f>IF(Q502="","",IFERROR(MATCH(Q502,$P$4:$P$2003,0),""))</f>
        <v/>
      </c>
    </row>
    <row r="503">
      <c r="A503" s="4">
        <f>IF($R503="","",IF($R503="T","Gesamtergebnis",IF($R503="B",INDEX($M$4:$M$2003,$S503),INDEX($L$4:$L$2003,$S503))))</f>
        <v/>
      </c>
      <c r="B503" s="4">
        <f>IF($R503="","",IF($R503="T",$K$3,IF($R503="B",COUNTIFS($M$4:$M$2003,INDEX($M$4:$M$2003,$S503),$N$4:$N$2003,1),1)))</f>
        <v/>
      </c>
      <c r="L503">
        <f>IF($K$1="","",IFERROR(INDEX(Lines!$A:$AA,ROW()-2,$K$1),""))</f>
        <v/>
      </c>
      <c r="M503">
        <f>IF($K$2="","",IFERROR(INDEX(Lines!$A:$AA,ROW()-2,$K$2),""))</f>
        <v/>
      </c>
      <c r="N503">
        <f>IF(AND(L503&lt;&gt;"",LEFT(L503,1)="N",M503&lt;&gt;"PICKING",M503&lt;&gt;""),1,0)</f>
        <v/>
      </c>
      <c r="O503">
        <f>IF(N503=1,M503&amp;"|"&amp;L503,REPT("z",40))</f>
        <v/>
      </c>
      <c r="P503">
        <f>IF(N503=1,COUNTIF($O$4:$O$2003,"&lt;"&amp;O503)+1,"")</f>
        <v/>
      </c>
      <c r="Q503">
        <f>IF(OR($R502="",$R502="T"),"",IF($R502="B",$Q502,IF($Q502+1&gt;$K$3,"",$Q502+1)))</f>
        <v/>
      </c>
      <c r="R503">
        <f>IF(OR($R502="",$R502="T"),"",IF($R502="B","S",IF($Q502+1&gt;$K$3,"T",IF(INDEX($M$4:$M$2003,MATCH($Q502+1,$P$4:$P$2003,0))&lt;&gt;INDEX($M$4:$M$2003,MATCH($Q502,$P$4:$P$2003,0)),"B","S"))))</f>
        <v/>
      </c>
      <c r="S503">
        <f>IF(Q503="","",IFERROR(MATCH(Q503,$P$4:$P$2003,0),""))</f>
        <v/>
      </c>
    </row>
    <row r="504">
      <c r="A504" s="4">
        <f>IF($R504="","",IF($R504="T","Gesamtergebnis",IF($R504="B",INDEX($M$4:$M$2003,$S504),INDEX($L$4:$L$2003,$S504))))</f>
        <v/>
      </c>
      <c r="B504" s="4">
        <f>IF($R504="","",IF($R504="T",$K$3,IF($R504="B",COUNTIFS($M$4:$M$2003,INDEX($M$4:$M$2003,$S504),$N$4:$N$2003,1),1)))</f>
        <v/>
      </c>
      <c r="L504">
        <f>IF($K$1="","",IFERROR(INDEX(Lines!$A:$AA,ROW()-2,$K$1),""))</f>
        <v/>
      </c>
      <c r="M504">
        <f>IF($K$2="","",IFERROR(INDEX(Lines!$A:$AA,ROW()-2,$K$2),""))</f>
        <v/>
      </c>
      <c r="N504">
        <f>IF(AND(L504&lt;&gt;"",LEFT(L504,1)="N",M504&lt;&gt;"PICKING",M504&lt;&gt;""),1,0)</f>
        <v/>
      </c>
      <c r="O504">
        <f>IF(N504=1,M504&amp;"|"&amp;L504,REPT("z",40))</f>
        <v/>
      </c>
      <c r="P504">
        <f>IF(N504=1,COUNTIF($O$4:$O$2003,"&lt;"&amp;O504)+1,"")</f>
        <v/>
      </c>
      <c r="Q504">
        <f>IF(OR($R503="",$R503="T"),"",IF($R503="B",$Q503,IF($Q503+1&gt;$K$3,"",$Q503+1)))</f>
        <v/>
      </c>
      <c r="R504">
        <f>IF(OR($R503="",$R503="T"),"",IF($R503="B","S",IF($Q503+1&gt;$K$3,"T",IF(INDEX($M$4:$M$2003,MATCH($Q503+1,$P$4:$P$2003,0))&lt;&gt;INDEX($M$4:$M$2003,MATCH($Q503,$P$4:$P$2003,0)),"B","S"))))</f>
        <v/>
      </c>
      <c r="S504">
        <f>IF(Q504="","",IFERROR(MATCH(Q504,$P$4:$P$2003,0),""))</f>
        <v/>
      </c>
    </row>
    <row r="505">
      <c r="A505" s="4">
        <f>IF($R505="","",IF($R505="T","Gesamtergebnis",IF($R505="B",INDEX($M$4:$M$2003,$S505),INDEX($L$4:$L$2003,$S505))))</f>
        <v/>
      </c>
      <c r="B505" s="4">
        <f>IF($R505="","",IF($R505="T",$K$3,IF($R505="B",COUNTIFS($M$4:$M$2003,INDEX($M$4:$M$2003,$S505),$N$4:$N$2003,1),1)))</f>
        <v/>
      </c>
      <c r="L505">
        <f>IF($K$1="","",IFERROR(INDEX(Lines!$A:$AA,ROW()-2,$K$1),""))</f>
        <v/>
      </c>
      <c r="M505">
        <f>IF($K$2="","",IFERROR(INDEX(Lines!$A:$AA,ROW()-2,$K$2),""))</f>
        <v/>
      </c>
      <c r="N505">
        <f>IF(AND(L505&lt;&gt;"",LEFT(L505,1)="N",M505&lt;&gt;"PICKING",M505&lt;&gt;""),1,0)</f>
        <v/>
      </c>
      <c r="O505">
        <f>IF(N505=1,M505&amp;"|"&amp;L505,REPT("z",40))</f>
        <v/>
      </c>
      <c r="P505">
        <f>IF(N505=1,COUNTIF($O$4:$O$2003,"&lt;"&amp;O505)+1,"")</f>
        <v/>
      </c>
      <c r="Q505">
        <f>IF(OR($R504="",$R504="T"),"",IF($R504="B",$Q504,IF($Q504+1&gt;$K$3,"",$Q504+1)))</f>
        <v/>
      </c>
      <c r="R505">
        <f>IF(OR($R504="",$R504="T"),"",IF($R504="B","S",IF($Q504+1&gt;$K$3,"T",IF(INDEX($M$4:$M$2003,MATCH($Q504+1,$P$4:$P$2003,0))&lt;&gt;INDEX($M$4:$M$2003,MATCH($Q504,$P$4:$P$2003,0)),"B","S"))))</f>
        <v/>
      </c>
      <c r="S505">
        <f>IF(Q505="","",IFERROR(MATCH(Q505,$P$4:$P$2003,0),""))</f>
        <v/>
      </c>
    </row>
    <row r="506">
      <c r="A506" s="4">
        <f>IF($R506="","",IF($R506="T","Gesamtergebnis",IF($R506="B",INDEX($M$4:$M$2003,$S506),INDEX($L$4:$L$2003,$S506))))</f>
        <v/>
      </c>
      <c r="B506" s="4">
        <f>IF($R506="","",IF($R506="T",$K$3,IF($R506="B",COUNTIFS($M$4:$M$2003,INDEX($M$4:$M$2003,$S506),$N$4:$N$2003,1),1)))</f>
        <v/>
      </c>
      <c r="L506">
        <f>IF($K$1="","",IFERROR(INDEX(Lines!$A:$AA,ROW()-2,$K$1),""))</f>
        <v/>
      </c>
      <c r="M506">
        <f>IF($K$2="","",IFERROR(INDEX(Lines!$A:$AA,ROW()-2,$K$2),""))</f>
        <v/>
      </c>
      <c r="N506">
        <f>IF(AND(L506&lt;&gt;"",LEFT(L506,1)="N",M506&lt;&gt;"PICKING",M506&lt;&gt;""),1,0)</f>
        <v/>
      </c>
      <c r="O506">
        <f>IF(N506=1,M506&amp;"|"&amp;L506,REPT("z",40))</f>
        <v/>
      </c>
      <c r="P506">
        <f>IF(N506=1,COUNTIF($O$4:$O$2003,"&lt;"&amp;O506)+1,"")</f>
        <v/>
      </c>
      <c r="Q506">
        <f>IF(OR($R505="",$R505="T"),"",IF($R505="B",$Q505,IF($Q505+1&gt;$K$3,"",$Q505+1)))</f>
        <v/>
      </c>
      <c r="R506">
        <f>IF(OR($R505="",$R505="T"),"",IF($R505="B","S",IF($Q505+1&gt;$K$3,"T",IF(INDEX($M$4:$M$2003,MATCH($Q505+1,$P$4:$P$2003,0))&lt;&gt;INDEX($M$4:$M$2003,MATCH($Q505,$P$4:$P$2003,0)),"B","S"))))</f>
        <v/>
      </c>
      <c r="S506">
        <f>IF(Q506="","",IFERROR(MATCH(Q506,$P$4:$P$2003,0),""))</f>
        <v/>
      </c>
    </row>
    <row r="507">
      <c r="A507" s="4">
        <f>IF($R507="","",IF($R507="T","Gesamtergebnis",IF($R507="B",INDEX($M$4:$M$2003,$S507),INDEX($L$4:$L$2003,$S507))))</f>
        <v/>
      </c>
      <c r="B507" s="4">
        <f>IF($R507="","",IF($R507="T",$K$3,IF($R507="B",COUNTIFS($M$4:$M$2003,INDEX($M$4:$M$2003,$S507),$N$4:$N$2003,1),1)))</f>
        <v/>
      </c>
      <c r="L507">
        <f>IF($K$1="","",IFERROR(INDEX(Lines!$A:$AA,ROW()-2,$K$1),""))</f>
        <v/>
      </c>
      <c r="M507">
        <f>IF($K$2="","",IFERROR(INDEX(Lines!$A:$AA,ROW()-2,$K$2),""))</f>
        <v/>
      </c>
      <c r="N507">
        <f>IF(AND(L507&lt;&gt;"",LEFT(L507,1)="N",M507&lt;&gt;"PICKING",M507&lt;&gt;""),1,0)</f>
        <v/>
      </c>
      <c r="O507">
        <f>IF(N507=1,M507&amp;"|"&amp;L507,REPT("z",40))</f>
        <v/>
      </c>
      <c r="P507">
        <f>IF(N507=1,COUNTIF($O$4:$O$2003,"&lt;"&amp;O507)+1,"")</f>
        <v/>
      </c>
      <c r="Q507">
        <f>IF(OR($R506="",$R506="T"),"",IF($R506="B",$Q506,IF($Q506+1&gt;$K$3,"",$Q506+1)))</f>
        <v/>
      </c>
      <c r="R507">
        <f>IF(OR($R506="",$R506="T"),"",IF($R506="B","S",IF($Q506+1&gt;$K$3,"T",IF(INDEX($M$4:$M$2003,MATCH($Q506+1,$P$4:$P$2003,0))&lt;&gt;INDEX($M$4:$M$2003,MATCH($Q506,$P$4:$P$2003,0)),"B","S"))))</f>
        <v/>
      </c>
      <c r="S507">
        <f>IF(Q507="","",IFERROR(MATCH(Q507,$P$4:$P$2003,0),""))</f>
        <v/>
      </c>
    </row>
    <row r="508">
      <c r="A508" s="4">
        <f>IF($R508="","",IF($R508="T","Gesamtergebnis",IF($R508="B",INDEX($M$4:$M$2003,$S508),INDEX($L$4:$L$2003,$S508))))</f>
        <v/>
      </c>
      <c r="B508" s="4">
        <f>IF($R508="","",IF($R508="T",$K$3,IF($R508="B",COUNTIFS($M$4:$M$2003,INDEX($M$4:$M$2003,$S508),$N$4:$N$2003,1),1)))</f>
        <v/>
      </c>
      <c r="L508">
        <f>IF($K$1="","",IFERROR(INDEX(Lines!$A:$AA,ROW()-2,$K$1),""))</f>
        <v/>
      </c>
      <c r="M508">
        <f>IF($K$2="","",IFERROR(INDEX(Lines!$A:$AA,ROW()-2,$K$2),""))</f>
        <v/>
      </c>
      <c r="N508">
        <f>IF(AND(L508&lt;&gt;"",LEFT(L508,1)="N",M508&lt;&gt;"PICKING",M508&lt;&gt;""),1,0)</f>
        <v/>
      </c>
      <c r="O508">
        <f>IF(N508=1,M508&amp;"|"&amp;L508,REPT("z",40))</f>
        <v/>
      </c>
      <c r="P508">
        <f>IF(N508=1,COUNTIF($O$4:$O$2003,"&lt;"&amp;O508)+1,"")</f>
        <v/>
      </c>
      <c r="Q508">
        <f>IF(OR($R507="",$R507="T"),"",IF($R507="B",$Q507,IF($Q507+1&gt;$K$3,"",$Q507+1)))</f>
        <v/>
      </c>
      <c r="R508">
        <f>IF(OR($R507="",$R507="T"),"",IF($R507="B","S",IF($Q507+1&gt;$K$3,"T",IF(INDEX($M$4:$M$2003,MATCH($Q507+1,$P$4:$P$2003,0))&lt;&gt;INDEX($M$4:$M$2003,MATCH($Q507,$P$4:$P$2003,0)),"B","S"))))</f>
        <v/>
      </c>
      <c r="S508">
        <f>IF(Q508="","",IFERROR(MATCH(Q508,$P$4:$P$2003,0),""))</f>
        <v/>
      </c>
    </row>
    <row r="509">
      <c r="A509" s="4">
        <f>IF($R509="","",IF($R509="T","Gesamtergebnis",IF($R509="B",INDEX($M$4:$M$2003,$S509),INDEX($L$4:$L$2003,$S509))))</f>
        <v/>
      </c>
      <c r="B509" s="4">
        <f>IF($R509="","",IF($R509="T",$K$3,IF($R509="B",COUNTIFS($M$4:$M$2003,INDEX($M$4:$M$2003,$S509),$N$4:$N$2003,1),1)))</f>
        <v/>
      </c>
      <c r="L509">
        <f>IF($K$1="","",IFERROR(INDEX(Lines!$A:$AA,ROW()-2,$K$1),""))</f>
        <v/>
      </c>
      <c r="M509">
        <f>IF($K$2="","",IFERROR(INDEX(Lines!$A:$AA,ROW()-2,$K$2),""))</f>
        <v/>
      </c>
      <c r="N509">
        <f>IF(AND(L509&lt;&gt;"",LEFT(L509,1)="N",M509&lt;&gt;"PICKING",M509&lt;&gt;""),1,0)</f>
        <v/>
      </c>
      <c r="O509">
        <f>IF(N509=1,M509&amp;"|"&amp;L509,REPT("z",40))</f>
        <v/>
      </c>
      <c r="P509">
        <f>IF(N509=1,COUNTIF($O$4:$O$2003,"&lt;"&amp;O509)+1,"")</f>
        <v/>
      </c>
      <c r="Q509">
        <f>IF(OR($R508="",$R508="T"),"",IF($R508="B",$Q508,IF($Q508+1&gt;$K$3,"",$Q508+1)))</f>
        <v/>
      </c>
      <c r="R509">
        <f>IF(OR($R508="",$R508="T"),"",IF($R508="B","S",IF($Q508+1&gt;$K$3,"T",IF(INDEX($M$4:$M$2003,MATCH($Q508+1,$P$4:$P$2003,0))&lt;&gt;INDEX($M$4:$M$2003,MATCH($Q508,$P$4:$P$2003,0)),"B","S"))))</f>
        <v/>
      </c>
      <c r="S509">
        <f>IF(Q509="","",IFERROR(MATCH(Q509,$P$4:$P$2003,0),""))</f>
        <v/>
      </c>
    </row>
    <row r="510">
      <c r="A510" s="4">
        <f>IF($R510="","",IF($R510="T","Gesamtergebnis",IF($R510="B",INDEX($M$4:$M$2003,$S510),INDEX($L$4:$L$2003,$S510))))</f>
        <v/>
      </c>
      <c r="B510" s="4">
        <f>IF($R510="","",IF($R510="T",$K$3,IF($R510="B",COUNTIFS($M$4:$M$2003,INDEX($M$4:$M$2003,$S510),$N$4:$N$2003,1),1)))</f>
        <v/>
      </c>
      <c r="L510">
        <f>IF($K$1="","",IFERROR(INDEX(Lines!$A:$AA,ROW()-2,$K$1),""))</f>
        <v/>
      </c>
      <c r="M510">
        <f>IF($K$2="","",IFERROR(INDEX(Lines!$A:$AA,ROW()-2,$K$2),""))</f>
        <v/>
      </c>
      <c r="N510">
        <f>IF(AND(L510&lt;&gt;"",LEFT(L510,1)="N",M510&lt;&gt;"PICKING",M510&lt;&gt;""),1,0)</f>
        <v/>
      </c>
      <c r="O510">
        <f>IF(N510=1,M510&amp;"|"&amp;L510,REPT("z",40))</f>
        <v/>
      </c>
      <c r="P510">
        <f>IF(N510=1,COUNTIF($O$4:$O$2003,"&lt;"&amp;O510)+1,"")</f>
        <v/>
      </c>
      <c r="Q510">
        <f>IF(OR($R509="",$R509="T"),"",IF($R509="B",$Q509,IF($Q509+1&gt;$K$3,"",$Q509+1)))</f>
        <v/>
      </c>
      <c r="R510">
        <f>IF(OR($R509="",$R509="T"),"",IF($R509="B","S",IF($Q509+1&gt;$K$3,"T",IF(INDEX($M$4:$M$2003,MATCH($Q509+1,$P$4:$P$2003,0))&lt;&gt;INDEX($M$4:$M$2003,MATCH($Q509,$P$4:$P$2003,0)),"B","S"))))</f>
        <v/>
      </c>
      <c r="S510">
        <f>IF(Q510="","",IFERROR(MATCH(Q510,$P$4:$P$2003,0),""))</f>
        <v/>
      </c>
    </row>
    <row r="511">
      <c r="A511" s="4">
        <f>IF($R511="","",IF($R511="T","Gesamtergebnis",IF($R511="B",INDEX($M$4:$M$2003,$S511),INDEX($L$4:$L$2003,$S511))))</f>
        <v/>
      </c>
      <c r="B511" s="4">
        <f>IF($R511="","",IF($R511="T",$K$3,IF($R511="B",COUNTIFS($M$4:$M$2003,INDEX($M$4:$M$2003,$S511),$N$4:$N$2003,1),1)))</f>
        <v/>
      </c>
      <c r="L511">
        <f>IF($K$1="","",IFERROR(INDEX(Lines!$A:$AA,ROW()-2,$K$1),""))</f>
        <v/>
      </c>
      <c r="M511">
        <f>IF($K$2="","",IFERROR(INDEX(Lines!$A:$AA,ROW()-2,$K$2),""))</f>
        <v/>
      </c>
      <c r="N511">
        <f>IF(AND(L511&lt;&gt;"",LEFT(L511,1)="N",M511&lt;&gt;"PICKING",M511&lt;&gt;""),1,0)</f>
        <v/>
      </c>
      <c r="O511">
        <f>IF(N511=1,M511&amp;"|"&amp;L511,REPT("z",40))</f>
        <v/>
      </c>
      <c r="P511">
        <f>IF(N511=1,COUNTIF($O$4:$O$2003,"&lt;"&amp;O511)+1,"")</f>
        <v/>
      </c>
      <c r="Q511">
        <f>IF(OR($R510="",$R510="T"),"",IF($R510="B",$Q510,IF($Q510+1&gt;$K$3,"",$Q510+1)))</f>
        <v/>
      </c>
      <c r="R511">
        <f>IF(OR($R510="",$R510="T"),"",IF($R510="B","S",IF($Q510+1&gt;$K$3,"T",IF(INDEX($M$4:$M$2003,MATCH($Q510+1,$P$4:$P$2003,0))&lt;&gt;INDEX($M$4:$M$2003,MATCH($Q510,$P$4:$P$2003,0)),"B","S"))))</f>
        <v/>
      </c>
      <c r="S511">
        <f>IF(Q511="","",IFERROR(MATCH(Q511,$P$4:$P$2003,0),""))</f>
        <v/>
      </c>
    </row>
    <row r="512">
      <c r="A512" s="4">
        <f>IF($R512="","",IF($R512="T","Gesamtergebnis",IF($R512="B",INDEX($M$4:$M$2003,$S512),INDEX($L$4:$L$2003,$S512))))</f>
        <v/>
      </c>
      <c r="B512" s="4">
        <f>IF($R512="","",IF($R512="T",$K$3,IF($R512="B",COUNTIFS($M$4:$M$2003,INDEX($M$4:$M$2003,$S512),$N$4:$N$2003,1),1)))</f>
        <v/>
      </c>
      <c r="L512">
        <f>IF($K$1="","",IFERROR(INDEX(Lines!$A:$AA,ROW()-2,$K$1),""))</f>
        <v/>
      </c>
      <c r="M512">
        <f>IF($K$2="","",IFERROR(INDEX(Lines!$A:$AA,ROW()-2,$K$2),""))</f>
        <v/>
      </c>
      <c r="N512">
        <f>IF(AND(L512&lt;&gt;"",LEFT(L512,1)="N",M512&lt;&gt;"PICKING",M512&lt;&gt;""),1,0)</f>
        <v/>
      </c>
      <c r="O512">
        <f>IF(N512=1,M512&amp;"|"&amp;L512,REPT("z",40))</f>
        <v/>
      </c>
      <c r="P512">
        <f>IF(N512=1,COUNTIF($O$4:$O$2003,"&lt;"&amp;O512)+1,"")</f>
        <v/>
      </c>
      <c r="Q512">
        <f>IF(OR($R511="",$R511="T"),"",IF($R511="B",$Q511,IF($Q511+1&gt;$K$3,"",$Q511+1)))</f>
        <v/>
      </c>
      <c r="R512">
        <f>IF(OR($R511="",$R511="T"),"",IF($R511="B","S",IF($Q511+1&gt;$K$3,"T",IF(INDEX($M$4:$M$2003,MATCH($Q511+1,$P$4:$P$2003,0))&lt;&gt;INDEX($M$4:$M$2003,MATCH($Q511,$P$4:$P$2003,0)),"B","S"))))</f>
        <v/>
      </c>
      <c r="S512">
        <f>IF(Q512="","",IFERROR(MATCH(Q512,$P$4:$P$2003,0),""))</f>
        <v/>
      </c>
    </row>
    <row r="513">
      <c r="A513" s="4">
        <f>IF($R513="","",IF($R513="T","Gesamtergebnis",IF($R513="B",INDEX($M$4:$M$2003,$S513),INDEX($L$4:$L$2003,$S513))))</f>
        <v/>
      </c>
      <c r="B513" s="4">
        <f>IF($R513="","",IF($R513="T",$K$3,IF($R513="B",COUNTIFS($M$4:$M$2003,INDEX($M$4:$M$2003,$S513),$N$4:$N$2003,1),1)))</f>
        <v/>
      </c>
      <c r="L513">
        <f>IF($K$1="","",IFERROR(INDEX(Lines!$A:$AA,ROW()-2,$K$1),""))</f>
        <v/>
      </c>
      <c r="M513">
        <f>IF($K$2="","",IFERROR(INDEX(Lines!$A:$AA,ROW()-2,$K$2),""))</f>
        <v/>
      </c>
      <c r="N513">
        <f>IF(AND(L513&lt;&gt;"",LEFT(L513,1)="N",M513&lt;&gt;"PICKING",M513&lt;&gt;""),1,0)</f>
        <v/>
      </c>
      <c r="O513">
        <f>IF(N513=1,M513&amp;"|"&amp;L513,REPT("z",40))</f>
        <v/>
      </c>
      <c r="P513">
        <f>IF(N513=1,COUNTIF($O$4:$O$2003,"&lt;"&amp;O513)+1,"")</f>
        <v/>
      </c>
      <c r="Q513">
        <f>IF(OR($R512="",$R512="T"),"",IF($R512="B",$Q512,IF($Q512+1&gt;$K$3,"",$Q512+1)))</f>
        <v/>
      </c>
      <c r="R513">
        <f>IF(OR($R512="",$R512="T"),"",IF($R512="B","S",IF($Q512+1&gt;$K$3,"T",IF(INDEX($M$4:$M$2003,MATCH($Q512+1,$P$4:$P$2003,0))&lt;&gt;INDEX($M$4:$M$2003,MATCH($Q512,$P$4:$P$2003,0)),"B","S"))))</f>
        <v/>
      </c>
      <c r="S513">
        <f>IF(Q513="","",IFERROR(MATCH(Q513,$P$4:$P$2003,0),""))</f>
        <v/>
      </c>
    </row>
    <row r="514">
      <c r="A514" s="4">
        <f>IF($R514="","",IF($R514="T","Gesamtergebnis",IF($R514="B",INDEX($M$4:$M$2003,$S514),INDEX($L$4:$L$2003,$S514))))</f>
        <v/>
      </c>
      <c r="B514" s="4">
        <f>IF($R514="","",IF($R514="T",$K$3,IF($R514="B",COUNTIFS($M$4:$M$2003,INDEX($M$4:$M$2003,$S514),$N$4:$N$2003,1),1)))</f>
        <v/>
      </c>
      <c r="L514">
        <f>IF($K$1="","",IFERROR(INDEX(Lines!$A:$AA,ROW()-2,$K$1),""))</f>
        <v/>
      </c>
      <c r="M514">
        <f>IF($K$2="","",IFERROR(INDEX(Lines!$A:$AA,ROW()-2,$K$2),""))</f>
        <v/>
      </c>
      <c r="N514">
        <f>IF(AND(L514&lt;&gt;"",LEFT(L514,1)="N",M514&lt;&gt;"PICKING",M514&lt;&gt;""),1,0)</f>
        <v/>
      </c>
      <c r="O514">
        <f>IF(N514=1,M514&amp;"|"&amp;L514,REPT("z",40))</f>
        <v/>
      </c>
      <c r="P514">
        <f>IF(N514=1,COUNTIF($O$4:$O$2003,"&lt;"&amp;O514)+1,"")</f>
        <v/>
      </c>
      <c r="Q514">
        <f>IF(OR($R513="",$R513="T"),"",IF($R513="B",$Q513,IF($Q513+1&gt;$K$3,"",$Q513+1)))</f>
        <v/>
      </c>
      <c r="R514">
        <f>IF(OR($R513="",$R513="T"),"",IF($R513="B","S",IF($Q513+1&gt;$K$3,"T",IF(INDEX($M$4:$M$2003,MATCH($Q513+1,$P$4:$P$2003,0))&lt;&gt;INDEX($M$4:$M$2003,MATCH($Q513,$P$4:$P$2003,0)),"B","S"))))</f>
        <v/>
      </c>
      <c r="S514">
        <f>IF(Q514="","",IFERROR(MATCH(Q514,$P$4:$P$2003,0),""))</f>
        <v/>
      </c>
    </row>
    <row r="515">
      <c r="A515" s="4">
        <f>IF($R515="","",IF($R515="T","Gesamtergebnis",IF($R515="B",INDEX($M$4:$M$2003,$S515),INDEX($L$4:$L$2003,$S515))))</f>
        <v/>
      </c>
      <c r="B515" s="4">
        <f>IF($R515="","",IF($R515="T",$K$3,IF($R515="B",COUNTIFS($M$4:$M$2003,INDEX($M$4:$M$2003,$S515),$N$4:$N$2003,1),1)))</f>
        <v/>
      </c>
      <c r="L515">
        <f>IF($K$1="","",IFERROR(INDEX(Lines!$A:$AA,ROW()-2,$K$1),""))</f>
        <v/>
      </c>
      <c r="M515">
        <f>IF($K$2="","",IFERROR(INDEX(Lines!$A:$AA,ROW()-2,$K$2),""))</f>
        <v/>
      </c>
      <c r="N515">
        <f>IF(AND(L515&lt;&gt;"",LEFT(L515,1)="N",M515&lt;&gt;"PICKING",M515&lt;&gt;""),1,0)</f>
        <v/>
      </c>
      <c r="O515">
        <f>IF(N515=1,M515&amp;"|"&amp;L515,REPT("z",40))</f>
        <v/>
      </c>
      <c r="P515">
        <f>IF(N515=1,COUNTIF($O$4:$O$2003,"&lt;"&amp;O515)+1,"")</f>
        <v/>
      </c>
      <c r="Q515">
        <f>IF(OR($R514="",$R514="T"),"",IF($R514="B",$Q514,IF($Q514+1&gt;$K$3,"",$Q514+1)))</f>
        <v/>
      </c>
      <c r="R515">
        <f>IF(OR($R514="",$R514="T"),"",IF($R514="B","S",IF($Q514+1&gt;$K$3,"T",IF(INDEX($M$4:$M$2003,MATCH($Q514+1,$P$4:$P$2003,0))&lt;&gt;INDEX($M$4:$M$2003,MATCH($Q514,$P$4:$P$2003,0)),"B","S"))))</f>
        <v/>
      </c>
      <c r="S515">
        <f>IF(Q515="","",IFERROR(MATCH(Q515,$P$4:$P$2003,0),""))</f>
        <v/>
      </c>
    </row>
    <row r="516">
      <c r="A516" s="4">
        <f>IF($R516="","",IF($R516="T","Gesamtergebnis",IF($R516="B",INDEX($M$4:$M$2003,$S516),INDEX($L$4:$L$2003,$S516))))</f>
        <v/>
      </c>
      <c r="B516" s="4">
        <f>IF($R516="","",IF($R516="T",$K$3,IF($R516="B",COUNTIFS($M$4:$M$2003,INDEX($M$4:$M$2003,$S516),$N$4:$N$2003,1),1)))</f>
        <v/>
      </c>
      <c r="L516">
        <f>IF($K$1="","",IFERROR(INDEX(Lines!$A:$AA,ROW()-2,$K$1),""))</f>
        <v/>
      </c>
      <c r="M516">
        <f>IF($K$2="","",IFERROR(INDEX(Lines!$A:$AA,ROW()-2,$K$2),""))</f>
        <v/>
      </c>
      <c r="N516">
        <f>IF(AND(L516&lt;&gt;"",LEFT(L516,1)="N",M516&lt;&gt;"PICKING",M516&lt;&gt;""),1,0)</f>
        <v/>
      </c>
      <c r="O516">
        <f>IF(N516=1,M516&amp;"|"&amp;L516,REPT("z",40))</f>
        <v/>
      </c>
      <c r="P516">
        <f>IF(N516=1,COUNTIF($O$4:$O$2003,"&lt;"&amp;O516)+1,"")</f>
        <v/>
      </c>
      <c r="Q516">
        <f>IF(OR($R515="",$R515="T"),"",IF($R515="B",$Q515,IF($Q515+1&gt;$K$3,"",$Q515+1)))</f>
        <v/>
      </c>
      <c r="R516">
        <f>IF(OR($R515="",$R515="T"),"",IF($R515="B","S",IF($Q515+1&gt;$K$3,"T",IF(INDEX($M$4:$M$2003,MATCH($Q515+1,$P$4:$P$2003,0))&lt;&gt;INDEX($M$4:$M$2003,MATCH($Q515,$P$4:$P$2003,0)),"B","S"))))</f>
        <v/>
      </c>
      <c r="S516">
        <f>IF(Q516="","",IFERROR(MATCH(Q516,$P$4:$P$2003,0),""))</f>
        <v/>
      </c>
    </row>
    <row r="517">
      <c r="A517" s="4">
        <f>IF($R517="","",IF($R517="T","Gesamtergebnis",IF($R517="B",INDEX($M$4:$M$2003,$S517),INDEX($L$4:$L$2003,$S517))))</f>
        <v/>
      </c>
      <c r="B517" s="4">
        <f>IF($R517="","",IF($R517="T",$K$3,IF($R517="B",COUNTIFS($M$4:$M$2003,INDEX($M$4:$M$2003,$S517),$N$4:$N$2003,1),1)))</f>
        <v/>
      </c>
      <c r="L517">
        <f>IF($K$1="","",IFERROR(INDEX(Lines!$A:$AA,ROW()-2,$K$1),""))</f>
        <v/>
      </c>
      <c r="M517">
        <f>IF($K$2="","",IFERROR(INDEX(Lines!$A:$AA,ROW()-2,$K$2),""))</f>
        <v/>
      </c>
      <c r="N517">
        <f>IF(AND(L517&lt;&gt;"",LEFT(L517,1)="N",M517&lt;&gt;"PICKING",M517&lt;&gt;""),1,0)</f>
        <v/>
      </c>
      <c r="O517">
        <f>IF(N517=1,M517&amp;"|"&amp;L517,REPT("z",40))</f>
        <v/>
      </c>
      <c r="P517">
        <f>IF(N517=1,COUNTIF($O$4:$O$2003,"&lt;"&amp;O517)+1,"")</f>
        <v/>
      </c>
      <c r="Q517">
        <f>IF(OR($R516="",$R516="T"),"",IF($R516="B",$Q516,IF($Q516+1&gt;$K$3,"",$Q516+1)))</f>
        <v/>
      </c>
      <c r="R517">
        <f>IF(OR($R516="",$R516="T"),"",IF($R516="B","S",IF($Q516+1&gt;$K$3,"T",IF(INDEX($M$4:$M$2003,MATCH($Q516+1,$P$4:$P$2003,0))&lt;&gt;INDEX($M$4:$M$2003,MATCH($Q516,$P$4:$P$2003,0)),"B","S"))))</f>
        <v/>
      </c>
      <c r="S517">
        <f>IF(Q517="","",IFERROR(MATCH(Q517,$P$4:$P$2003,0),""))</f>
        <v/>
      </c>
    </row>
    <row r="518">
      <c r="A518" s="4">
        <f>IF($R518="","",IF($R518="T","Gesamtergebnis",IF($R518="B",INDEX($M$4:$M$2003,$S518),INDEX($L$4:$L$2003,$S518))))</f>
        <v/>
      </c>
      <c r="B518" s="4">
        <f>IF($R518="","",IF($R518="T",$K$3,IF($R518="B",COUNTIFS($M$4:$M$2003,INDEX($M$4:$M$2003,$S518),$N$4:$N$2003,1),1)))</f>
        <v/>
      </c>
      <c r="L518">
        <f>IF($K$1="","",IFERROR(INDEX(Lines!$A:$AA,ROW()-2,$K$1),""))</f>
        <v/>
      </c>
      <c r="M518">
        <f>IF($K$2="","",IFERROR(INDEX(Lines!$A:$AA,ROW()-2,$K$2),""))</f>
        <v/>
      </c>
      <c r="N518">
        <f>IF(AND(L518&lt;&gt;"",LEFT(L518,1)="N",M518&lt;&gt;"PICKING",M518&lt;&gt;""),1,0)</f>
        <v/>
      </c>
      <c r="O518">
        <f>IF(N518=1,M518&amp;"|"&amp;L518,REPT("z",40))</f>
        <v/>
      </c>
      <c r="P518">
        <f>IF(N518=1,COUNTIF($O$4:$O$2003,"&lt;"&amp;O518)+1,"")</f>
        <v/>
      </c>
      <c r="Q518">
        <f>IF(OR($R517="",$R517="T"),"",IF($R517="B",$Q517,IF($Q517+1&gt;$K$3,"",$Q517+1)))</f>
        <v/>
      </c>
      <c r="R518">
        <f>IF(OR($R517="",$R517="T"),"",IF($R517="B","S",IF($Q517+1&gt;$K$3,"T",IF(INDEX($M$4:$M$2003,MATCH($Q517+1,$P$4:$P$2003,0))&lt;&gt;INDEX($M$4:$M$2003,MATCH($Q517,$P$4:$P$2003,0)),"B","S"))))</f>
        <v/>
      </c>
      <c r="S518">
        <f>IF(Q518="","",IFERROR(MATCH(Q518,$P$4:$P$2003,0),""))</f>
        <v/>
      </c>
    </row>
    <row r="519">
      <c r="A519" s="4">
        <f>IF($R519="","",IF($R519="T","Gesamtergebnis",IF($R519="B",INDEX($M$4:$M$2003,$S519),INDEX($L$4:$L$2003,$S519))))</f>
        <v/>
      </c>
      <c r="B519" s="4">
        <f>IF($R519="","",IF($R519="T",$K$3,IF($R519="B",COUNTIFS($M$4:$M$2003,INDEX($M$4:$M$2003,$S519),$N$4:$N$2003,1),1)))</f>
        <v/>
      </c>
      <c r="L519">
        <f>IF($K$1="","",IFERROR(INDEX(Lines!$A:$AA,ROW()-2,$K$1),""))</f>
        <v/>
      </c>
      <c r="M519">
        <f>IF($K$2="","",IFERROR(INDEX(Lines!$A:$AA,ROW()-2,$K$2),""))</f>
        <v/>
      </c>
      <c r="N519">
        <f>IF(AND(L519&lt;&gt;"",LEFT(L519,1)="N",M519&lt;&gt;"PICKING",M519&lt;&gt;""),1,0)</f>
        <v/>
      </c>
      <c r="O519">
        <f>IF(N519=1,M519&amp;"|"&amp;L519,REPT("z",40))</f>
        <v/>
      </c>
      <c r="P519">
        <f>IF(N519=1,COUNTIF($O$4:$O$2003,"&lt;"&amp;O519)+1,"")</f>
        <v/>
      </c>
      <c r="Q519">
        <f>IF(OR($R518="",$R518="T"),"",IF($R518="B",$Q518,IF($Q518+1&gt;$K$3,"",$Q518+1)))</f>
        <v/>
      </c>
      <c r="R519">
        <f>IF(OR($R518="",$R518="T"),"",IF($R518="B","S",IF($Q518+1&gt;$K$3,"T",IF(INDEX($M$4:$M$2003,MATCH($Q518+1,$P$4:$P$2003,0))&lt;&gt;INDEX($M$4:$M$2003,MATCH($Q518,$P$4:$P$2003,0)),"B","S"))))</f>
        <v/>
      </c>
      <c r="S519">
        <f>IF(Q519="","",IFERROR(MATCH(Q519,$P$4:$P$2003,0),""))</f>
        <v/>
      </c>
    </row>
    <row r="520">
      <c r="A520" s="4">
        <f>IF($R520="","",IF($R520="T","Gesamtergebnis",IF($R520="B",INDEX($M$4:$M$2003,$S520),INDEX($L$4:$L$2003,$S520))))</f>
        <v/>
      </c>
      <c r="B520" s="4">
        <f>IF($R520="","",IF($R520="T",$K$3,IF($R520="B",COUNTIFS($M$4:$M$2003,INDEX($M$4:$M$2003,$S520),$N$4:$N$2003,1),1)))</f>
        <v/>
      </c>
      <c r="L520">
        <f>IF($K$1="","",IFERROR(INDEX(Lines!$A:$AA,ROW()-2,$K$1),""))</f>
        <v/>
      </c>
      <c r="M520">
        <f>IF($K$2="","",IFERROR(INDEX(Lines!$A:$AA,ROW()-2,$K$2),""))</f>
        <v/>
      </c>
      <c r="N520">
        <f>IF(AND(L520&lt;&gt;"",LEFT(L520,1)="N",M520&lt;&gt;"PICKING",M520&lt;&gt;""),1,0)</f>
        <v/>
      </c>
      <c r="O520">
        <f>IF(N520=1,M520&amp;"|"&amp;L520,REPT("z",40))</f>
        <v/>
      </c>
      <c r="P520">
        <f>IF(N520=1,COUNTIF($O$4:$O$2003,"&lt;"&amp;O520)+1,"")</f>
        <v/>
      </c>
      <c r="Q520">
        <f>IF(OR($R519="",$R519="T"),"",IF($R519="B",$Q519,IF($Q519+1&gt;$K$3,"",$Q519+1)))</f>
        <v/>
      </c>
      <c r="R520">
        <f>IF(OR($R519="",$R519="T"),"",IF($R519="B","S",IF($Q519+1&gt;$K$3,"T",IF(INDEX($M$4:$M$2003,MATCH($Q519+1,$P$4:$P$2003,0))&lt;&gt;INDEX($M$4:$M$2003,MATCH($Q519,$P$4:$P$2003,0)),"B","S"))))</f>
        <v/>
      </c>
      <c r="S520">
        <f>IF(Q520="","",IFERROR(MATCH(Q520,$P$4:$P$2003,0),""))</f>
        <v/>
      </c>
    </row>
    <row r="521">
      <c r="A521" s="4">
        <f>IF($R521="","",IF($R521="T","Gesamtergebnis",IF($R521="B",INDEX($M$4:$M$2003,$S521),INDEX($L$4:$L$2003,$S521))))</f>
        <v/>
      </c>
      <c r="B521" s="4">
        <f>IF($R521="","",IF($R521="T",$K$3,IF($R521="B",COUNTIFS($M$4:$M$2003,INDEX($M$4:$M$2003,$S521),$N$4:$N$2003,1),1)))</f>
        <v/>
      </c>
      <c r="L521">
        <f>IF($K$1="","",IFERROR(INDEX(Lines!$A:$AA,ROW()-2,$K$1),""))</f>
        <v/>
      </c>
      <c r="M521">
        <f>IF($K$2="","",IFERROR(INDEX(Lines!$A:$AA,ROW()-2,$K$2),""))</f>
        <v/>
      </c>
      <c r="N521">
        <f>IF(AND(L521&lt;&gt;"",LEFT(L521,1)="N",M521&lt;&gt;"PICKING",M521&lt;&gt;""),1,0)</f>
        <v/>
      </c>
      <c r="O521">
        <f>IF(N521=1,M521&amp;"|"&amp;L521,REPT("z",40))</f>
        <v/>
      </c>
      <c r="P521">
        <f>IF(N521=1,COUNTIF($O$4:$O$2003,"&lt;"&amp;O521)+1,"")</f>
        <v/>
      </c>
      <c r="Q521">
        <f>IF(OR($R520="",$R520="T"),"",IF($R520="B",$Q520,IF($Q520+1&gt;$K$3,"",$Q520+1)))</f>
        <v/>
      </c>
      <c r="R521">
        <f>IF(OR($R520="",$R520="T"),"",IF($R520="B","S",IF($Q520+1&gt;$K$3,"T",IF(INDEX($M$4:$M$2003,MATCH($Q520+1,$P$4:$P$2003,0))&lt;&gt;INDEX($M$4:$M$2003,MATCH($Q520,$P$4:$P$2003,0)),"B","S"))))</f>
        <v/>
      </c>
      <c r="S521">
        <f>IF(Q521="","",IFERROR(MATCH(Q521,$P$4:$P$2003,0),""))</f>
        <v/>
      </c>
    </row>
    <row r="522">
      <c r="A522" s="4">
        <f>IF($R522="","",IF($R522="T","Gesamtergebnis",IF($R522="B",INDEX($M$4:$M$2003,$S522),INDEX($L$4:$L$2003,$S522))))</f>
        <v/>
      </c>
      <c r="B522" s="4">
        <f>IF($R522="","",IF($R522="T",$K$3,IF($R522="B",COUNTIFS($M$4:$M$2003,INDEX($M$4:$M$2003,$S522),$N$4:$N$2003,1),1)))</f>
        <v/>
      </c>
      <c r="L522">
        <f>IF($K$1="","",IFERROR(INDEX(Lines!$A:$AA,ROW()-2,$K$1),""))</f>
        <v/>
      </c>
      <c r="M522">
        <f>IF($K$2="","",IFERROR(INDEX(Lines!$A:$AA,ROW()-2,$K$2),""))</f>
        <v/>
      </c>
      <c r="N522">
        <f>IF(AND(L522&lt;&gt;"",LEFT(L522,1)="N",M522&lt;&gt;"PICKING",M522&lt;&gt;""),1,0)</f>
        <v/>
      </c>
      <c r="O522">
        <f>IF(N522=1,M522&amp;"|"&amp;L522,REPT("z",40))</f>
        <v/>
      </c>
      <c r="P522">
        <f>IF(N522=1,COUNTIF($O$4:$O$2003,"&lt;"&amp;O522)+1,"")</f>
        <v/>
      </c>
      <c r="Q522">
        <f>IF(OR($R521="",$R521="T"),"",IF($R521="B",$Q521,IF($Q521+1&gt;$K$3,"",$Q521+1)))</f>
        <v/>
      </c>
      <c r="R522">
        <f>IF(OR($R521="",$R521="T"),"",IF($R521="B","S",IF($Q521+1&gt;$K$3,"T",IF(INDEX($M$4:$M$2003,MATCH($Q521+1,$P$4:$P$2003,0))&lt;&gt;INDEX($M$4:$M$2003,MATCH($Q521,$P$4:$P$2003,0)),"B","S"))))</f>
        <v/>
      </c>
      <c r="S522">
        <f>IF(Q522="","",IFERROR(MATCH(Q522,$P$4:$P$2003,0),""))</f>
        <v/>
      </c>
    </row>
    <row r="523">
      <c r="A523" s="4">
        <f>IF($R523="","",IF($R523="T","Gesamtergebnis",IF($R523="B",INDEX($M$4:$M$2003,$S523),INDEX($L$4:$L$2003,$S523))))</f>
        <v/>
      </c>
      <c r="B523" s="4">
        <f>IF($R523="","",IF($R523="T",$K$3,IF($R523="B",COUNTIFS($M$4:$M$2003,INDEX($M$4:$M$2003,$S523),$N$4:$N$2003,1),1)))</f>
        <v/>
      </c>
      <c r="L523">
        <f>IF($K$1="","",IFERROR(INDEX(Lines!$A:$AA,ROW()-2,$K$1),""))</f>
        <v/>
      </c>
      <c r="M523">
        <f>IF($K$2="","",IFERROR(INDEX(Lines!$A:$AA,ROW()-2,$K$2),""))</f>
        <v/>
      </c>
      <c r="N523">
        <f>IF(AND(L523&lt;&gt;"",LEFT(L523,1)="N",M523&lt;&gt;"PICKING",M523&lt;&gt;""),1,0)</f>
        <v/>
      </c>
      <c r="O523">
        <f>IF(N523=1,M523&amp;"|"&amp;L523,REPT("z",40))</f>
        <v/>
      </c>
      <c r="P523">
        <f>IF(N523=1,COUNTIF($O$4:$O$2003,"&lt;"&amp;O523)+1,"")</f>
        <v/>
      </c>
      <c r="Q523">
        <f>IF(OR($R522="",$R522="T"),"",IF($R522="B",$Q522,IF($Q522+1&gt;$K$3,"",$Q522+1)))</f>
        <v/>
      </c>
      <c r="R523">
        <f>IF(OR($R522="",$R522="T"),"",IF($R522="B","S",IF($Q522+1&gt;$K$3,"T",IF(INDEX($M$4:$M$2003,MATCH($Q522+1,$P$4:$P$2003,0))&lt;&gt;INDEX($M$4:$M$2003,MATCH($Q522,$P$4:$P$2003,0)),"B","S"))))</f>
        <v/>
      </c>
      <c r="S523">
        <f>IF(Q523="","",IFERROR(MATCH(Q523,$P$4:$P$2003,0),""))</f>
        <v/>
      </c>
    </row>
    <row r="524">
      <c r="A524" s="4">
        <f>IF($R524="","",IF($R524="T","Gesamtergebnis",IF($R524="B",INDEX($M$4:$M$2003,$S524),INDEX($L$4:$L$2003,$S524))))</f>
        <v/>
      </c>
      <c r="B524" s="4">
        <f>IF($R524="","",IF($R524="T",$K$3,IF($R524="B",COUNTIFS($M$4:$M$2003,INDEX($M$4:$M$2003,$S524),$N$4:$N$2003,1),1)))</f>
        <v/>
      </c>
      <c r="L524">
        <f>IF($K$1="","",IFERROR(INDEX(Lines!$A:$AA,ROW()-2,$K$1),""))</f>
        <v/>
      </c>
      <c r="M524">
        <f>IF($K$2="","",IFERROR(INDEX(Lines!$A:$AA,ROW()-2,$K$2),""))</f>
        <v/>
      </c>
      <c r="N524">
        <f>IF(AND(L524&lt;&gt;"",LEFT(L524,1)="N",M524&lt;&gt;"PICKING",M524&lt;&gt;""),1,0)</f>
        <v/>
      </c>
      <c r="O524">
        <f>IF(N524=1,M524&amp;"|"&amp;L524,REPT("z",40))</f>
        <v/>
      </c>
      <c r="P524">
        <f>IF(N524=1,COUNTIF($O$4:$O$2003,"&lt;"&amp;O524)+1,"")</f>
        <v/>
      </c>
      <c r="Q524">
        <f>IF(OR($R523="",$R523="T"),"",IF($R523="B",$Q523,IF($Q523+1&gt;$K$3,"",$Q523+1)))</f>
        <v/>
      </c>
      <c r="R524">
        <f>IF(OR($R523="",$R523="T"),"",IF($R523="B","S",IF($Q523+1&gt;$K$3,"T",IF(INDEX($M$4:$M$2003,MATCH($Q523+1,$P$4:$P$2003,0))&lt;&gt;INDEX($M$4:$M$2003,MATCH($Q523,$P$4:$P$2003,0)),"B","S"))))</f>
        <v/>
      </c>
      <c r="S524">
        <f>IF(Q524="","",IFERROR(MATCH(Q524,$P$4:$P$2003,0),""))</f>
        <v/>
      </c>
    </row>
    <row r="525">
      <c r="A525" s="4">
        <f>IF($R525="","",IF($R525="T","Gesamtergebnis",IF($R525="B",INDEX($M$4:$M$2003,$S525),INDEX($L$4:$L$2003,$S525))))</f>
        <v/>
      </c>
      <c r="B525" s="4">
        <f>IF($R525="","",IF($R525="T",$K$3,IF($R525="B",COUNTIFS($M$4:$M$2003,INDEX($M$4:$M$2003,$S525),$N$4:$N$2003,1),1)))</f>
        <v/>
      </c>
      <c r="L525">
        <f>IF($K$1="","",IFERROR(INDEX(Lines!$A:$AA,ROW()-2,$K$1),""))</f>
        <v/>
      </c>
      <c r="M525">
        <f>IF($K$2="","",IFERROR(INDEX(Lines!$A:$AA,ROW()-2,$K$2),""))</f>
        <v/>
      </c>
      <c r="N525">
        <f>IF(AND(L525&lt;&gt;"",LEFT(L525,1)="N",M525&lt;&gt;"PICKING",M525&lt;&gt;""),1,0)</f>
        <v/>
      </c>
      <c r="O525">
        <f>IF(N525=1,M525&amp;"|"&amp;L525,REPT("z",40))</f>
        <v/>
      </c>
      <c r="P525">
        <f>IF(N525=1,COUNTIF($O$4:$O$2003,"&lt;"&amp;O525)+1,"")</f>
        <v/>
      </c>
      <c r="Q525">
        <f>IF(OR($R524="",$R524="T"),"",IF($R524="B",$Q524,IF($Q524+1&gt;$K$3,"",$Q524+1)))</f>
        <v/>
      </c>
      <c r="R525">
        <f>IF(OR($R524="",$R524="T"),"",IF($R524="B","S",IF($Q524+1&gt;$K$3,"T",IF(INDEX($M$4:$M$2003,MATCH($Q524+1,$P$4:$P$2003,0))&lt;&gt;INDEX($M$4:$M$2003,MATCH($Q524,$P$4:$P$2003,0)),"B","S"))))</f>
        <v/>
      </c>
      <c r="S525">
        <f>IF(Q525="","",IFERROR(MATCH(Q525,$P$4:$P$2003,0),""))</f>
        <v/>
      </c>
    </row>
    <row r="526">
      <c r="A526" s="4">
        <f>IF($R526="","",IF($R526="T","Gesamtergebnis",IF($R526="B",INDEX($M$4:$M$2003,$S526),INDEX($L$4:$L$2003,$S526))))</f>
        <v/>
      </c>
      <c r="B526" s="4">
        <f>IF($R526="","",IF($R526="T",$K$3,IF($R526="B",COUNTIFS($M$4:$M$2003,INDEX($M$4:$M$2003,$S526),$N$4:$N$2003,1),1)))</f>
        <v/>
      </c>
      <c r="L526">
        <f>IF($K$1="","",IFERROR(INDEX(Lines!$A:$AA,ROW()-2,$K$1),""))</f>
        <v/>
      </c>
      <c r="M526">
        <f>IF($K$2="","",IFERROR(INDEX(Lines!$A:$AA,ROW()-2,$K$2),""))</f>
        <v/>
      </c>
      <c r="N526">
        <f>IF(AND(L526&lt;&gt;"",LEFT(L526,1)="N",M526&lt;&gt;"PICKING",M526&lt;&gt;""),1,0)</f>
        <v/>
      </c>
      <c r="O526">
        <f>IF(N526=1,M526&amp;"|"&amp;L526,REPT("z",40))</f>
        <v/>
      </c>
      <c r="P526">
        <f>IF(N526=1,COUNTIF($O$4:$O$2003,"&lt;"&amp;O526)+1,"")</f>
        <v/>
      </c>
      <c r="Q526">
        <f>IF(OR($R525="",$R525="T"),"",IF($R525="B",$Q525,IF($Q525+1&gt;$K$3,"",$Q525+1)))</f>
        <v/>
      </c>
      <c r="R526">
        <f>IF(OR($R525="",$R525="T"),"",IF($R525="B","S",IF($Q525+1&gt;$K$3,"T",IF(INDEX($M$4:$M$2003,MATCH($Q525+1,$P$4:$P$2003,0))&lt;&gt;INDEX($M$4:$M$2003,MATCH($Q525,$P$4:$P$2003,0)),"B","S"))))</f>
        <v/>
      </c>
      <c r="S526">
        <f>IF(Q526="","",IFERROR(MATCH(Q526,$P$4:$P$2003,0),""))</f>
        <v/>
      </c>
    </row>
    <row r="527">
      <c r="A527" s="4">
        <f>IF($R527="","",IF($R527="T","Gesamtergebnis",IF($R527="B",INDEX($M$4:$M$2003,$S527),INDEX($L$4:$L$2003,$S527))))</f>
        <v/>
      </c>
      <c r="B527" s="4">
        <f>IF($R527="","",IF($R527="T",$K$3,IF($R527="B",COUNTIFS($M$4:$M$2003,INDEX($M$4:$M$2003,$S527),$N$4:$N$2003,1),1)))</f>
        <v/>
      </c>
      <c r="L527">
        <f>IF($K$1="","",IFERROR(INDEX(Lines!$A:$AA,ROW()-2,$K$1),""))</f>
        <v/>
      </c>
      <c r="M527">
        <f>IF($K$2="","",IFERROR(INDEX(Lines!$A:$AA,ROW()-2,$K$2),""))</f>
        <v/>
      </c>
      <c r="N527">
        <f>IF(AND(L527&lt;&gt;"",LEFT(L527,1)="N",M527&lt;&gt;"PICKING",M527&lt;&gt;""),1,0)</f>
        <v/>
      </c>
      <c r="O527">
        <f>IF(N527=1,M527&amp;"|"&amp;L527,REPT("z",40))</f>
        <v/>
      </c>
      <c r="P527">
        <f>IF(N527=1,COUNTIF($O$4:$O$2003,"&lt;"&amp;O527)+1,"")</f>
        <v/>
      </c>
      <c r="Q527">
        <f>IF(OR($R526="",$R526="T"),"",IF($R526="B",$Q526,IF($Q526+1&gt;$K$3,"",$Q526+1)))</f>
        <v/>
      </c>
      <c r="R527">
        <f>IF(OR($R526="",$R526="T"),"",IF($R526="B","S",IF($Q526+1&gt;$K$3,"T",IF(INDEX($M$4:$M$2003,MATCH($Q526+1,$P$4:$P$2003,0))&lt;&gt;INDEX($M$4:$M$2003,MATCH($Q526,$P$4:$P$2003,0)),"B","S"))))</f>
        <v/>
      </c>
      <c r="S527">
        <f>IF(Q527="","",IFERROR(MATCH(Q527,$P$4:$P$2003,0),""))</f>
        <v/>
      </c>
    </row>
    <row r="528">
      <c r="A528" s="4">
        <f>IF($R528="","",IF($R528="T","Gesamtergebnis",IF($R528="B",INDEX($M$4:$M$2003,$S528),INDEX($L$4:$L$2003,$S528))))</f>
        <v/>
      </c>
      <c r="B528" s="4">
        <f>IF($R528="","",IF($R528="T",$K$3,IF($R528="B",COUNTIFS($M$4:$M$2003,INDEX($M$4:$M$2003,$S528),$N$4:$N$2003,1),1)))</f>
        <v/>
      </c>
      <c r="L528">
        <f>IF($K$1="","",IFERROR(INDEX(Lines!$A:$AA,ROW()-2,$K$1),""))</f>
        <v/>
      </c>
      <c r="M528">
        <f>IF($K$2="","",IFERROR(INDEX(Lines!$A:$AA,ROW()-2,$K$2),""))</f>
        <v/>
      </c>
      <c r="N528">
        <f>IF(AND(L528&lt;&gt;"",LEFT(L528,1)="N",M528&lt;&gt;"PICKING",M528&lt;&gt;""),1,0)</f>
        <v/>
      </c>
      <c r="O528">
        <f>IF(N528=1,M528&amp;"|"&amp;L528,REPT("z",40))</f>
        <v/>
      </c>
      <c r="P528">
        <f>IF(N528=1,COUNTIF($O$4:$O$2003,"&lt;"&amp;O528)+1,"")</f>
        <v/>
      </c>
      <c r="Q528">
        <f>IF(OR($R527="",$R527="T"),"",IF($R527="B",$Q527,IF($Q527+1&gt;$K$3,"",$Q527+1)))</f>
        <v/>
      </c>
      <c r="R528">
        <f>IF(OR($R527="",$R527="T"),"",IF($R527="B","S",IF($Q527+1&gt;$K$3,"T",IF(INDEX($M$4:$M$2003,MATCH($Q527+1,$P$4:$P$2003,0))&lt;&gt;INDEX($M$4:$M$2003,MATCH($Q527,$P$4:$P$2003,0)),"B","S"))))</f>
        <v/>
      </c>
      <c r="S528">
        <f>IF(Q528="","",IFERROR(MATCH(Q528,$P$4:$P$2003,0),""))</f>
        <v/>
      </c>
    </row>
    <row r="529">
      <c r="A529" s="4">
        <f>IF($R529="","",IF($R529="T","Gesamtergebnis",IF($R529="B",INDEX($M$4:$M$2003,$S529),INDEX($L$4:$L$2003,$S529))))</f>
        <v/>
      </c>
      <c r="B529" s="4">
        <f>IF($R529="","",IF($R529="T",$K$3,IF($R529="B",COUNTIFS($M$4:$M$2003,INDEX($M$4:$M$2003,$S529),$N$4:$N$2003,1),1)))</f>
        <v/>
      </c>
      <c r="L529">
        <f>IF($K$1="","",IFERROR(INDEX(Lines!$A:$AA,ROW()-2,$K$1),""))</f>
        <v/>
      </c>
      <c r="M529">
        <f>IF($K$2="","",IFERROR(INDEX(Lines!$A:$AA,ROW()-2,$K$2),""))</f>
        <v/>
      </c>
      <c r="N529">
        <f>IF(AND(L529&lt;&gt;"",LEFT(L529,1)="N",M529&lt;&gt;"PICKING",M529&lt;&gt;""),1,0)</f>
        <v/>
      </c>
      <c r="O529">
        <f>IF(N529=1,M529&amp;"|"&amp;L529,REPT("z",40))</f>
        <v/>
      </c>
      <c r="P529">
        <f>IF(N529=1,COUNTIF($O$4:$O$2003,"&lt;"&amp;O529)+1,"")</f>
        <v/>
      </c>
      <c r="Q529">
        <f>IF(OR($R528="",$R528="T"),"",IF($R528="B",$Q528,IF($Q528+1&gt;$K$3,"",$Q528+1)))</f>
        <v/>
      </c>
      <c r="R529">
        <f>IF(OR($R528="",$R528="T"),"",IF($R528="B","S",IF($Q528+1&gt;$K$3,"T",IF(INDEX($M$4:$M$2003,MATCH($Q528+1,$P$4:$P$2003,0))&lt;&gt;INDEX($M$4:$M$2003,MATCH($Q528,$P$4:$P$2003,0)),"B","S"))))</f>
        <v/>
      </c>
      <c r="S529">
        <f>IF(Q529="","",IFERROR(MATCH(Q529,$P$4:$P$2003,0),""))</f>
        <v/>
      </c>
    </row>
    <row r="530">
      <c r="A530" s="4">
        <f>IF($R530="","",IF($R530="T","Gesamtergebnis",IF($R530="B",INDEX($M$4:$M$2003,$S530),INDEX($L$4:$L$2003,$S530))))</f>
        <v/>
      </c>
      <c r="B530" s="4">
        <f>IF($R530="","",IF($R530="T",$K$3,IF($R530="B",COUNTIFS($M$4:$M$2003,INDEX($M$4:$M$2003,$S530),$N$4:$N$2003,1),1)))</f>
        <v/>
      </c>
      <c r="L530">
        <f>IF($K$1="","",IFERROR(INDEX(Lines!$A:$AA,ROW()-2,$K$1),""))</f>
        <v/>
      </c>
      <c r="M530">
        <f>IF($K$2="","",IFERROR(INDEX(Lines!$A:$AA,ROW()-2,$K$2),""))</f>
        <v/>
      </c>
      <c r="N530">
        <f>IF(AND(L530&lt;&gt;"",LEFT(L530,1)="N",M530&lt;&gt;"PICKING",M530&lt;&gt;""),1,0)</f>
        <v/>
      </c>
      <c r="O530">
        <f>IF(N530=1,M530&amp;"|"&amp;L530,REPT("z",40))</f>
        <v/>
      </c>
      <c r="P530">
        <f>IF(N530=1,COUNTIF($O$4:$O$2003,"&lt;"&amp;O530)+1,"")</f>
        <v/>
      </c>
      <c r="Q530">
        <f>IF(OR($R529="",$R529="T"),"",IF($R529="B",$Q529,IF($Q529+1&gt;$K$3,"",$Q529+1)))</f>
        <v/>
      </c>
      <c r="R530">
        <f>IF(OR($R529="",$R529="T"),"",IF($R529="B","S",IF($Q529+1&gt;$K$3,"T",IF(INDEX($M$4:$M$2003,MATCH($Q529+1,$P$4:$P$2003,0))&lt;&gt;INDEX($M$4:$M$2003,MATCH($Q529,$P$4:$P$2003,0)),"B","S"))))</f>
        <v/>
      </c>
      <c r="S530">
        <f>IF(Q530="","",IFERROR(MATCH(Q530,$P$4:$P$2003,0),""))</f>
        <v/>
      </c>
    </row>
    <row r="531">
      <c r="A531" s="4">
        <f>IF($R531="","",IF($R531="T","Gesamtergebnis",IF($R531="B",INDEX($M$4:$M$2003,$S531),INDEX($L$4:$L$2003,$S531))))</f>
        <v/>
      </c>
      <c r="B531" s="4">
        <f>IF($R531="","",IF($R531="T",$K$3,IF($R531="B",COUNTIFS($M$4:$M$2003,INDEX($M$4:$M$2003,$S531),$N$4:$N$2003,1),1)))</f>
        <v/>
      </c>
      <c r="L531">
        <f>IF($K$1="","",IFERROR(INDEX(Lines!$A:$AA,ROW()-2,$K$1),""))</f>
        <v/>
      </c>
      <c r="M531">
        <f>IF($K$2="","",IFERROR(INDEX(Lines!$A:$AA,ROW()-2,$K$2),""))</f>
        <v/>
      </c>
      <c r="N531">
        <f>IF(AND(L531&lt;&gt;"",LEFT(L531,1)="N",M531&lt;&gt;"PICKING",M531&lt;&gt;""),1,0)</f>
        <v/>
      </c>
      <c r="O531">
        <f>IF(N531=1,M531&amp;"|"&amp;L531,REPT("z",40))</f>
        <v/>
      </c>
      <c r="P531">
        <f>IF(N531=1,COUNTIF($O$4:$O$2003,"&lt;"&amp;O531)+1,"")</f>
        <v/>
      </c>
      <c r="Q531">
        <f>IF(OR($R530="",$R530="T"),"",IF($R530="B",$Q530,IF($Q530+1&gt;$K$3,"",$Q530+1)))</f>
        <v/>
      </c>
      <c r="R531">
        <f>IF(OR($R530="",$R530="T"),"",IF($R530="B","S",IF($Q530+1&gt;$K$3,"T",IF(INDEX($M$4:$M$2003,MATCH($Q530+1,$P$4:$P$2003,0))&lt;&gt;INDEX($M$4:$M$2003,MATCH($Q530,$P$4:$P$2003,0)),"B","S"))))</f>
        <v/>
      </c>
      <c r="S531">
        <f>IF(Q531="","",IFERROR(MATCH(Q531,$P$4:$P$2003,0),""))</f>
        <v/>
      </c>
    </row>
    <row r="532">
      <c r="A532" s="4">
        <f>IF($R532="","",IF($R532="T","Gesamtergebnis",IF($R532="B",INDEX($M$4:$M$2003,$S532),INDEX($L$4:$L$2003,$S532))))</f>
        <v/>
      </c>
      <c r="B532" s="4">
        <f>IF($R532="","",IF($R532="T",$K$3,IF($R532="B",COUNTIFS($M$4:$M$2003,INDEX($M$4:$M$2003,$S532),$N$4:$N$2003,1),1)))</f>
        <v/>
      </c>
      <c r="L532">
        <f>IF($K$1="","",IFERROR(INDEX(Lines!$A:$AA,ROW()-2,$K$1),""))</f>
        <v/>
      </c>
      <c r="M532">
        <f>IF($K$2="","",IFERROR(INDEX(Lines!$A:$AA,ROW()-2,$K$2),""))</f>
        <v/>
      </c>
      <c r="N532">
        <f>IF(AND(L532&lt;&gt;"",LEFT(L532,1)="N",M532&lt;&gt;"PICKING",M532&lt;&gt;""),1,0)</f>
        <v/>
      </c>
      <c r="O532">
        <f>IF(N532=1,M532&amp;"|"&amp;L532,REPT("z",40))</f>
        <v/>
      </c>
      <c r="P532">
        <f>IF(N532=1,COUNTIF($O$4:$O$2003,"&lt;"&amp;O532)+1,"")</f>
        <v/>
      </c>
      <c r="Q532">
        <f>IF(OR($R531="",$R531="T"),"",IF($R531="B",$Q531,IF($Q531+1&gt;$K$3,"",$Q531+1)))</f>
        <v/>
      </c>
      <c r="R532">
        <f>IF(OR($R531="",$R531="T"),"",IF($R531="B","S",IF($Q531+1&gt;$K$3,"T",IF(INDEX($M$4:$M$2003,MATCH($Q531+1,$P$4:$P$2003,0))&lt;&gt;INDEX($M$4:$M$2003,MATCH($Q531,$P$4:$P$2003,0)),"B","S"))))</f>
        <v/>
      </c>
      <c r="S532">
        <f>IF(Q532="","",IFERROR(MATCH(Q532,$P$4:$P$2003,0),""))</f>
        <v/>
      </c>
    </row>
    <row r="533">
      <c r="A533" s="4">
        <f>IF($R533="","",IF($R533="T","Gesamtergebnis",IF($R533="B",INDEX($M$4:$M$2003,$S533),INDEX($L$4:$L$2003,$S533))))</f>
        <v/>
      </c>
      <c r="B533" s="4">
        <f>IF($R533="","",IF($R533="T",$K$3,IF($R533="B",COUNTIFS($M$4:$M$2003,INDEX($M$4:$M$2003,$S533),$N$4:$N$2003,1),1)))</f>
        <v/>
      </c>
      <c r="L533">
        <f>IF($K$1="","",IFERROR(INDEX(Lines!$A:$AA,ROW()-2,$K$1),""))</f>
        <v/>
      </c>
      <c r="M533">
        <f>IF($K$2="","",IFERROR(INDEX(Lines!$A:$AA,ROW()-2,$K$2),""))</f>
        <v/>
      </c>
      <c r="N533">
        <f>IF(AND(L533&lt;&gt;"",LEFT(L533,1)="N",M533&lt;&gt;"PICKING",M533&lt;&gt;""),1,0)</f>
        <v/>
      </c>
      <c r="O533">
        <f>IF(N533=1,M533&amp;"|"&amp;L533,REPT("z",40))</f>
        <v/>
      </c>
      <c r="P533">
        <f>IF(N533=1,COUNTIF($O$4:$O$2003,"&lt;"&amp;O533)+1,"")</f>
        <v/>
      </c>
      <c r="Q533">
        <f>IF(OR($R532="",$R532="T"),"",IF($R532="B",$Q532,IF($Q532+1&gt;$K$3,"",$Q532+1)))</f>
        <v/>
      </c>
      <c r="R533">
        <f>IF(OR($R532="",$R532="T"),"",IF($R532="B","S",IF($Q532+1&gt;$K$3,"T",IF(INDEX($M$4:$M$2003,MATCH($Q532+1,$P$4:$P$2003,0))&lt;&gt;INDEX($M$4:$M$2003,MATCH($Q532,$P$4:$P$2003,0)),"B","S"))))</f>
        <v/>
      </c>
      <c r="S533">
        <f>IF(Q533="","",IFERROR(MATCH(Q533,$P$4:$P$2003,0),""))</f>
        <v/>
      </c>
    </row>
    <row r="534">
      <c r="A534" s="4">
        <f>IF($R534="","",IF($R534="T","Gesamtergebnis",IF($R534="B",INDEX($M$4:$M$2003,$S534),INDEX($L$4:$L$2003,$S534))))</f>
        <v/>
      </c>
      <c r="B534" s="4">
        <f>IF($R534="","",IF($R534="T",$K$3,IF($R534="B",COUNTIFS($M$4:$M$2003,INDEX($M$4:$M$2003,$S534),$N$4:$N$2003,1),1)))</f>
        <v/>
      </c>
      <c r="L534">
        <f>IF($K$1="","",IFERROR(INDEX(Lines!$A:$AA,ROW()-2,$K$1),""))</f>
        <v/>
      </c>
      <c r="M534">
        <f>IF($K$2="","",IFERROR(INDEX(Lines!$A:$AA,ROW()-2,$K$2),""))</f>
        <v/>
      </c>
      <c r="N534">
        <f>IF(AND(L534&lt;&gt;"",LEFT(L534,1)="N",M534&lt;&gt;"PICKING",M534&lt;&gt;""),1,0)</f>
        <v/>
      </c>
      <c r="O534">
        <f>IF(N534=1,M534&amp;"|"&amp;L534,REPT("z",40))</f>
        <v/>
      </c>
      <c r="P534">
        <f>IF(N534=1,COUNTIF($O$4:$O$2003,"&lt;"&amp;O534)+1,"")</f>
        <v/>
      </c>
      <c r="Q534">
        <f>IF(OR($R533="",$R533="T"),"",IF($R533="B",$Q533,IF($Q533+1&gt;$K$3,"",$Q533+1)))</f>
        <v/>
      </c>
      <c r="R534">
        <f>IF(OR($R533="",$R533="T"),"",IF($R533="B","S",IF($Q533+1&gt;$K$3,"T",IF(INDEX($M$4:$M$2003,MATCH($Q533+1,$P$4:$P$2003,0))&lt;&gt;INDEX($M$4:$M$2003,MATCH($Q533,$P$4:$P$2003,0)),"B","S"))))</f>
        <v/>
      </c>
      <c r="S534">
        <f>IF(Q534="","",IFERROR(MATCH(Q534,$P$4:$P$2003,0),""))</f>
        <v/>
      </c>
    </row>
    <row r="535">
      <c r="A535" s="4">
        <f>IF($R535="","",IF($R535="T","Gesamtergebnis",IF($R535="B",INDEX($M$4:$M$2003,$S535),INDEX($L$4:$L$2003,$S535))))</f>
        <v/>
      </c>
      <c r="B535" s="4">
        <f>IF($R535="","",IF($R535="T",$K$3,IF($R535="B",COUNTIFS($M$4:$M$2003,INDEX($M$4:$M$2003,$S535),$N$4:$N$2003,1),1)))</f>
        <v/>
      </c>
      <c r="L535">
        <f>IF($K$1="","",IFERROR(INDEX(Lines!$A:$AA,ROW()-2,$K$1),""))</f>
        <v/>
      </c>
      <c r="M535">
        <f>IF($K$2="","",IFERROR(INDEX(Lines!$A:$AA,ROW()-2,$K$2),""))</f>
        <v/>
      </c>
      <c r="N535">
        <f>IF(AND(L535&lt;&gt;"",LEFT(L535,1)="N",M535&lt;&gt;"PICKING",M535&lt;&gt;""),1,0)</f>
        <v/>
      </c>
      <c r="O535">
        <f>IF(N535=1,M535&amp;"|"&amp;L535,REPT("z",40))</f>
        <v/>
      </c>
      <c r="P535">
        <f>IF(N535=1,COUNTIF($O$4:$O$2003,"&lt;"&amp;O535)+1,"")</f>
        <v/>
      </c>
      <c r="Q535">
        <f>IF(OR($R534="",$R534="T"),"",IF($R534="B",$Q534,IF($Q534+1&gt;$K$3,"",$Q534+1)))</f>
        <v/>
      </c>
      <c r="R535">
        <f>IF(OR($R534="",$R534="T"),"",IF($R534="B","S",IF($Q534+1&gt;$K$3,"T",IF(INDEX($M$4:$M$2003,MATCH($Q534+1,$P$4:$P$2003,0))&lt;&gt;INDEX($M$4:$M$2003,MATCH($Q534,$P$4:$P$2003,0)),"B","S"))))</f>
        <v/>
      </c>
      <c r="S535">
        <f>IF(Q535="","",IFERROR(MATCH(Q535,$P$4:$P$2003,0),""))</f>
        <v/>
      </c>
    </row>
    <row r="536">
      <c r="A536" s="4">
        <f>IF($R536="","",IF($R536="T","Gesamtergebnis",IF($R536="B",INDEX($M$4:$M$2003,$S536),INDEX($L$4:$L$2003,$S536))))</f>
        <v/>
      </c>
      <c r="B536" s="4">
        <f>IF($R536="","",IF($R536="T",$K$3,IF($R536="B",COUNTIFS($M$4:$M$2003,INDEX($M$4:$M$2003,$S536),$N$4:$N$2003,1),1)))</f>
        <v/>
      </c>
      <c r="L536">
        <f>IF($K$1="","",IFERROR(INDEX(Lines!$A:$AA,ROW()-2,$K$1),""))</f>
        <v/>
      </c>
      <c r="M536">
        <f>IF($K$2="","",IFERROR(INDEX(Lines!$A:$AA,ROW()-2,$K$2),""))</f>
        <v/>
      </c>
      <c r="N536">
        <f>IF(AND(L536&lt;&gt;"",LEFT(L536,1)="N",M536&lt;&gt;"PICKING",M536&lt;&gt;""),1,0)</f>
        <v/>
      </c>
      <c r="O536">
        <f>IF(N536=1,M536&amp;"|"&amp;L536,REPT("z",40))</f>
        <v/>
      </c>
      <c r="P536">
        <f>IF(N536=1,COUNTIF($O$4:$O$2003,"&lt;"&amp;O536)+1,"")</f>
        <v/>
      </c>
      <c r="Q536">
        <f>IF(OR($R535="",$R535="T"),"",IF($R535="B",$Q535,IF($Q535+1&gt;$K$3,"",$Q535+1)))</f>
        <v/>
      </c>
      <c r="R536">
        <f>IF(OR($R535="",$R535="T"),"",IF($R535="B","S",IF($Q535+1&gt;$K$3,"T",IF(INDEX($M$4:$M$2003,MATCH($Q535+1,$P$4:$P$2003,0))&lt;&gt;INDEX($M$4:$M$2003,MATCH($Q535,$P$4:$P$2003,0)),"B","S"))))</f>
        <v/>
      </c>
      <c r="S536">
        <f>IF(Q536="","",IFERROR(MATCH(Q536,$P$4:$P$2003,0),""))</f>
        <v/>
      </c>
    </row>
    <row r="537">
      <c r="A537" s="4">
        <f>IF($R537="","",IF($R537="T","Gesamtergebnis",IF($R537="B",INDEX($M$4:$M$2003,$S537),INDEX($L$4:$L$2003,$S537))))</f>
        <v/>
      </c>
      <c r="B537" s="4">
        <f>IF($R537="","",IF($R537="T",$K$3,IF($R537="B",COUNTIFS($M$4:$M$2003,INDEX($M$4:$M$2003,$S537),$N$4:$N$2003,1),1)))</f>
        <v/>
      </c>
      <c r="L537">
        <f>IF($K$1="","",IFERROR(INDEX(Lines!$A:$AA,ROW()-2,$K$1),""))</f>
        <v/>
      </c>
      <c r="M537">
        <f>IF($K$2="","",IFERROR(INDEX(Lines!$A:$AA,ROW()-2,$K$2),""))</f>
        <v/>
      </c>
      <c r="N537">
        <f>IF(AND(L537&lt;&gt;"",LEFT(L537,1)="N",M537&lt;&gt;"PICKING",M537&lt;&gt;""),1,0)</f>
        <v/>
      </c>
      <c r="O537">
        <f>IF(N537=1,M537&amp;"|"&amp;L537,REPT("z",40))</f>
        <v/>
      </c>
      <c r="P537">
        <f>IF(N537=1,COUNTIF($O$4:$O$2003,"&lt;"&amp;O537)+1,"")</f>
        <v/>
      </c>
      <c r="Q537">
        <f>IF(OR($R536="",$R536="T"),"",IF($R536="B",$Q536,IF($Q536+1&gt;$K$3,"",$Q536+1)))</f>
        <v/>
      </c>
      <c r="R537">
        <f>IF(OR($R536="",$R536="T"),"",IF($R536="B","S",IF($Q536+1&gt;$K$3,"T",IF(INDEX($M$4:$M$2003,MATCH($Q536+1,$P$4:$P$2003,0))&lt;&gt;INDEX($M$4:$M$2003,MATCH($Q536,$P$4:$P$2003,0)),"B","S"))))</f>
        <v/>
      </c>
      <c r="S537">
        <f>IF(Q537="","",IFERROR(MATCH(Q537,$P$4:$P$2003,0),""))</f>
        <v/>
      </c>
    </row>
    <row r="538">
      <c r="A538" s="4">
        <f>IF($R538="","",IF($R538="T","Gesamtergebnis",IF($R538="B",INDEX($M$4:$M$2003,$S538),INDEX($L$4:$L$2003,$S538))))</f>
        <v/>
      </c>
      <c r="B538" s="4">
        <f>IF($R538="","",IF($R538="T",$K$3,IF($R538="B",COUNTIFS($M$4:$M$2003,INDEX($M$4:$M$2003,$S538),$N$4:$N$2003,1),1)))</f>
        <v/>
      </c>
      <c r="L538">
        <f>IF($K$1="","",IFERROR(INDEX(Lines!$A:$AA,ROW()-2,$K$1),""))</f>
        <v/>
      </c>
      <c r="M538">
        <f>IF($K$2="","",IFERROR(INDEX(Lines!$A:$AA,ROW()-2,$K$2),""))</f>
        <v/>
      </c>
      <c r="N538">
        <f>IF(AND(L538&lt;&gt;"",LEFT(L538,1)="N",M538&lt;&gt;"PICKING",M538&lt;&gt;""),1,0)</f>
        <v/>
      </c>
      <c r="O538">
        <f>IF(N538=1,M538&amp;"|"&amp;L538,REPT("z",40))</f>
        <v/>
      </c>
      <c r="P538">
        <f>IF(N538=1,COUNTIF($O$4:$O$2003,"&lt;"&amp;O538)+1,"")</f>
        <v/>
      </c>
      <c r="Q538">
        <f>IF(OR($R537="",$R537="T"),"",IF($R537="B",$Q537,IF($Q537+1&gt;$K$3,"",$Q537+1)))</f>
        <v/>
      </c>
      <c r="R538">
        <f>IF(OR($R537="",$R537="T"),"",IF($R537="B","S",IF($Q537+1&gt;$K$3,"T",IF(INDEX($M$4:$M$2003,MATCH($Q537+1,$P$4:$P$2003,0))&lt;&gt;INDEX($M$4:$M$2003,MATCH($Q537,$P$4:$P$2003,0)),"B","S"))))</f>
        <v/>
      </c>
      <c r="S538">
        <f>IF(Q538="","",IFERROR(MATCH(Q538,$P$4:$P$2003,0),""))</f>
        <v/>
      </c>
    </row>
    <row r="539">
      <c r="A539" s="4">
        <f>IF($R539="","",IF($R539="T","Gesamtergebnis",IF($R539="B",INDEX($M$4:$M$2003,$S539),INDEX($L$4:$L$2003,$S539))))</f>
        <v/>
      </c>
      <c r="B539" s="4">
        <f>IF($R539="","",IF($R539="T",$K$3,IF($R539="B",COUNTIFS($M$4:$M$2003,INDEX($M$4:$M$2003,$S539),$N$4:$N$2003,1),1)))</f>
        <v/>
      </c>
      <c r="L539">
        <f>IF($K$1="","",IFERROR(INDEX(Lines!$A:$AA,ROW()-2,$K$1),""))</f>
        <v/>
      </c>
      <c r="M539">
        <f>IF($K$2="","",IFERROR(INDEX(Lines!$A:$AA,ROW()-2,$K$2),""))</f>
        <v/>
      </c>
      <c r="N539">
        <f>IF(AND(L539&lt;&gt;"",LEFT(L539,1)="N",M539&lt;&gt;"PICKING",M539&lt;&gt;""),1,0)</f>
        <v/>
      </c>
      <c r="O539">
        <f>IF(N539=1,M539&amp;"|"&amp;L539,REPT("z",40))</f>
        <v/>
      </c>
      <c r="P539">
        <f>IF(N539=1,COUNTIF($O$4:$O$2003,"&lt;"&amp;O539)+1,"")</f>
        <v/>
      </c>
      <c r="Q539">
        <f>IF(OR($R538="",$R538="T"),"",IF($R538="B",$Q538,IF($Q538+1&gt;$K$3,"",$Q538+1)))</f>
        <v/>
      </c>
      <c r="R539">
        <f>IF(OR($R538="",$R538="T"),"",IF($R538="B","S",IF($Q538+1&gt;$K$3,"T",IF(INDEX($M$4:$M$2003,MATCH($Q538+1,$P$4:$P$2003,0))&lt;&gt;INDEX($M$4:$M$2003,MATCH($Q538,$P$4:$P$2003,0)),"B","S"))))</f>
        <v/>
      </c>
      <c r="S539">
        <f>IF(Q539="","",IFERROR(MATCH(Q539,$P$4:$P$2003,0),""))</f>
        <v/>
      </c>
    </row>
    <row r="540">
      <c r="A540" s="4">
        <f>IF($R540="","",IF($R540="T","Gesamtergebnis",IF($R540="B",INDEX($M$4:$M$2003,$S540),INDEX($L$4:$L$2003,$S540))))</f>
        <v/>
      </c>
      <c r="B540" s="4">
        <f>IF($R540="","",IF($R540="T",$K$3,IF($R540="B",COUNTIFS($M$4:$M$2003,INDEX($M$4:$M$2003,$S540),$N$4:$N$2003,1),1)))</f>
        <v/>
      </c>
      <c r="L540">
        <f>IF($K$1="","",IFERROR(INDEX(Lines!$A:$AA,ROW()-2,$K$1),""))</f>
        <v/>
      </c>
      <c r="M540">
        <f>IF($K$2="","",IFERROR(INDEX(Lines!$A:$AA,ROW()-2,$K$2),""))</f>
        <v/>
      </c>
      <c r="N540">
        <f>IF(AND(L540&lt;&gt;"",LEFT(L540,1)="N",M540&lt;&gt;"PICKING",M540&lt;&gt;""),1,0)</f>
        <v/>
      </c>
      <c r="O540">
        <f>IF(N540=1,M540&amp;"|"&amp;L540,REPT("z",40))</f>
        <v/>
      </c>
      <c r="P540">
        <f>IF(N540=1,COUNTIF($O$4:$O$2003,"&lt;"&amp;O540)+1,"")</f>
        <v/>
      </c>
      <c r="Q540">
        <f>IF(OR($R539="",$R539="T"),"",IF($R539="B",$Q539,IF($Q539+1&gt;$K$3,"",$Q539+1)))</f>
        <v/>
      </c>
      <c r="R540">
        <f>IF(OR($R539="",$R539="T"),"",IF($R539="B","S",IF($Q539+1&gt;$K$3,"T",IF(INDEX($M$4:$M$2003,MATCH($Q539+1,$P$4:$P$2003,0))&lt;&gt;INDEX($M$4:$M$2003,MATCH($Q539,$P$4:$P$2003,0)),"B","S"))))</f>
        <v/>
      </c>
      <c r="S540">
        <f>IF(Q540="","",IFERROR(MATCH(Q540,$P$4:$P$2003,0),""))</f>
        <v/>
      </c>
    </row>
    <row r="541">
      <c r="A541" s="4">
        <f>IF($R541="","",IF($R541="T","Gesamtergebnis",IF($R541="B",INDEX($M$4:$M$2003,$S541),INDEX($L$4:$L$2003,$S541))))</f>
        <v/>
      </c>
      <c r="B541" s="4">
        <f>IF($R541="","",IF($R541="T",$K$3,IF($R541="B",COUNTIFS($M$4:$M$2003,INDEX($M$4:$M$2003,$S541),$N$4:$N$2003,1),1)))</f>
        <v/>
      </c>
      <c r="L541">
        <f>IF($K$1="","",IFERROR(INDEX(Lines!$A:$AA,ROW()-2,$K$1),""))</f>
        <v/>
      </c>
      <c r="M541">
        <f>IF($K$2="","",IFERROR(INDEX(Lines!$A:$AA,ROW()-2,$K$2),""))</f>
        <v/>
      </c>
      <c r="N541">
        <f>IF(AND(L541&lt;&gt;"",LEFT(L541,1)="N",M541&lt;&gt;"PICKING",M541&lt;&gt;""),1,0)</f>
        <v/>
      </c>
      <c r="O541">
        <f>IF(N541=1,M541&amp;"|"&amp;L541,REPT("z",40))</f>
        <v/>
      </c>
      <c r="P541">
        <f>IF(N541=1,COUNTIF($O$4:$O$2003,"&lt;"&amp;O541)+1,"")</f>
        <v/>
      </c>
      <c r="Q541">
        <f>IF(OR($R540="",$R540="T"),"",IF($R540="B",$Q540,IF($Q540+1&gt;$K$3,"",$Q540+1)))</f>
        <v/>
      </c>
      <c r="R541">
        <f>IF(OR($R540="",$R540="T"),"",IF($R540="B","S",IF($Q540+1&gt;$K$3,"T",IF(INDEX($M$4:$M$2003,MATCH($Q540+1,$P$4:$P$2003,0))&lt;&gt;INDEX($M$4:$M$2003,MATCH($Q540,$P$4:$P$2003,0)),"B","S"))))</f>
        <v/>
      </c>
      <c r="S541">
        <f>IF(Q541="","",IFERROR(MATCH(Q541,$P$4:$P$2003,0),""))</f>
        <v/>
      </c>
    </row>
    <row r="542">
      <c r="A542" s="4">
        <f>IF($R542="","",IF($R542="T","Gesamtergebnis",IF($R542="B",INDEX($M$4:$M$2003,$S542),INDEX($L$4:$L$2003,$S542))))</f>
        <v/>
      </c>
      <c r="B542" s="4">
        <f>IF($R542="","",IF($R542="T",$K$3,IF($R542="B",COUNTIFS($M$4:$M$2003,INDEX($M$4:$M$2003,$S542),$N$4:$N$2003,1),1)))</f>
        <v/>
      </c>
      <c r="L542">
        <f>IF($K$1="","",IFERROR(INDEX(Lines!$A:$AA,ROW()-2,$K$1),""))</f>
        <v/>
      </c>
      <c r="M542">
        <f>IF($K$2="","",IFERROR(INDEX(Lines!$A:$AA,ROW()-2,$K$2),""))</f>
        <v/>
      </c>
      <c r="N542">
        <f>IF(AND(L542&lt;&gt;"",LEFT(L542,1)="N",M542&lt;&gt;"PICKING",M542&lt;&gt;""),1,0)</f>
        <v/>
      </c>
      <c r="O542">
        <f>IF(N542=1,M542&amp;"|"&amp;L542,REPT("z",40))</f>
        <v/>
      </c>
      <c r="P542">
        <f>IF(N542=1,COUNTIF($O$4:$O$2003,"&lt;"&amp;O542)+1,"")</f>
        <v/>
      </c>
      <c r="Q542">
        <f>IF(OR($R541="",$R541="T"),"",IF($R541="B",$Q541,IF($Q541+1&gt;$K$3,"",$Q541+1)))</f>
        <v/>
      </c>
      <c r="R542">
        <f>IF(OR($R541="",$R541="T"),"",IF($R541="B","S",IF($Q541+1&gt;$K$3,"T",IF(INDEX($M$4:$M$2003,MATCH($Q541+1,$P$4:$P$2003,0))&lt;&gt;INDEX($M$4:$M$2003,MATCH($Q541,$P$4:$P$2003,0)),"B","S"))))</f>
        <v/>
      </c>
      <c r="S542">
        <f>IF(Q542="","",IFERROR(MATCH(Q542,$P$4:$P$2003,0),""))</f>
        <v/>
      </c>
    </row>
    <row r="543">
      <c r="A543" s="4">
        <f>IF($R543="","",IF($R543="T","Gesamtergebnis",IF($R543="B",INDEX($M$4:$M$2003,$S543),INDEX($L$4:$L$2003,$S543))))</f>
        <v/>
      </c>
      <c r="B543" s="4">
        <f>IF($R543="","",IF($R543="T",$K$3,IF($R543="B",COUNTIFS($M$4:$M$2003,INDEX($M$4:$M$2003,$S543),$N$4:$N$2003,1),1)))</f>
        <v/>
      </c>
      <c r="L543">
        <f>IF($K$1="","",IFERROR(INDEX(Lines!$A:$AA,ROW()-2,$K$1),""))</f>
        <v/>
      </c>
      <c r="M543">
        <f>IF($K$2="","",IFERROR(INDEX(Lines!$A:$AA,ROW()-2,$K$2),""))</f>
        <v/>
      </c>
      <c r="N543">
        <f>IF(AND(L543&lt;&gt;"",LEFT(L543,1)="N",M543&lt;&gt;"PICKING",M543&lt;&gt;""),1,0)</f>
        <v/>
      </c>
      <c r="O543">
        <f>IF(N543=1,M543&amp;"|"&amp;L543,REPT("z",40))</f>
        <v/>
      </c>
      <c r="P543">
        <f>IF(N543=1,COUNTIF($O$4:$O$2003,"&lt;"&amp;O543)+1,"")</f>
        <v/>
      </c>
      <c r="Q543">
        <f>IF(OR($R542="",$R542="T"),"",IF($R542="B",$Q542,IF($Q542+1&gt;$K$3,"",$Q542+1)))</f>
        <v/>
      </c>
      <c r="R543">
        <f>IF(OR($R542="",$R542="T"),"",IF($R542="B","S",IF($Q542+1&gt;$K$3,"T",IF(INDEX($M$4:$M$2003,MATCH($Q542+1,$P$4:$P$2003,0))&lt;&gt;INDEX($M$4:$M$2003,MATCH($Q542,$P$4:$P$2003,0)),"B","S"))))</f>
        <v/>
      </c>
      <c r="S543">
        <f>IF(Q543="","",IFERROR(MATCH(Q543,$P$4:$P$2003,0),""))</f>
        <v/>
      </c>
    </row>
    <row r="544">
      <c r="A544" s="4">
        <f>IF($R544="","",IF($R544="T","Gesamtergebnis",IF($R544="B",INDEX($M$4:$M$2003,$S544),INDEX($L$4:$L$2003,$S544))))</f>
        <v/>
      </c>
      <c r="B544" s="4">
        <f>IF($R544="","",IF($R544="T",$K$3,IF($R544="B",COUNTIFS($M$4:$M$2003,INDEX($M$4:$M$2003,$S544),$N$4:$N$2003,1),1)))</f>
        <v/>
      </c>
      <c r="L544">
        <f>IF($K$1="","",IFERROR(INDEX(Lines!$A:$AA,ROW()-2,$K$1),""))</f>
        <v/>
      </c>
      <c r="M544">
        <f>IF($K$2="","",IFERROR(INDEX(Lines!$A:$AA,ROW()-2,$K$2),""))</f>
        <v/>
      </c>
      <c r="N544">
        <f>IF(AND(L544&lt;&gt;"",LEFT(L544,1)="N",M544&lt;&gt;"PICKING",M544&lt;&gt;""),1,0)</f>
        <v/>
      </c>
      <c r="O544">
        <f>IF(N544=1,M544&amp;"|"&amp;L544,REPT("z",40))</f>
        <v/>
      </c>
      <c r="P544">
        <f>IF(N544=1,COUNTIF($O$4:$O$2003,"&lt;"&amp;O544)+1,"")</f>
        <v/>
      </c>
      <c r="Q544">
        <f>IF(OR($R543="",$R543="T"),"",IF($R543="B",$Q543,IF($Q543+1&gt;$K$3,"",$Q543+1)))</f>
        <v/>
      </c>
      <c r="R544">
        <f>IF(OR($R543="",$R543="T"),"",IF($R543="B","S",IF($Q543+1&gt;$K$3,"T",IF(INDEX($M$4:$M$2003,MATCH($Q543+1,$P$4:$P$2003,0))&lt;&gt;INDEX($M$4:$M$2003,MATCH($Q543,$P$4:$P$2003,0)),"B","S"))))</f>
        <v/>
      </c>
      <c r="S544">
        <f>IF(Q544="","",IFERROR(MATCH(Q544,$P$4:$P$2003,0),""))</f>
        <v/>
      </c>
    </row>
    <row r="545">
      <c r="A545" s="4">
        <f>IF($R545="","",IF($R545="T","Gesamtergebnis",IF($R545="B",INDEX($M$4:$M$2003,$S545),INDEX($L$4:$L$2003,$S545))))</f>
        <v/>
      </c>
      <c r="B545" s="4">
        <f>IF($R545="","",IF($R545="T",$K$3,IF($R545="B",COUNTIFS($M$4:$M$2003,INDEX($M$4:$M$2003,$S545),$N$4:$N$2003,1),1)))</f>
        <v/>
      </c>
      <c r="L545">
        <f>IF($K$1="","",IFERROR(INDEX(Lines!$A:$AA,ROW()-2,$K$1),""))</f>
        <v/>
      </c>
      <c r="M545">
        <f>IF($K$2="","",IFERROR(INDEX(Lines!$A:$AA,ROW()-2,$K$2),""))</f>
        <v/>
      </c>
      <c r="N545">
        <f>IF(AND(L545&lt;&gt;"",LEFT(L545,1)="N",M545&lt;&gt;"PICKING",M545&lt;&gt;""),1,0)</f>
        <v/>
      </c>
      <c r="O545">
        <f>IF(N545=1,M545&amp;"|"&amp;L545,REPT("z",40))</f>
        <v/>
      </c>
      <c r="P545">
        <f>IF(N545=1,COUNTIF($O$4:$O$2003,"&lt;"&amp;O545)+1,"")</f>
        <v/>
      </c>
      <c r="Q545">
        <f>IF(OR($R544="",$R544="T"),"",IF($R544="B",$Q544,IF($Q544+1&gt;$K$3,"",$Q544+1)))</f>
        <v/>
      </c>
      <c r="R545">
        <f>IF(OR($R544="",$R544="T"),"",IF($R544="B","S",IF($Q544+1&gt;$K$3,"T",IF(INDEX($M$4:$M$2003,MATCH($Q544+1,$P$4:$P$2003,0))&lt;&gt;INDEX($M$4:$M$2003,MATCH($Q544,$P$4:$P$2003,0)),"B","S"))))</f>
        <v/>
      </c>
      <c r="S545">
        <f>IF(Q545="","",IFERROR(MATCH(Q545,$P$4:$P$2003,0),""))</f>
        <v/>
      </c>
    </row>
    <row r="546">
      <c r="A546" s="4">
        <f>IF($R546="","",IF($R546="T","Gesamtergebnis",IF($R546="B",INDEX($M$4:$M$2003,$S546),INDEX($L$4:$L$2003,$S546))))</f>
        <v/>
      </c>
      <c r="B546" s="4">
        <f>IF($R546="","",IF($R546="T",$K$3,IF($R546="B",COUNTIFS($M$4:$M$2003,INDEX($M$4:$M$2003,$S546),$N$4:$N$2003,1),1)))</f>
        <v/>
      </c>
      <c r="L546">
        <f>IF($K$1="","",IFERROR(INDEX(Lines!$A:$AA,ROW()-2,$K$1),""))</f>
        <v/>
      </c>
      <c r="M546">
        <f>IF($K$2="","",IFERROR(INDEX(Lines!$A:$AA,ROW()-2,$K$2),""))</f>
        <v/>
      </c>
      <c r="N546">
        <f>IF(AND(L546&lt;&gt;"",LEFT(L546,1)="N",M546&lt;&gt;"PICKING",M546&lt;&gt;""),1,0)</f>
        <v/>
      </c>
      <c r="O546">
        <f>IF(N546=1,M546&amp;"|"&amp;L546,REPT("z",40))</f>
        <v/>
      </c>
      <c r="P546">
        <f>IF(N546=1,COUNTIF($O$4:$O$2003,"&lt;"&amp;O546)+1,"")</f>
        <v/>
      </c>
      <c r="Q546">
        <f>IF(OR($R545="",$R545="T"),"",IF($R545="B",$Q545,IF($Q545+1&gt;$K$3,"",$Q545+1)))</f>
        <v/>
      </c>
      <c r="R546">
        <f>IF(OR($R545="",$R545="T"),"",IF($R545="B","S",IF($Q545+1&gt;$K$3,"T",IF(INDEX($M$4:$M$2003,MATCH($Q545+1,$P$4:$P$2003,0))&lt;&gt;INDEX($M$4:$M$2003,MATCH($Q545,$P$4:$P$2003,0)),"B","S"))))</f>
        <v/>
      </c>
      <c r="S546">
        <f>IF(Q546="","",IFERROR(MATCH(Q546,$P$4:$P$2003,0),""))</f>
        <v/>
      </c>
    </row>
    <row r="547">
      <c r="A547" s="4">
        <f>IF($R547="","",IF($R547="T","Gesamtergebnis",IF($R547="B",INDEX($M$4:$M$2003,$S547),INDEX($L$4:$L$2003,$S547))))</f>
        <v/>
      </c>
      <c r="B547" s="4">
        <f>IF($R547="","",IF($R547="T",$K$3,IF($R547="B",COUNTIFS($M$4:$M$2003,INDEX($M$4:$M$2003,$S547),$N$4:$N$2003,1),1)))</f>
        <v/>
      </c>
      <c r="L547">
        <f>IF($K$1="","",IFERROR(INDEX(Lines!$A:$AA,ROW()-2,$K$1),""))</f>
        <v/>
      </c>
      <c r="M547">
        <f>IF($K$2="","",IFERROR(INDEX(Lines!$A:$AA,ROW()-2,$K$2),""))</f>
        <v/>
      </c>
      <c r="N547">
        <f>IF(AND(L547&lt;&gt;"",LEFT(L547,1)="N",M547&lt;&gt;"PICKING",M547&lt;&gt;""),1,0)</f>
        <v/>
      </c>
      <c r="O547">
        <f>IF(N547=1,M547&amp;"|"&amp;L547,REPT("z",40))</f>
        <v/>
      </c>
      <c r="P547">
        <f>IF(N547=1,COUNTIF($O$4:$O$2003,"&lt;"&amp;O547)+1,"")</f>
        <v/>
      </c>
      <c r="Q547">
        <f>IF(OR($R546="",$R546="T"),"",IF($R546="B",$Q546,IF($Q546+1&gt;$K$3,"",$Q546+1)))</f>
        <v/>
      </c>
      <c r="R547">
        <f>IF(OR($R546="",$R546="T"),"",IF($R546="B","S",IF($Q546+1&gt;$K$3,"T",IF(INDEX($M$4:$M$2003,MATCH($Q546+1,$P$4:$P$2003,0))&lt;&gt;INDEX($M$4:$M$2003,MATCH($Q546,$P$4:$P$2003,0)),"B","S"))))</f>
        <v/>
      </c>
      <c r="S547">
        <f>IF(Q547="","",IFERROR(MATCH(Q547,$P$4:$P$2003,0),""))</f>
        <v/>
      </c>
    </row>
    <row r="548">
      <c r="A548" s="4">
        <f>IF($R548="","",IF($R548="T","Gesamtergebnis",IF($R548="B",INDEX($M$4:$M$2003,$S548),INDEX($L$4:$L$2003,$S548))))</f>
        <v/>
      </c>
      <c r="B548" s="4">
        <f>IF($R548="","",IF($R548="T",$K$3,IF($R548="B",COUNTIFS($M$4:$M$2003,INDEX($M$4:$M$2003,$S548),$N$4:$N$2003,1),1)))</f>
        <v/>
      </c>
      <c r="L548">
        <f>IF($K$1="","",IFERROR(INDEX(Lines!$A:$AA,ROW()-2,$K$1),""))</f>
        <v/>
      </c>
      <c r="M548">
        <f>IF($K$2="","",IFERROR(INDEX(Lines!$A:$AA,ROW()-2,$K$2),""))</f>
        <v/>
      </c>
      <c r="N548">
        <f>IF(AND(L548&lt;&gt;"",LEFT(L548,1)="N",M548&lt;&gt;"PICKING",M548&lt;&gt;""),1,0)</f>
        <v/>
      </c>
      <c r="O548">
        <f>IF(N548=1,M548&amp;"|"&amp;L548,REPT("z",40))</f>
        <v/>
      </c>
      <c r="P548">
        <f>IF(N548=1,COUNTIF($O$4:$O$2003,"&lt;"&amp;O548)+1,"")</f>
        <v/>
      </c>
      <c r="Q548">
        <f>IF(OR($R547="",$R547="T"),"",IF($R547="B",$Q547,IF($Q547+1&gt;$K$3,"",$Q547+1)))</f>
        <v/>
      </c>
      <c r="R548">
        <f>IF(OR($R547="",$R547="T"),"",IF($R547="B","S",IF($Q547+1&gt;$K$3,"T",IF(INDEX($M$4:$M$2003,MATCH($Q547+1,$P$4:$P$2003,0))&lt;&gt;INDEX($M$4:$M$2003,MATCH($Q547,$P$4:$P$2003,0)),"B","S"))))</f>
        <v/>
      </c>
      <c r="S548">
        <f>IF(Q548="","",IFERROR(MATCH(Q548,$P$4:$P$2003,0),""))</f>
        <v/>
      </c>
    </row>
    <row r="549">
      <c r="A549" s="4">
        <f>IF($R549="","",IF($R549="T","Gesamtergebnis",IF($R549="B",INDEX($M$4:$M$2003,$S549),INDEX($L$4:$L$2003,$S549))))</f>
        <v/>
      </c>
      <c r="B549" s="4">
        <f>IF($R549="","",IF($R549="T",$K$3,IF($R549="B",COUNTIFS($M$4:$M$2003,INDEX($M$4:$M$2003,$S549),$N$4:$N$2003,1),1)))</f>
        <v/>
      </c>
      <c r="L549">
        <f>IF($K$1="","",IFERROR(INDEX(Lines!$A:$AA,ROW()-2,$K$1),""))</f>
        <v/>
      </c>
      <c r="M549">
        <f>IF($K$2="","",IFERROR(INDEX(Lines!$A:$AA,ROW()-2,$K$2),""))</f>
        <v/>
      </c>
      <c r="N549">
        <f>IF(AND(L549&lt;&gt;"",LEFT(L549,1)="N",M549&lt;&gt;"PICKING",M549&lt;&gt;""),1,0)</f>
        <v/>
      </c>
      <c r="O549">
        <f>IF(N549=1,M549&amp;"|"&amp;L549,REPT("z",40))</f>
        <v/>
      </c>
      <c r="P549">
        <f>IF(N549=1,COUNTIF($O$4:$O$2003,"&lt;"&amp;O549)+1,"")</f>
        <v/>
      </c>
      <c r="Q549">
        <f>IF(OR($R548="",$R548="T"),"",IF($R548="B",$Q548,IF($Q548+1&gt;$K$3,"",$Q548+1)))</f>
        <v/>
      </c>
      <c r="R549">
        <f>IF(OR($R548="",$R548="T"),"",IF($R548="B","S",IF($Q548+1&gt;$K$3,"T",IF(INDEX($M$4:$M$2003,MATCH($Q548+1,$P$4:$P$2003,0))&lt;&gt;INDEX($M$4:$M$2003,MATCH($Q548,$P$4:$P$2003,0)),"B","S"))))</f>
        <v/>
      </c>
      <c r="S549">
        <f>IF(Q549="","",IFERROR(MATCH(Q549,$P$4:$P$2003,0),""))</f>
        <v/>
      </c>
    </row>
    <row r="550">
      <c r="A550" s="4">
        <f>IF($R550="","",IF($R550="T","Gesamtergebnis",IF($R550="B",INDEX($M$4:$M$2003,$S550),INDEX($L$4:$L$2003,$S550))))</f>
        <v/>
      </c>
      <c r="B550" s="4">
        <f>IF($R550="","",IF($R550="T",$K$3,IF($R550="B",COUNTIFS($M$4:$M$2003,INDEX($M$4:$M$2003,$S550),$N$4:$N$2003,1),1)))</f>
        <v/>
      </c>
      <c r="L550">
        <f>IF($K$1="","",IFERROR(INDEX(Lines!$A:$AA,ROW()-2,$K$1),""))</f>
        <v/>
      </c>
      <c r="M550">
        <f>IF($K$2="","",IFERROR(INDEX(Lines!$A:$AA,ROW()-2,$K$2),""))</f>
        <v/>
      </c>
      <c r="N550">
        <f>IF(AND(L550&lt;&gt;"",LEFT(L550,1)="N",M550&lt;&gt;"PICKING",M550&lt;&gt;""),1,0)</f>
        <v/>
      </c>
      <c r="O550">
        <f>IF(N550=1,M550&amp;"|"&amp;L550,REPT("z",40))</f>
        <v/>
      </c>
      <c r="P550">
        <f>IF(N550=1,COUNTIF($O$4:$O$2003,"&lt;"&amp;O550)+1,"")</f>
        <v/>
      </c>
      <c r="Q550">
        <f>IF(OR($R549="",$R549="T"),"",IF($R549="B",$Q549,IF($Q549+1&gt;$K$3,"",$Q549+1)))</f>
        <v/>
      </c>
      <c r="R550">
        <f>IF(OR($R549="",$R549="T"),"",IF($R549="B","S",IF($Q549+1&gt;$K$3,"T",IF(INDEX($M$4:$M$2003,MATCH($Q549+1,$P$4:$P$2003,0))&lt;&gt;INDEX($M$4:$M$2003,MATCH($Q549,$P$4:$P$2003,0)),"B","S"))))</f>
        <v/>
      </c>
      <c r="S550">
        <f>IF(Q550="","",IFERROR(MATCH(Q550,$P$4:$P$2003,0),""))</f>
        <v/>
      </c>
    </row>
    <row r="551">
      <c r="A551" s="4">
        <f>IF($R551="","",IF($R551="T","Gesamtergebnis",IF($R551="B",INDEX($M$4:$M$2003,$S551),INDEX($L$4:$L$2003,$S551))))</f>
        <v/>
      </c>
      <c r="B551" s="4">
        <f>IF($R551="","",IF($R551="T",$K$3,IF($R551="B",COUNTIFS($M$4:$M$2003,INDEX($M$4:$M$2003,$S551),$N$4:$N$2003,1),1)))</f>
        <v/>
      </c>
      <c r="L551">
        <f>IF($K$1="","",IFERROR(INDEX(Lines!$A:$AA,ROW()-2,$K$1),""))</f>
        <v/>
      </c>
      <c r="M551">
        <f>IF($K$2="","",IFERROR(INDEX(Lines!$A:$AA,ROW()-2,$K$2),""))</f>
        <v/>
      </c>
      <c r="N551">
        <f>IF(AND(L551&lt;&gt;"",LEFT(L551,1)="N",M551&lt;&gt;"PICKING",M551&lt;&gt;""),1,0)</f>
        <v/>
      </c>
      <c r="O551">
        <f>IF(N551=1,M551&amp;"|"&amp;L551,REPT("z",40))</f>
        <v/>
      </c>
      <c r="P551">
        <f>IF(N551=1,COUNTIF($O$4:$O$2003,"&lt;"&amp;O551)+1,"")</f>
        <v/>
      </c>
      <c r="Q551">
        <f>IF(OR($R550="",$R550="T"),"",IF($R550="B",$Q550,IF($Q550+1&gt;$K$3,"",$Q550+1)))</f>
        <v/>
      </c>
      <c r="R551">
        <f>IF(OR($R550="",$R550="T"),"",IF($R550="B","S",IF($Q550+1&gt;$K$3,"T",IF(INDEX($M$4:$M$2003,MATCH($Q550+1,$P$4:$P$2003,0))&lt;&gt;INDEX($M$4:$M$2003,MATCH($Q550,$P$4:$P$2003,0)),"B","S"))))</f>
        <v/>
      </c>
      <c r="S551">
        <f>IF(Q551="","",IFERROR(MATCH(Q551,$P$4:$P$2003,0),""))</f>
        <v/>
      </c>
    </row>
    <row r="552">
      <c r="A552" s="4">
        <f>IF($R552="","",IF($R552="T","Gesamtergebnis",IF($R552="B",INDEX($M$4:$M$2003,$S552),INDEX($L$4:$L$2003,$S552))))</f>
        <v/>
      </c>
      <c r="B552" s="4">
        <f>IF($R552="","",IF($R552="T",$K$3,IF($R552="B",COUNTIFS($M$4:$M$2003,INDEX($M$4:$M$2003,$S552),$N$4:$N$2003,1),1)))</f>
        <v/>
      </c>
      <c r="L552">
        <f>IF($K$1="","",IFERROR(INDEX(Lines!$A:$AA,ROW()-2,$K$1),""))</f>
        <v/>
      </c>
      <c r="M552">
        <f>IF($K$2="","",IFERROR(INDEX(Lines!$A:$AA,ROW()-2,$K$2),""))</f>
        <v/>
      </c>
      <c r="N552">
        <f>IF(AND(L552&lt;&gt;"",LEFT(L552,1)="N",M552&lt;&gt;"PICKING",M552&lt;&gt;""),1,0)</f>
        <v/>
      </c>
      <c r="O552">
        <f>IF(N552=1,M552&amp;"|"&amp;L552,REPT("z",40))</f>
        <v/>
      </c>
      <c r="P552">
        <f>IF(N552=1,COUNTIF($O$4:$O$2003,"&lt;"&amp;O552)+1,"")</f>
        <v/>
      </c>
      <c r="Q552">
        <f>IF(OR($R551="",$R551="T"),"",IF($R551="B",$Q551,IF($Q551+1&gt;$K$3,"",$Q551+1)))</f>
        <v/>
      </c>
      <c r="R552">
        <f>IF(OR($R551="",$R551="T"),"",IF($R551="B","S",IF($Q551+1&gt;$K$3,"T",IF(INDEX($M$4:$M$2003,MATCH($Q551+1,$P$4:$P$2003,0))&lt;&gt;INDEX($M$4:$M$2003,MATCH($Q551,$P$4:$P$2003,0)),"B","S"))))</f>
        <v/>
      </c>
      <c r="S552">
        <f>IF(Q552="","",IFERROR(MATCH(Q552,$P$4:$P$2003,0),""))</f>
        <v/>
      </c>
    </row>
    <row r="553">
      <c r="A553" s="4">
        <f>IF($R553="","",IF($R553="T","Gesamtergebnis",IF($R553="B",INDEX($M$4:$M$2003,$S553),INDEX($L$4:$L$2003,$S553))))</f>
        <v/>
      </c>
      <c r="B553" s="4">
        <f>IF($R553="","",IF($R553="T",$K$3,IF($R553="B",COUNTIFS($M$4:$M$2003,INDEX($M$4:$M$2003,$S553),$N$4:$N$2003,1),1)))</f>
        <v/>
      </c>
      <c r="L553">
        <f>IF($K$1="","",IFERROR(INDEX(Lines!$A:$AA,ROW()-2,$K$1),""))</f>
        <v/>
      </c>
      <c r="M553">
        <f>IF($K$2="","",IFERROR(INDEX(Lines!$A:$AA,ROW()-2,$K$2),""))</f>
        <v/>
      </c>
      <c r="N553">
        <f>IF(AND(L553&lt;&gt;"",LEFT(L553,1)="N",M553&lt;&gt;"PICKING",M553&lt;&gt;""),1,0)</f>
        <v/>
      </c>
      <c r="O553">
        <f>IF(N553=1,M553&amp;"|"&amp;L553,REPT("z",40))</f>
        <v/>
      </c>
      <c r="P553">
        <f>IF(N553=1,COUNTIF($O$4:$O$2003,"&lt;"&amp;O553)+1,"")</f>
        <v/>
      </c>
      <c r="Q553">
        <f>IF(OR($R552="",$R552="T"),"",IF($R552="B",$Q552,IF($Q552+1&gt;$K$3,"",$Q552+1)))</f>
        <v/>
      </c>
      <c r="R553">
        <f>IF(OR($R552="",$R552="T"),"",IF($R552="B","S",IF($Q552+1&gt;$K$3,"T",IF(INDEX($M$4:$M$2003,MATCH($Q552+1,$P$4:$P$2003,0))&lt;&gt;INDEX($M$4:$M$2003,MATCH($Q552,$P$4:$P$2003,0)),"B","S"))))</f>
        <v/>
      </c>
      <c r="S553">
        <f>IF(Q553="","",IFERROR(MATCH(Q553,$P$4:$P$2003,0),""))</f>
        <v/>
      </c>
    </row>
    <row r="554">
      <c r="A554" s="4">
        <f>IF($R554="","",IF($R554="T","Gesamtergebnis",IF($R554="B",INDEX($M$4:$M$2003,$S554),INDEX($L$4:$L$2003,$S554))))</f>
        <v/>
      </c>
      <c r="B554" s="4">
        <f>IF($R554="","",IF($R554="T",$K$3,IF($R554="B",COUNTIFS($M$4:$M$2003,INDEX($M$4:$M$2003,$S554),$N$4:$N$2003,1),1)))</f>
        <v/>
      </c>
      <c r="L554">
        <f>IF($K$1="","",IFERROR(INDEX(Lines!$A:$AA,ROW()-2,$K$1),""))</f>
        <v/>
      </c>
      <c r="M554">
        <f>IF($K$2="","",IFERROR(INDEX(Lines!$A:$AA,ROW()-2,$K$2),""))</f>
        <v/>
      </c>
      <c r="N554">
        <f>IF(AND(L554&lt;&gt;"",LEFT(L554,1)="N",M554&lt;&gt;"PICKING",M554&lt;&gt;""),1,0)</f>
        <v/>
      </c>
      <c r="O554">
        <f>IF(N554=1,M554&amp;"|"&amp;L554,REPT("z",40))</f>
        <v/>
      </c>
      <c r="P554">
        <f>IF(N554=1,COUNTIF($O$4:$O$2003,"&lt;"&amp;O554)+1,"")</f>
        <v/>
      </c>
      <c r="Q554">
        <f>IF(OR($R553="",$R553="T"),"",IF($R553="B",$Q553,IF($Q553+1&gt;$K$3,"",$Q553+1)))</f>
        <v/>
      </c>
      <c r="R554">
        <f>IF(OR($R553="",$R553="T"),"",IF($R553="B","S",IF($Q553+1&gt;$K$3,"T",IF(INDEX($M$4:$M$2003,MATCH($Q553+1,$P$4:$P$2003,0))&lt;&gt;INDEX($M$4:$M$2003,MATCH($Q553,$P$4:$P$2003,0)),"B","S"))))</f>
        <v/>
      </c>
      <c r="S554">
        <f>IF(Q554="","",IFERROR(MATCH(Q554,$P$4:$P$2003,0),""))</f>
        <v/>
      </c>
    </row>
    <row r="555">
      <c r="A555" s="4">
        <f>IF($R555="","",IF($R555="T","Gesamtergebnis",IF($R555="B",INDEX($M$4:$M$2003,$S555),INDEX($L$4:$L$2003,$S555))))</f>
        <v/>
      </c>
      <c r="B555" s="4">
        <f>IF($R555="","",IF($R555="T",$K$3,IF($R555="B",COUNTIFS($M$4:$M$2003,INDEX($M$4:$M$2003,$S555),$N$4:$N$2003,1),1)))</f>
        <v/>
      </c>
      <c r="L555">
        <f>IF($K$1="","",IFERROR(INDEX(Lines!$A:$AA,ROW()-2,$K$1),""))</f>
        <v/>
      </c>
      <c r="M555">
        <f>IF($K$2="","",IFERROR(INDEX(Lines!$A:$AA,ROW()-2,$K$2),""))</f>
        <v/>
      </c>
      <c r="N555">
        <f>IF(AND(L555&lt;&gt;"",LEFT(L555,1)="N",M555&lt;&gt;"PICKING",M555&lt;&gt;""),1,0)</f>
        <v/>
      </c>
      <c r="O555">
        <f>IF(N555=1,M555&amp;"|"&amp;L555,REPT("z",40))</f>
        <v/>
      </c>
      <c r="P555">
        <f>IF(N555=1,COUNTIF($O$4:$O$2003,"&lt;"&amp;O555)+1,"")</f>
        <v/>
      </c>
      <c r="Q555">
        <f>IF(OR($R554="",$R554="T"),"",IF($R554="B",$Q554,IF($Q554+1&gt;$K$3,"",$Q554+1)))</f>
        <v/>
      </c>
      <c r="R555">
        <f>IF(OR($R554="",$R554="T"),"",IF($R554="B","S",IF($Q554+1&gt;$K$3,"T",IF(INDEX($M$4:$M$2003,MATCH($Q554+1,$P$4:$P$2003,0))&lt;&gt;INDEX($M$4:$M$2003,MATCH($Q554,$P$4:$P$2003,0)),"B","S"))))</f>
        <v/>
      </c>
      <c r="S555">
        <f>IF(Q555="","",IFERROR(MATCH(Q555,$P$4:$P$2003,0),""))</f>
        <v/>
      </c>
    </row>
    <row r="556">
      <c r="A556" s="4">
        <f>IF($R556="","",IF($R556="T","Gesamtergebnis",IF($R556="B",INDEX($M$4:$M$2003,$S556),INDEX($L$4:$L$2003,$S556))))</f>
        <v/>
      </c>
      <c r="B556" s="4">
        <f>IF($R556="","",IF($R556="T",$K$3,IF($R556="B",COUNTIFS($M$4:$M$2003,INDEX($M$4:$M$2003,$S556),$N$4:$N$2003,1),1)))</f>
        <v/>
      </c>
      <c r="L556">
        <f>IF($K$1="","",IFERROR(INDEX(Lines!$A:$AA,ROW()-2,$K$1),""))</f>
        <v/>
      </c>
      <c r="M556">
        <f>IF($K$2="","",IFERROR(INDEX(Lines!$A:$AA,ROW()-2,$K$2),""))</f>
        <v/>
      </c>
      <c r="N556">
        <f>IF(AND(L556&lt;&gt;"",LEFT(L556,1)="N",M556&lt;&gt;"PICKING",M556&lt;&gt;""),1,0)</f>
        <v/>
      </c>
      <c r="O556">
        <f>IF(N556=1,M556&amp;"|"&amp;L556,REPT("z",40))</f>
        <v/>
      </c>
      <c r="P556">
        <f>IF(N556=1,COUNTIF($O$4:$O$2003,"&lt;"&amp;O556)+1,"")</f>
        <v/>
      </c>
      <c r="Q556">
        <f>IF(OR($R555="",$R555="T"),"",IF($R555="B",$Q555,IF($Q555+1&gt;$K$3,"",$Q555+1)))</f>
        <v/>
      </c>
      <c r="R556">
        <f>IF(OR($R555="",$R555="T"),"",IF($R555="B","S",IF($Q555+1&gt;$K$3,"T",IF(INDEX($M$4:$M$2003,MATCH($Q555+1,$P$4:$P$2003,0))&lt;&gt;INDEX($M$4:$M$2003,MATCH($Q555,$P$4:$P$2003,0)),"B","S"))))</f>
        <v/>
      </c>
      <c r="S556">
        <f>IF(Q556="","",IFERROR(MATCH(Q556,$P$4:$P$2003,0),""))</f>
        <v/>
      </c>
    </row>
    <row r="557">
      <c r="A557" s="4">
        <f>IF($R557="","",IF($R557="T","Gesamtergebnis",IF($R557="B",INDEX($M$4:$M$2003,$S557),INDEX($L$4:$L$2003,$S557))))</f>
        <v/>
      </c>
      <c r="B557" s="4">
        <f>IF($R557="","",IF($R557="T",$K$3,IF($R557="B",COUNTIFS($M$4:$M$2003,INDEX($M$4:$M$2003,$S557),$N$4:$N$2003,1),1)))</f>
        <v/>
      </c>
      <c r="L557">
        <f>IF($K$1="","",IFERROR(INDEX(Lines!$A:$AA,ROW()-2,$K$1),""))</f>
        <v/>
      </c>
      <c r="M557">
        <f>IF($K$2="","",IFERROR(INDEX(Lines!$A:$AA,ROW()-2,$K$2),""))</f>
        <v/>
      </c>
      <c r="N557">
        <f>IF(AND(L557&lt;&gt;"",LEFT(L557,1)="N",M557&lt;&gt;"PICKING",M557&lt;&gt;""),1,0)</f>
        <v/>
      </c>
      <c r="O557">
        <f>IF(N557=1,M557&amp;"|"&amp;L557,REPT("z",40))</f>
        <v/>
      </c>
      <c r="P557">
        <f>IF(N557=1,COUNTIF($O$4:$O$2003,"&lt;"&amp;O557)+1,"")</f>
        <v/>
      </c>
      <c r="Q557">
        <f>IF(OR($R556="",$R556="T"),"",IF($R556="B",$Q556,IF($Q556+1&gt;$K$3,"",$Q556+1)))</f>
        <v/>
      </c>
      <c r="R557">
        <f>IF(OR($R556="",$R556="T"),"",IF($R556="B","S",IF($Q556+1&gt;$K$3,"T",IF(INDEX($M$4:$M$2003,MATCH($Q556+1,$P$4:$P$2003,0))&lt;&gt;INDEX($M$4:$M$2003,MATCH($Q556,$P$4:$P$2003,0)),"B","S"))))</f>
        <v/>
      </c>
      <c r="S557">
        <f>IF(Q557="","",IFERROR(MATCH(Q557,$P$4:$P$2003,0),""))</f>
        <v/>
      </c>
    </row>
    <row r="558">
      <c r="A558" s="4">
        <f>IF($R558="","",IF($R558="T","Gesamtergebnis",IF($R558="B",INDEX($M$4:$M$2003,$S558),INDEX($L$4:$L$2003,$S558))))</f>
        <v/>
      </c>
      <c r="B558" s="4">
        <f>IF($R558="","",IF($R558="T",$K$3,IF($R558="B",COUNTIFS($M$4:$M$2003,INDEX($M$4:$M$2003,$S558),$N$4:$N$2003,1),1)))</f>
        <v/>
      </c>
      <c r="L558">
        <f>IF($K$1="","",IFERROR(INDEX(Lines!$A:$AA,ROW()-2,$K$1),""))</f>
        <v/>
      </c>
      <c r="M558">
        <f>IF($K$2="","",IFERROR(INDEX(Lines!$A:$AA,ROW()-2,$K$2),""))</f>
        <v/>
      </c>
      <c r="N558">
        <f>IF(AND(L558&lt;&gt;"",LEFT(L558,1)="N",M558&lt;&gt;"PICKING",M558&lt;&gt;""),1,0)</f>
        <v/>
      </c>
      <c r="O558">
        <f>IF(N558=1,M558&amp;"|"&amp;L558,REPT("z",40))</f>
        <v/>
      </c>
      <c r="P558">
        <f>IF(N558=1,COUNTIF($O$4:$O$2003,"&lt;"&amp;O558)+1,"")</f>
        <v/>
      </c>
      <c r="Q558">
        <f>IF(OR($R557="",$R557="T"),"",IF($R557="B",$Q557,IF($Q557+1&gt;$K$3,"",$Q557+1)))</f>
        <v/>
      </c>
      <c r="R558">
        <f>IF(OR($R557="",$R557="T"),"",IF($R557="B","S",IF($Q557+1&gt;$K$3,"T",IF(INDEX($M$4:$M$2003,MATCH($Q557+1,$P$4:$P$2003,0))&lt;&gt;INDEX($M$4:$M$2003,MATCH($Q557,$P$4:$P$2003,0)),"B","S"))))</f>
        <v/>
      </c>
      <c r="S558">
        <f>IF(Q558="","",IFERROR(MATCH(Q558,$P$4:$P$2003,0),""))</f>
        <v/>
      </c>
    </row>
    <row r="559">
      <c r="A559" s="4">
        <f>IF($R559="","",IF($R559="T","Gesamtergebnis",IF($R559="B",INDEX($M$4:$M$2003,$S559),INDEX($L$4:$L$2003,$S559))))</f>
        <v/>
      </c>
      <c r="B559" s="4">
        <f>IF($R559="","",IF($R559="T",$K$3,IF($R559="B",COUNTIFS($M$4:$M$2003,INDEX($M$4:$M$2003,$S559),$N$4:$N$2003,1),1)))</f>
        <v/>
      </c>
      <c r="L559">
        <f>IF($K$1="","",IFERROR(INDEX(Lines!$A:$AA,ROW()-2,$K$1),""))</f>
        <v/>
      </c>
      <c r="M559">
        <f>IF($K$2="","",IFERROR(INDEX(Lines!$A:$AA,ROW()-2,$K$2),""))</f>
        <v/>
      </c>
      <c r="N559">
        <f>IF(AND(L559&lt;&gt;"",LEFT(L559,1)="N",M559&lt;&gt;"PICKING",M559&lt;&gt;""),1,0)</f>
        <v/>
      </c>
      <c r="O559">
        <f>IF(N559=1,M559&amp;"|"&amp;L559,REPT("z",40))</f>
        <v/>
      </c>
      <c r="P559">
        <f>IF(N559=1,COUNTIF($O$4:$O$2003,"&lt;"&amp;O559)+1,"")</f>
        <v/>
      </c>
      <c r="Q559">
        <f>IF(OR($R558="",$R558="T"),"",IF($R558="B",$Q558,IF($Q558+1&gt;$K$3,"",$Q558+1)))</f>
        <v/>
      </c>
      <c r="R559">
        <f>IF(OR($R558="",$R558="T"),"",IF($R558="B","S",IF($Q558+1&gt;$K$3,"T",IF(INDEX($M$4:$M$2003,MATCH($Q558+1,$P$4:$P$2003,0))&lt;&gt;INDEX($M$4:$M$2003,MATCH($Q558,$P$4:$P$2003,0)),"B","S"))))</f>
        <v/>
      </c>
      <c r="S559">
        <f>IF(Q559="","",IFERROR(MATCH(Q559,$P$4:$P$2003,0),""))</f>
        <v/>
      </c>
    </row>
    <row r="560">
      <c r="A560" s="4">
        <f>IF($R560="","",IF($R560="T","Gesamtergebnis",IF($R560="B",INDEX($M$4:$M$2003,$S560),INDEX($L$4:$L$2003,$S560))))</f>
        <v/>
      </c>
      <c r="B560" s="4">
        <f>IF($R560="","",IF($R560="T",$K$3,IF($R560="B",COUNTIFS($M$4:$M$2003,INDEX($M$4:$M$2003,$S560),$N$4:$N$2003,1),1)))</f>
        <v/>
      </c>
      <c r="L560">
        <f>IF($K$1="","",IFERROR(INDEX(Lines!$A:$AA,ROW()-2,$K$1),""))</f>
        <v/>
      </c>
      <c r="M560">
        <f>IF($K$2="","",IFERROR(INDEX(Lines!$A:$AA,ROW()-2,$K$2),""))</f>
        <v/>
      </c>
      <c r="N560">
        <f>IF(AND(L560&lt;&gt;"",LEFT(L560,1)="N",M560&lt;&gt;"PICKING",M560&lt;&gt;""),1,0)</f>
        <v/>
      </c>
      <c r="O560">
        <f>IF(N560=1,M560&amp;"|"&amp;L560,REPT("z",40))</f>
        <v/>
      </c>
      <c r="P560">
        <f>IF(N560=1,COUNTIF($O$4:$O$2003,"&lt;"&amp;O560)+1,"")</f>
        <v/>
      </c>
      <c r="Q560">
        <f>IF(OR($R559="",$R559="T"),"",IF($R559="B",$Q559,IF($Q559+1&gt;$K$3,"",$Q559+1)))</f>
        <v/>
      </c>
      <c r="R560">
        <f>IF(OR($R559="",$R559="T"),"",IF($R559="B","S",IF($Q559+1&gt;$K$3,"T",IF(INDEX($M$4:$M$2003,MATCH($Q559+1,$P$4:$P$2003,0))&lt;&gt;INDEX($M$4:$M$2003,MATCH($Q559,$P$4:$P$2003,0)),"B","S"))))</f>
        <v/>
      </c>
      <c r="S560">
        <f>IF(Q560="","",IFERROR(MATCH(Q560,$P$4:$P$2003,0),""))</f>
        <v/>
      </c>
    </row>
    <row r="561">
      <c r="A561" s="4">
        <f>IF($R561="","",IF($R561="T","Gesamtergebnis",IF($R561="B",INDEX($M$4:$M$2003,$S561),INDEX($L$4:$L$2003,$S561))))</f>
        <v/>
      </c>
      <c r="B561" s="4">
        <f>IF($R561="","",IF($R561="T",$K$3,IF($R561="B",COUNTIFS($M$4:$M$2003,INDEX($M$4:$M$2003,$S561),$N$4:$N$2003,1),1)))</f>
        <v/>
      </c>
      <c r="L561">
        <f>IF($K$1="","",IFERROR(INDEX(Lines!$A:$AA,ROW()-2,$K$1),""))</f>
        <v/>
      </c>
      <c r="M561">
        <f>IF($K$2="","",IFERROR(INDEX(Lines!$A:$AA,ROW()-2,$K$2),""))</f>
        <v/>
      </c>
      <c r="N561">
        <f>IF(AND(L561&lt;&gt;"",LEFT(L561,1)="N",M561&lt;&gt;"PICKING",M561&lt;&gt;""),1,0)</f>
        <v/>
      </c>
      <c r="O561">
        <f>IF(N561=1,M561&amp;"|"&amp;L561,REPT("z",40))</f>
        <v/>
      </c>
      <c r="P561">
        <f>IF(N561=1,COUNTIF($O$4:$O$2003,"&lt;"&amp;O561)+1,"")</f>
        <v/>
      </c>
      <c r="Q561">
        <f>IF(OR($R560="",$R560="T"),"",IF($R560="B",$Q560,IF($Q560+1&gt;$K$3,"",$Q560+1)))</f>
        <v/>
      </c>
      <c r="R561">
        <f>IF(OR($R560="",$R560="T"),"",IF($R560="B","S",IF($Q560+1&gt;$K$3,"T",IF(INDEX($M$4:$M$2003,MATCH($Q560+1,$P$4:$P$2003,0))&lt;&gt;INDEX($M$4:$M$2003,MATCH($Q560,$P$4:$P$2003,0)),"B","S"))))</f>
        <v/>
      </c>
      <c r="S561">
        <f>IF(Q561="","",IFERROR(MATCH(Q561,$P$4:$P$2003,0),""))</f>
        <v/>
      </c>
    </row>
    <row r="562">
      <c r="A562" s="4">
        <f>IF($R562="","",IF($R562="T","Gesamtergebnis",IF($R562="B",INDEX($M$4:$M$2003,$S562),INDEX($L$4:$L$2003,$S562))))</f>
        <v/>
      </c>
      <c r="B562" s="4">
        <f>IF($R562="","",IF($R562="T",$K$3,IF($R562="B",COUNTIFS($M$4:$M$2003,INDEX($M$4:$M$2003,$S562),$N$4:$N$2003,1),1)))</f>
        <v/>
      </c>
      <c r="L562">
        <f>IF($K$1="","",IFERROR(INDEX(Lines!$A:$AA,ROW()-2,$K$1),""))</f>
        <v/>
      </c>
      <c r="M562">
        <f>IF($K$2="","",IFERROR(INDEX(Lines!$A:$AA,ROW()-2,$K$2),""))</f>
        <v/>
      </c>
      <c r="N562">
        <f>IF(AND(L562&lt;&gt;"",LEFT(L562,1)="N",M562&lt;&gt;"PICKING",M562&lt;&gt;""),1,0)</f>
        <v/>
      </c>
      <c r="O562">
        <f>IF(N562=1,M562&amp;"|"&amp;L562,REPT("z",40))</f>
        <v/>
      </c>
      <c r="P562">
        <f>IF(N562=1,COUNTIF($O$4:$O$2003,"&lt;"&amp;O562)+1,"")</f>
        <v/>
      </c>
      <c r="Q562">
        <f>IF(OR($R561="",$R561="T"),"",IF($R561="B",$Q561,IF($Q561+1&gt;$K$3,"",$Q561+1)))</f>
        <v/>
      </c>
      <c r="R562">
        <f>IF(OR($R561="",$R561="T"),"",IF($R561="B","S",IF($Q561+1&gt;$K$3,"T",IF(INDEX($M$4:$M$2003,MATCH($Q561+1,$P$4:$P$2003,0))&lt;&gt;INDEX($M$4:$M$2003,MATCH($Q561,$P$4:$P$2003,0)),"B","S"))))</f>
        <v/>
      </c>
      <c r="S562">
        <f>IF(Q562="","",IFERROR(MATCH(Q562,$P$4:$P$2003,0),""))</f>
        <v/>
      </c>
    </row>
    <row r="563">
      <c r="A563" s="4">
        <f>IF($R563="","",IF($R563="T","Gesamtergebnis",IF($R563="B",INDEX($M$4:$M$2003,$S563),INDEX($L$4:$L$2003,$S563))))</f>
        <v/>
      </c>
      <c r="B563" s="4">
        <f>IF($R563="","",IF($R563="T",$K$3,IF($R563="B",COUNTIFS($M$4:$M$2003,INDEX($M$4:$M$2003,$S563),$N$4:$N$2003,1),1)))</f>
        <v/>
      </c>
      <c r="L563">
        <f>IF($K$1="","",IFERROR(INDEX(Lines!$A:$AA,ROW()-2,$K$1),""))</f>
        <v/>
      </c>
      <c r="M563">
        <f>IF($K$2="","",IFERROR(INDEX(Lines!$A:$AA,ROW()-2,$K$2),""))</f>
        <v/>
      </c>
      <c r="N563">
        <f>IF(AND(L563&lt;&gt;"",LEFT(L563,1)="N",M563&lt;&gt;"PICKING",M563&lt;&gt;""),1,0)</f>
        <v/>
      </c>
      <c r="O563">
        <f>IF(N563=1,M563&amp;"|"&amp;L563,REPT("z",40))</f>
        <v/>
      </c>
      <c r="P563">
        <f>IF(N563=1,COUNTIF($O$4:$O$2003,"&lt;"&amp;O563)+1,"")</f>
        <v/>
      </c>
      <c r="Q563">
        <f>IF(OR($R562="",$R562="T"),"",IF($R562="B",$Q562,IF($Q562+1&gt;$K$3,"",$Q562+1)))</f>
        <v/>
      </c>
      <c r="R563">
        <f>IF(OR($R562="",$R562="T"),"",IF($R562="B","S",IF($Q562+1&gt;$K$3,"T",IF(INDEX($M$4:$M$2003,MATCH($Q562+1,$P$4:$P$2003,0))&lt;&gt;INDEX($M$4:$M$2003,MATCH($Q562,$P$4:$P$2003,0)),"B","S"))))</f>
        <v/>
      </c>
      <c r="S563">
        <f>IF(Q563="","",IFERROR(MATCH(Q563,$P$4:$P$2003,0),""))</f>
        <v/>
      </c>
    </row>
    <row r="564">
      <c r="A564" s="4">
        <f>IF($R564="","",IF($R564="T","Gesamtergebnis",IF($R564="B",INDEX($M$4:$M$2003,$S564),INDEX($L$4:$L$2003,$S564))))</f>
        <v/>
      </c>
      <c r="B564" s="4">
        <f>IF($R564="","",IF($R564="T",$K$3,IF($R564="B",COUNTIFS($M$4:$M$2003,INDEX($M$4:$M$2003,$S564),$N$4:$N$2003,1),1)))</f>
        <v/>
      </c>
      <c r="L564">
        <f>IF($K$1="","",IFERROR(INDEX(Lines!$A:$AA,ROW()-2,$K$1),""))</f>
        <v/>
      </c>
      <c r="M564">
        <f>IF($K$2="","",IFERROR(INDEX(Lines!$A:$AA,ROW()-2,$K$2),""))</f>
        <v/>
      </c>
      <c r="N564">
        <f>IF(AND(L564&lt;&gt;"",LEFT(L564,1)="N",M564&lt;&gt;"PICKING",M564&lt;&gt;""),1,0)</f>
        <v/>
      </c>
      <c r="O564">
        <f>IF(N564=1,M564&amp;"|"&amp;L564,REPT("z",40))</f>
        <v/>
      </c>
      <c r="P564">
        <f>IF(N564=1,COUNTIF($O$4:$O$2003,"&lt;"&amp;O564)+1,"")</f>
        <v/>
      </c>
      <c r="Q564">
        <f>IF(OR($R563="",$R563="T"),"",IF($R563="B",$Q563,IF($Q563+1&gt;$K$3,"",$Q563+1)))</f>
        <v/>
      </c>
      <c r="R564">
        <f>IF(OR($R563="",$R563="T"),"",IF($R563="B","S",IF($Q563+1&gt;$K$3,"T",IF(INDEX($M$4:$M$2003,MATCH($Q563+1,$P$4:$P$2003,0))&lt;&gt;INDEX($M$4:$M$2003,MATCH($Q563,$P$4:$P$2003,0)),"B","S"))))</f>
        <v/>
      </c>
      <c r="S564">
        <f>IF(Q564="","",IFERROR(MATCH(Q564,$P$4:$P$2003,0),""))</f>
        <v/>
      </c>
    </row>
    <row r="565">
      <c r="A565" s="4">
        <f>IF($R565="","",IF($R565="T","Gesamtergebnis",IF($R565="B",INDEX($M$4:$M$2003,$S565),INDEX($L$4:$L$2003,$S565))))</f>
        <v/>
      </c>
      <c r="B565" s="4">
        <f>IF($R565="","",IF($R565="T",$K$3,IF($R565="B",COUNTIFS($M$4:$M$2003,INDEX($M$4:$M$2003,$S565),$N$4:$N$2003,1),1)))</f>
        <v/>
      </c>
      <c r="L565">
        <f>IF($K$1="","",IFERROR(INDEX(Lines!$A:$AA,ROW()-2,$K$1),""))</f>
        <v/>
      </c>
      <c r="M565">
        <f>IF($K$2="","",IFERROR(INDEX(Lines!$A:$AA,ROW()-2,$K$2),""))</f>
        <v/>
      </c>
      <c r="N565">
        <f>IF(AND(L565&lt;&gt;"",LEFT(L565,1)="N",M565&lt;&gt;"PICKING",M565&lt;&gt;""),1,0)</f>
        <v/>
      </c>
      <c r="O565">
        <f>IF(N565=1,M565&amp;"|"&amp;L565,REPT("z",40))</f>
        <v/>
      </c>
      <c r="P565">
        <f>IF(N565=1,COUNTIF($O$4:$O$2003,"&lt;"&amp;O565)+1,"")</f>
        <v/>
      </c>
      <c r="Q565">
        <f>IF(OR($R564="",$R564="T"),"",IF($R564="B",$Q564,IF($Q564+1&gt;$K$3,"",$Q564+1)))</f>
        <v/>
      </c>
      <c r="R565">
        <f>IF(OR($R564="",$R564="T"),"",IF($R564="B","S",IF($Q564+1&gt;$K$3,"T",IF(INDEX($M$4:$M$2003,MATCH($Q564+1,$P$4:$P$2003,0))&lt;&gt;INDEX($M$4:$M$2003,MATCH($Q564,$P$4:$P$2003,0)),"B","S"))))</f>
        <v/>
      </c>
      <c r="S565">
        <f>IF(Q565="","",IFERROR(MATCH(Q565,$P$4:$P$2003,0),""))</f>
        <v/>
      </c>
    </row>
    <row r="566">
      <c r="A566" s="4">
        <f>IF($R566="","",IF($R566="T","Gesamtergebnis",IF($R566="B",INDEX($M$4:$M$2003,$S566),INDEX($L$4:$L$2003,$S566))))</f>
        <v/>
      </c>
      <c r="B566" s="4">
        <f>IF($R566="","",IF($R566="T",$K$3,IF($R566="B",COUNTIFS($M$4:$M$2003,INDEX($M$4:$M$2003,$S566),$N$4:$N$2003,1),1)))</f>
        <v/>
      </c>
      <c r="L566">
        <f>IF($K$1="","",IFERROR(INDEX(Lines!$A:$AA,ROW()-2,$K$1),""))</f>
        <v/>
      </c>
      <c r="M566">
        <f>IF($K$2="","",IFERROR(INDEX(Lines!$A:$AA,ROW()-2,$K$2),""))</f>
        <v/>
      </c>
      <c r="N566">
        <f>IF(AND(L566&lt;&gt;"",LEFT(L566,1)="N",M566&lt;&gt;"PICKING",M566&lt;&gt;""),1,0)</f>
        <v/>
      </c>
      <c r="O566">
        <f>IF(N566=1,M566&amp;"|"&amp;L566,REPT("z",40))</f>
        <v/>
      </c>
      <c r="P566">
        <f>IF(N566=1,COUNTIF($O$4:$O$2003,"&lt;"&amp;O566)+1,"")</f>
        <v/>
      </c>
      <c r="Q566">
        <f>IF(OR($R565="",$R565="T"),"",IF($R565="B",$Q565,IF($Q565+1&gt;$K$3,"",$Q565+1)))</f>
        <v/>
      </c>
      <c r="R566">
        <f>IF(OR($R565="",$R565="T"),"",IF($R565="B","S",IF($Q565+1&gt;$K$3,"T",IF(INDEX($M$4:$M$2003,MATCH($Q565+1,$P$4:$P$2003,0))&lt;&gt;INDEX($M$4:$M$2003,MATCH($Q565,$P$4:$P$2003,0)),"B","S"))))</f>
        <v/>
      </c>
      <c r="S566">
        <f>IF(Q566="","",IFERROR(MATCH(Q566,$P$4:$P$2003,0),""))</f>
        <v/>
      </c>
    </row>
    <row r="567">
      <c r="A567" s="4">
        <f>IF($R567="","",IF($R567="T","Gesamtergebnis",IF($R567="B",INDEX($M$4:$M$2003,$S567),INDEX($L$4:$L$2003,$S567))))</f>
        <v/>
      </c>
      <c r="B567" s="4">
        <f>IF($R567="","",IF($R567="T",$K$3,IF($R567="B",COUNTIFS($M$4:$M$2003,INDEX($M$4:$M$2003,$S567),$N$4:$N$2003,1),1)))</f>
        <v/>
      </c>
      <c r="L567">
        <f>IF($K$1="","",IFERROR(INDEX(Lines!$A:$AA,ROW()-2,$K$1),""))</f>
        <v/>
      </c>
      <c r="M567">
        <f>IF($K$2="","",IFERROR(INDEX(Lines!$A:$AA,ROW()-2,$K$2),""))</f>
        <v/>
      </c>
      <c r="N567">
        <f>IF(AND(L567&lt;&gt;"",LEFT(L567,1)="N",M567&lt;&gt;"PICKING",M567&lt;&gt;""),1,0)</f>
        <v/>
      </c>
      <c r="O567">
        <f>IF(N567=1,M567&amp;"|"&amp;L567,REPT("z",40))</f>
        <v/>
      </c>
      <c r="P567">
        <f>IF(N567=1,COUNTIF($O$4:$O$2003,"&lt;"&amp;O567)+1,"")</f>
        <v/>
      </c>
      <c r="Q567">
        <f>IF(OR($R566="",$R566="T"),"",IF($R566="B",$Q566,IF($Q566+1&gt;$K$3,"",$Q566+1)))</f>
        <v/>
      </c>
      <c r="R567">
        <f>IF(OR($R566="",$R566="T"),"",IF($R566="B","S",IF($Q566+1&gt;$K$3,"T",IF(INDEX($M$4:$M$2003,MATCH($Q566+1,$P$4:$P$2003,0))&lt;&gt;INDEX($M$4:$M$2003,MATCH($Q566,$P$4:$P$2003,0)),"B","S"))))</f>
        <v/>
      </c>
      <c r="S567">
        <f>IF(Q567="","",IFERROR(MATCH(Q567,$P$4:$P$2003,0),""))</f>
        <v/>
      </c>
    </row>
    <row r="568">
      <c r="A568" s="4">
        <f>IF($R568="","",IF($R568="T","Gesamtergebnis",IF($R568="B",INDEX($M$4:$M$2003,$S568),INDEX($L$4:$L$2003,$S568))))</f>
        <v/>
      </c>
      <c r="B568" s="4">
        <f>IF($R568="","",IF($R568="T",$K$3,IF($R568="B",COUNTIFS($M$4:$M$2003,INDEX($M$4:$M$2003,$S568),$N$4:$N$2003,1),1)))</f>
        <v/>
      </c>
      <c r="L568">
        <f>IF($K$1="","",IFERROR(INDEX(Lines!$A:$AA,ROW()-2,$K$1),""))</f>
        <v/>
      </c>
      <c r="M568">
        <f>IF($K$2="","",IFERROR(INDEX(Lines!$A:$AA,ROW()-2,$K$2),""))</f>
        <v/>
      </c>
      <c r="N568">
        <f>IF(AND(L568&lt;&gt;"",LEFT(L568,1)="N",M568&lt;&gt;"PICKING",M568&lt;&gt;""),1,0)</f>
        <v/>
      </c>
      <c r="O568">
        <f>IF(N568=1,M568&amp;"|"&amp;L568,REPT("z",40))</f>
        <v/>
      </c>
      <c r="P568">
        <f>IF(N568=1,COUNTIF($O$4:$O$2003,"&lt;"&amp;O568)+1,"")</f>
        <v/>
      </c>
      <c r="Q568">
        <f>IF(OR($R567="",$R567="T"),"",IF($R567="B",$Q567,IF($Q567+1&gt;$K$3,"",$Q567+1)))</f>
        <v/>
      </c>
      <c r="R568">
        <f>IF(OR($R567="",$R567="T"),"",IF($R567="B","S",IF($Q567+1&gt;$K$3,"T",IF(INDEX($M$4:$M$2003,MATCH($Q567+1,$P$4:$P$2003,0))&lt;&gt;INDEX($M$4:$M$2003,MATCH($Q567,$P$4:$P$2003,0)),"B","S"))))</f>
        <v/>
      </c>
      <c r="S568">
        <f>IF(Q568="","",IFERROR(MATCH(Q568,$P$4:$P$2003,0),""))</f>
        <v/>
      </c>
    </row>
    <row r="569">
      <c r="A569" s="4">
        <f>IF($R569="","",IF($R569="T","Gesamtergebnis",IF($R569="B",INDEX($M$4:$M$2003,$S569),INDEX($L$4:$L$2003,$S569))))</f>
        <v/>
      </c>
      <c r="B569" s="4">
        <f>IF($R569="","",IF($R569="T",$K$3,IF($R569="B",COUNTIFS($M$4:$M$2003,INDEX($M$4:$M$2003,$S569),$N$4:$N$2003,1),1)))</f>
        <v/>
      </c>
      <c r="L569">
        <f>IF($K$1="","",IFERROR(INDEX(Lines!$A:$AA,ROW()-2,$K$1),""))</f>
        <v/>
      </c>
      <c r="M569">
        <f>IF($K$2="","",IFERROR(INDEX(Lines!$A:$AA,ROW()-2,$K$2),""))</f>
        <v/>
      </c>
      <c r="N569">
        <f>IF(AND(L569&lt;&gt;"",LEFT(L569,1)="N",M569&lt;&gt;"PICKING",M569&lt;&gt;""),1,0)</f>
        <v/>
      </c>
      <c r="O569">
        <f>IF(N569=1,M569&amp;"|"&amp;L569,REPT("z",40))</f>
        <v/>
      </c>
      <c r="P569">
        <f>IF(N569=1,COUNTIF($O$4:$O$2003,"&lt;"&amp;O569)+1,"")</f>
        <v/>
      </c>
      <c r="Q569">
        <f>IF(OR($R568="",$R568="T"),"",IF($R568="B",$Q568,IF($Q568+1&gt;$K$3,"",$Q568+1)))</f>
        <v/>
      </c>
      <c r="R569">
        <f>IF(OR($R568="",$R568="T"),"",IF($R568="B","S",IF($Q568+1&gt;$K$3,"T",IF(INDEX($M$4:$M$2003,MATCH($Q568+1,$P$4:$P$2003,0))&lt;&gt;INDEX($M$4:$M$2003,MATCH($Q568,$P$4:$P$2003,0)),"B","S"))))</f>
        <v/>
      </c>
      <c r="S569">
        <f>IF(Q569="","",IFERROR(MATCH(Q569,$P$4:$P$2003,0),""))</f>
        <v/>
      </c>
    </row>
    <row r="570">
      <c r="A570" s="4">
        <f>IF($R570="","",IF($R570="T","Gesamtergebnis",IF($R570="B",INDEX($M$4:$M$2003,$S570),INDEX($L$4:$L$2003,$S570))))</f>
        <v/>
      </c>
      <c r="B570" s="4">
        <f>IF($R570="","",IF($R570="T",$K$3,IF($R570="B",COUNTIFS($M$4:$M$2003,INDEX($M$4:$M$2003,$S570),$N$4:$N$2003,1),1)))</f>
        <v/>
      </c>
      <c r="L570">
        <f>IF($K$1="","",IFERROR(INDEX(Lines!$A:$AA,ROW()-2,$K$1),""))</f>
        <v/>
      </c>
      <c r="M570">
        <f>IF($K$2="","",IFERROR(INDEX(Lines!$A:$AA,ROW()-2,$K$2),""))</f>
        <v/>
      </c>
      <c r="N570">
        <f>IF(AND(L570&lt;&gt;"",LEFT(L570,1)="N",M570&lt;&gt;"PICKING",M570&lt;&gt;""),1,0)</f>
        <v/>
      </c>
      <c r="O570">
        <f>IF(N570=1,M570&amp;"|"&amp;L570,REPT("z",40))</f>
        <v/>
      </c>
      <c r="P570">
        <f>IF(N570=1,COUNTIF($O$4:$O$2003,"&lt;"&amp;O570)+1,"")</f>
        <v/>
      </c>
      <c r="Q570">
        <f>IF(OR($R569="",$R569="T"),"",IF($R569="B",$Q569,IF($Q569+1&gt;$K$3,"",$Q569+1)))</f>
        <v/>
      </c>
      <c r="R570">
        <f>IF(OR($R569="",$R569="T"),"",IF($R569="B","S",IF($Q569+1&gt;$K$3,"T",IF(INDEX($M$4:$M$2003,MATCH($Q569+1,$P$4:$P$2003,0))&lt;&gt;INDEX($M$4:$M$2003,MATCH($Q569,$P$4:$P$2003,0)),"B","S"))))</f>
        <v/>
      </c>
      <c r="S570">
        <f>IF(Q570="","",IFERROR(MATCH(Q570,$P$4:$P$2003,0),""))</f>
        <v/>
      </c>
    </row>
    <row r="571">
      <c r="A571" s="4">
        <f>IF($R571="","",IF($R571="T","Gesamtergebnis",IF($R571="B",INDEX($M$4:$M$2003,$S571),INDEX($L$4:$L$2003,$S571))))</f>
        <v/>
      </c>
      <c r="B571" s="4">
        <f>IF($R571="","",IF($R571="T",$K$3,IF($R571="B",COUNTIFS($M$4:$M$2003,INDEX($M$4:$M$2003,$S571),$N$4:$N$2003,1),1)))</f>
        <v/>
      </c>
      <c r="L571">
        <f>IF($K$1="","",IFERROR(INDEX(Lines!$A:$AA,ROW()-2,$K$1),""))</f>
        <v/>
      </c>
      <c r="M571">
        <f>IF($K$2="","",IFERROR(INDEX(Lines!$A:$AA,ROW()-2,$K$2),""))</f>
        <v/>
      </c>
      <c r="N571">
        <f>IF(AND(L571&lt;&gt;"",LEFT(L571,1)="N",M571&lt;&gt;"PICKING",M571&lt;&gt;""),1,0)</f>
        <v/>
      </c>
      <c r="O571">
        <f>IF(N571=1,M571&amp;"|"&amp;L571,REPT("z",40))</f>
        <v/>
      </c>
      <c r="P571">
        <f>IF(N571=1,COUNTIF($O$4:$O$2003,"&lt;"&amp;O571)+1,"")</f>
        <v/>
      </c>
      <c r="Q571">
        <f>IF(OR($R570="",$R570="T"),"",IF($R570="B",$Q570,IF($Q570+1&gt;$K$3,"",$Q570+1)))</f>
        <v/>
      </c>
      <c r="R571">
        <f>IF(OR($R570="",$R570="T"),"",IF($R570="B","S",IF($Q570+1&gt;$K$3,"T",IF(INDEX($M$4:$M$2003,MATCH($Q570+1,$P$4:$P$2003,0))&lt;&gt;INDEX($M$4:$M$2003,MATCH($Q570,$P$4:$P$2003,0)),"B","S"))))</f>
        <v/>
      </c>
      <c r="S571">
        <f>IF(Q571="","",IFERROR(MATCH(Q571,$P$4:$P$2003,0),""))</f>
        <v/>
      </c>
    </row>
    <row r="572">
      <c r="A572" s="4">
        <f>IF($R572="","",IF($R572="T","Gesamtergebnis",IF($R572="B",INDEX($M$4:$M$2003,$S572),INDEX($L$4:$L$2003,$S572))))</f>
        <v/>
      </c>
      <c r="B572" s="4">
        <f>IF($R572="","",IF($R572="T",$K$3,IF($R572="B",COUNTIFS($M$4:$M$2003,INDEX($M$4:$M$2003,$S572),$N$4:$N$2003,1),1)))</f>
        <v/>
      </c>
      <c r="L572">
        <f>IF($K$1="","",IFERROR(INDEX(Lines!$A:$AA,ROW()-2,$K$1),""))</f>
        <v/>
      </c>
      <c r="M572">
        <f>IF($K$2="","",IFERROR(INDEX(Lines!$A:$AA,ROW()-2,$K$2),""))</f>
        <v/>
      </c>
      <c r="N572">
        <f>IF(AND(L572&lt;&gt;"",LEFT(L572,1)="N",M572&lt;&gt;"PICKING",M572&lt;&gt;""),1,0)</f>
        <v/>
      </c>
      <c r="O572">
        <f>IF(N572=1,M572&amp;"|"&amp;L572,REPT("z",40))</f>
        <v/>
      </c>
      <c r="P572">
        <f>IF(N572=1,COUNTIF($O$4:$O$2003,"&lt;"&amp;O572)+1,"")</f>
        <v/>
      </c>
      <c r="Q572">
        <f>IF(OR($R571="",$R571="T"),"",IF($R571="B",$Q571,IF($Q571+1&gt;$K$3,"",$Q571+1)))</f>
        <v/>
      </c>
      <c r="R572">
        <f>IF(OR($R571="",$R571="T"),"",IF($R571="B","S",IF($Q571+1&gt;$K$3,"T",IF(INDEX($M$4:$M$2003,MATCH($Q571+1,$P$4:$P$2003,0))&lt;&gt;INDEX($M$4:$M$2003,MATCH($Q571,$P$4:$P$2003,0)),"B","S"))))</f>
        <v/>
      </c>
      <c r="S572">
        <f>IF(Q572="","",IFERROR(MATCH(Q572,$P$4:$P$2003,0),""))</f>
        <v/>
      </c>
    </row>
    <row r="573">
      <c r="A573" s="4">
        <f>IF($R573="","",IF($R573="T","Gesamtergebnis",IF($R573="B",INDEX($M$4:$M$2003,$S573),INDEX($L$4:$L$2003,$S573))))</f>
        <v/>
      </c>
      <c r="B573" s="4">
        <f>IF($R573="","",IF($R573="T",$K$3,IF($R573="B",COUNTIFS($M$4:$M$2003,INDEX($M$4:$M$2003,$S573),$N$4:$N$2003,1),1)))</f>
        <v/>
      </c>
      <c r="L573">
        <f>IF($K$1="","",IFERROR(INDEX(Lines!$A:$AA,ROW()-2,$K$1),""))</f>
        <v/>
      </c>
      <c r="M573">
        <f>IF($K$2="","",IFERROR(INDEX(Lines!$A:$AA,ROW()-2,$K$2),""))</f>
        <v/>
      </c>
      <c r="N573">
        <f>IF(AND(L573&lt;&gt;"",LEFT(L573,1)="N",M573&lt;&gt;"PICKING",M573&lt;&gt;""),1,0)</f>
        <v/>
      </c>
      <c r="O573">
        <f>IF(N573=1,M573&amp;"|"&amp;L573,REPT("z",40))</f>
        <v/>
      </c>
      <c r="P573">
        <f>IF(N573=1,COUNTIF($O$4:$O$2003,"&lt;"&amp;O573)+1,"")</f>
        <v/>
      </c>
      <c r="Q573">
        <f>IF(OR($R572="",$R572="T"),"",IF($R572="B",$Q572,IF($Q572+1&gt;$K$3,"",$Q572+1)))</f>
        <v/>
      </c>
      <c r="R573">
        <f>IF(OR($R572="",$R572="T"),"",IF($R572="B","S",IF($Q572+1&gt;$K$3,"T",IF(INDEX($M$4:$M$2003,MATCH($Q572+1,$P$4:$P$2003,0))&lt;&gt;INDEX($M$4:$M$2003,MATCH($Q572,$P$4:$P$2003,0)),"B","S"))))</f>
        <v/>
      </c>
      <c r="S573">
        <f>IF(Q573="","",IFERROR(MATCH(Q573,$P$4:$P$2003,0),""))</f>
        <v/>
      </c>
    </row>
    <row r="574">
      <c r="A574" s="4">
        <f>IF($R574="","",IF($R574="T","Gesamtergebnis",IF($R574="B",INDEX($M$4:$M$2003,$S574),INDEX($L$4:$L$2003,$S574))))</f>
        <v/>
      </c>
      <c r="B574" s="4">
        <f>IF($R574="","",IF($R574="T",$K$3,IF($R574="B",COUNTIFS($M$4:$M$2003,INDEX($M$4:$M$2003,$S574),$N$4:$N$2003,1),1)))</f>
        <v/>
      </c>
      <c r="L574">
        <f>IF($K$1="","",IFERROR(INDEX(Lines!$A:$AA,ROW()-2,$K$1),""))</f>
        <v/>
      </c>
      <c r="M574">
        <f>IF($K$2="","",IFERROR(INDEX(Lines!$A:$AA,ROW()-2,$K$2),""))</f>
        <v/>
      </c>
      <c r="N574">
        <f>IF(AND(L574&lt;&gt;"",LEFT(L574,1)="N",M574&lt;&gt;"PICKING",M574&lt;&gt;""),1,0)</f>
        <v/>
      </c>
      <c r="O574">
        <f>IF(N574=1,M574&amp;"|"&amp;L574,REPT("z",40))</f>
        <v/>
      </c>
      <c r="P574">
        <f>IF(N574=1,COUNTIF($O$4:$O$2003,"&lt;"&amp;O574)+1,"")</f>
        <v/>
      </c>
      <c r="Q574">
        <f>IF(OR($R573="",$R573="T"),"",IF($R573="B",$Q573,IF($Q573+1&gt;$K$3,"",$Q573+1)))</f>
        <v/>
      </c>
      <c r="R574">
        <f>IF(OR($R573="",$R573="T"),"",IF($R573="B","S",IF($Q573+1&gt;$K$3,"T",IF(INDEX($M$4:$M$2003,MATCH($Q573+1,$P$4:$P$2003,0))&lt;&gt;INDEX($M$4:$M$2003,MATCH($Q573,$P$4:$P$2003,0)),"B","S"))))</f>
        <v/>
      </c>
      <c r="S574">
        <f>IF(Q574="","",IFERROR(MATCH(Q574,$P$4:$P$2003,0),""))</f>
        <v/>
      </c>
    </row>
    <row r="575">
      <c r="A575" s="4">
        <f>IF($R575="","",IF($R575="T","Gesamtergebnis",IF($R575="B",INDEX($M$4:$M$2003,$S575),INDEX($L$4:$L$2003,$S575))))</f>
        <v/>
      </c>
      <c r="B575" s="4">
        <f>IF($R575="","",IF($R575="T",$K$3,IF($R575="B",COUNTIFS($M$4:$M$2003,INDEX($M$4:$M$2003,$S575),$N$4:$N$2003,1),1)))</f>
        <v/>
      </c>
      <c r="L575">
        <f>IF($K$1="","",IFERROR(INDEX(Lines!$A:$AA,ROW()-2,$K$1),""))</f>
        <v/>
      </c>
      <c r="M575">
        <f>IF($K$2="","",IFERROR(INDEX(Lines!$A:$AA,ROW()-2,$K$2),""))</f>
        <v/>
      </c>
      <c r="N575">
        <f>IF(AND(L575&lt;&gt;"",LEFT(L575,1)="N",M575&lt;&gt;"PICKING",M575&lt;&gt;""),1,0)</f>
        <v/>
      </c>
      <c r="O575">
        <f>IF(N575=1,M575&amp;"|"&amp;L575,REPT("z",40))</f>
        <v/>
      </c>
      <c r="P575">
        <f>IF(N575=1,COUNTIF($O$4:$O$2003,"&lt;"&amp;O575)+1,"")</f>
        <v/>
      </c>
      <c r="Q575">
        <f>IF(OR($R574="",$R574="T"),"",IF($R574="B",$Q574,IF($Q574+1&gt;$K$3,"",$Q574+1)))</f>
        <v/>
      </c>
      <c r="R575">
        <f>IF(OR($R574="",$R574="T"),"",IF($R574="B","S",IF($Q574+1&gt;$K$3,"T",IF(INDEX($M$4:$M$2003,MATCH($Q574+1,$P$4:$P$2003,0))&lt;&gt;INDEX($M$4:$M$2003,MATCH($Q574,$P$4:$P$2003,0)),"B","S"))))</f>
        <v/>
      </c>
      <c r="S575">
        <f>IF(Q575="","",IFERROR(MATCH(Q575,$P$4:$P$2003,0),""))</f>
        <v/>
      </c>
    </row>
    <row r="576">
      <c r="A576" s="4">
        <f>IF($R576="","",IF($R576="T","Gesamtergebnis",IF($R576="B",INDEX($M$4:$M$2003,$S576),INDEX($L$4:$L$2003,$S576))))</f>
        <v/>
      </c>
      <c r="B576" s="4">
        <f>IF($R576="","",IF($R576="T",$K$3,IF($R576="B",COUNTIFS($M$4:$M$2003,INDEX($M$4:$M$2003,$S576),$N$4:$N$2003,1),1)))</f>
        <v/>
      </c>
      <c r="L576">
        <f>IF($K$1="","",IFERROR(INDEX(Lines!$A:$AA,ROW()-2,$K$1),""))</f>
        <v/>
      </c>
      <c r="M576">
        <f>IF($K$2="","",IFERROR(INDEX(Lines!$A:$AA,ROW()-2,$K$2),""))</f>
        <v/>
      </c>
      <c r="N576">
        <f>IF(AND(L576&lt;&gt;"",LEFT(L576,1)="N",M576&lt;&gt;"PICKING",M576&lt;&gt;""),1,0)</f>
        <v/>
      </c>
      <c r="O576">
        <f>IF(N576=1,M576&amp;"|"&amp;L576,REPT("z",40))</f>
        <v/>
      </c>
      <c r="P576">
        <f>IF(N576=1,COUNTIF($O$4:$O$2003,"&lt;"&amp;O576)+1,"")</f>
        <v/>
      </c>
      <c r="Q576">
        <f>IF(OR($R575="",$R575="T"),"",IF($R575="B",$Q575,IF($Q575+1&gt;$K$3,"",$Q575+1)))</f>
        <v/>
      </c>
      <c r="R576">
        <f>IF(OR($R575="",$R575="T"),"",IF($R575="B","S",IF($Q575+1&gt;$K$3,"T",IF(INDEX($M$4:$M$2003,MATCH($Q575+1,$P$4:$P$2003,0))&lt;&gt;INDEX($M$4:$M$2003,MATCH($Q575,$P$4:$P$2003,0)),"B","S"))))</f>
        <v/>
      </c>
      <c r="S576">
        <f>IF(Q576="","",IFERROR(MATCH(Q576,$P$4:$P$2003,0),""))</f>
        <v/>
      </c>
    </row>
    <row r="577">
      <c r="A577" s="4">
        <f>IF($R577="","",IF($R577="T","Gesamtergebnis",IF($R577="B",INDEX($M$4:$M$2003,$S577),INDEX($L$4:$L$2003,$S577))))</f>
        <v/>
      </c>
      <c r="B577" s="4">
        <f>IF($R577="","",IF($R577="T",$K$3,IF($R577="B",COUNTIFS($M$4:$M$2003,INDEX($M$4:$M$2003,$S577),$N$4:$N$2003,1),1)))</f>
        <v/>
      </c>
      <c r="L577">
        <f>IF($K$1="","",IFERROR(INDEX(Lines!$A:$AA,ROW()-2,$K$1),""))</f>
        <v/>
      </c>
      <c r="M577">
        <f>IF($K$2="","",IFERROR(INDEX(Lines!$A:$AA,ROW()-2,$K$2),""))</f>
        <v/>
      </c>
      <c r="N577">
        <f>IF(AND(L577&lt;&gt;"",LEFT(L577,1)="N",M577&lt;&gt;"PICKING",M577&lt;&gt;""),1,0)</f>
        <v/>
      </c>
      <c r="O577">
        <f>IF(N577=1,M577&amp;"|"&amp;L577,REPT("z",40))</f>
        <v/>
      </c>
      <c r="P577">
        <f>IF(N577=1,COUNTIF($O$4:$O$2003,"&lt;"&amp;O577)+1,"")</f>
        <v/>
      </c>
      <c r="Q577">
        <f>IF(OR($R576="",$R576="T"),"",IF($R576="B",$Q576,IF($Q576+1&gt;$K$3,"",$Q576+1)))</f>
        <v/>
      </c>
      <c r="R577">
        <f>IF(OR($R576="",$R576="T"),"",IF($R576="B","S",IF($Q576+1&gt;$K$3,"T",IF(INDEX($M$4:$M$2003,MATCH($Q576+1,$P$4:$P$2003,0))&lt;&gt;INDEX($M$4:$M$2003,MATCH($Q576,$P$4:$P$2003,0)),"B","S"))))</f>
        <v/>
      </c>
      <c r="S577">
        <f>IF(Q577="","",IFERROR(MATCH(Q577,$P$4:$P$2003,0),""))</f>
        <v/>
      </c>
    </row>
    <row r="578">
      <c r="A578" s="4">
        <f>IF($R578="","",IF($R578="T","Gesamtergebnis",IF($R578="B",INDEX($M$4:$M$2003,$S578),INDEX($L$4:$L$2003,$S578))))</f>
        <v/>
      </c>
      <c r="B578" s="4">
        <f>IF($R578="","",IF($R578="T",$K$3,IF($R578="B",COUNTIFS($M$4:$M$2003,INDEX($M$4:$M$2003,$S578),$N$4:$N$2003,1),1)))</f>
        <v/>
      </c>
      <c r="L578">
        <f>IF($K$1="","",IFERROR(INDEX(Lines!$A:$AA,ROW()-2,$K$1),""))</f>
        <v/>
      </c>
      <c r="M578">
        <f>IF($K$2="","",IFERROR(INDEX(Lines!$A:$AA,ROW()-2,$K$2),""))</f>
        <v/>
      </c>
      <c r="N578">
        <f>IF(AND(L578&lt;&gt;"",LEFT(L578,1)="N",M578&lt;&gt;"PICKING",M578&lt;&gt;""),1,0)</f>
        <v/>
      </c>
      <c r="O578">
        <f>IF(N578=1,M578&amp;"|"&amp;L578,REPT("z",40))</f>
        <v/>
      </c>
      <c r="P578">
        <f>IF(N578=1,COUNTIF($O$4:$O$2003,"&lt;"&amp;O578)+1,"")</f>
        <v/>
      </c>
      <c r="Q578">
        <f>IF(OR($R577="",$R577="T"),"",IF($R577="B",$Q577,IF($Q577+1&gt;$K$3,"",$Q577+1)))</f>
        <v/>
      </c>
      <c r="R578">
        <f>IF(OR($R577="",$R577="T"),"",IF($R577="B","S",IF($Q577+1&gt;$K$3,"T",IF(INDEX($M$4:$M$2003,MATCH($Q577+1,$P$4:$P$2003,0))&lt;&gt;INDEX($M$4:$M$2003,MATCH($Q577,$P$4:$P$2003,0)),"B","S"))))</f>
        <v/>
      </c>
      <c r="S578">
        <f>IF(Q578="","",IFERROR(MATCH(Q578,$P$4:$P$2003,0),""))</f>
        <v/>
      </c>
    </row>
    <row r="579">
      <c r="A579" s="4">
        <f>IF($R579="","",IF($R579="T","Gesamtergebnis",IF($R579="B",INDEX($M$4:$M$2003,$S579),INDEX($L$4:$L$2003,$S579))))</f>
        <v/>
      </c>
      <c r="B579" s="4">
        <f>IF($R579="","",IF($R579="T",$K$3,IF($R579="B",COUNTIFS($M$4:$M$2003,INDEX($M$4:$M$2003,$S579),$N$4:$N$2003,1),1)))</f>
        <v/>
      </c>
      <c r="L579">
        <f>IF($K$1="","",IFERROR(INDEX(Lines!$A:$AA,ROW()-2,$K$1),""))</f>
        <v/>
      </c>
      <c r="M579">
        <f>IF($K$2="","",IFERROR(INDEX(Lines!$A:$AA,ROW()-2,$K$2),""))</f>
        <v/>
      </c>
      <c r="N579">
        <f>IF(AND(L579&lt;&gt;"",LEFT(L579,1)="N",M579&lt;&gt;"PICKING",M579&lt;&gt;""),1,0)</f>
        <v/>
      </c>
      <c r="O579">
        <f>IF(N579=1,M579&amp;"|"&amp;L579,REPT("z",40))</f>
        <v/>
      </c>
      <c r="P579">
        <f>IF(N579=1,COUNTIF($O$4:$O$2003,"&lt;"&amp;O579)+1,"")</f>
        <v/>
      </c>
      <c r="Q579">
        <f>IF(OR($R578="",$R578="T"),"",IF($R578="B",$Q578,IF($Q578+1&gt;$K$3,"",$Q578+1)))</f>
        <v/>
      </c>
      <c r="R579">
        <f>IF(OR($R578="",$R578="T"),"",IF($R578="B","S",IF($Q578+1&gt;$K$3,"T",IF(INDEX($M$4:$M$2003,MATCH($Q578+1,$P$4:$P$2003,0))&lt;&gt;INDEX($M$4:$M$2003,MATCH($Q578,$P$4:$P$2003,0)),"B","S"))))</f>
        <v/>
      </c>
      <c r="S579">
        <f>IF(Q579="","",IFERROR(MATCH(Q579,$P$4:$P$2003,0),""))</f>
        <v/>
      </c>
    </row>
    <row r="580">
      <c r="A580" s="4">
        <f>IF($R580="","",IF($R580="T","Gesamtergebnis",IF($R580="B",INDEX($M$4:$M$2003,$S580),INDEX($L$4:$L$2003,$S580))))</f>
        <v/>
      </c>
      <c r="B580" s="4">
        <f>IF($R580="","",IF($R580="T",$K$3,IF($R580="B",COUNTIFS($M$4:$M$2003,INDEX($M$4:$M$2003,$S580),$N$4:$N$2003,1),1)))</f>
        <v/>
      </c>
      <c r="L580">
        <f>IF($K$1="","",IFERROR(INDEX(Lines!$A:$AA,ROW()-2,$K$1),""))</f>
        <v/>
      </c>
      <c r="M580">
        <f>IF($K$2="","",IFERROR(INDEX(Lines!$A:$AA,ROW()-2,$K$2),""))</f>
        <v/>
      </c>
      <c r="N580">
        <f>IF(AND(L580&lt;&gt;"",LEFT(L580,1)="N",M580&lt;&gt;"PICKING",M580&lt;&gt;""),1,0)</f>
        <v/>
      </c>
      <c r="O580">
        <f>IF(N580=1,M580&amp;"|"&amp;L580,REPT("z",40))</f>
        <v/>
      </c>
      <c r="P580">
        <f>IF(N580=1,COUNTIF($O$4:$O$2003,"&lt;"&amp;O580)+1,"")</f>
        <v/>
      </c>
      <c r="Q580">
        <f>IF(OR($R579="",$R579="T"),"",IF($R579="B",$Q579,IF($Q579+1&gt;$K$3,"",$Q579+1)))</f>
        <v/>
      </c>
      <c r="R580">
        <f>IF(OR($R579="",$R579="T"),"",IF($R579="B","S",IF($Q579+1&gt;$K$3,"T",IF(INDEX($M$4:$M$2003,MATCH($Q579+1,$P$4:$P$2003,0))&lt;&gt;INDEX($M$4:$M$2003,MATCH($Q579,$P$4:$P$2003,0)),"B","S"))))</f>
        <v/>
      </c>
      <c r="S580">
        <f>IF(Q580="","",IFERROR(MATCH(Q580,$P$4:$P$2003,0),""))</f>
        <v/>
      </c>
    </row>
    <row r="581">
      <c r="A581" s="4">
        <f>IF($R581="","",IF($R581="T","Gesamtergebnis",IF($R581="B",INDEX($M$4:$M$2003,$S581),INDEX($L$4:$L$2003,$S581))))</f>
        <v/>
      </c>
      <c r="B581" s="4">
        <f>IF($R581="","",IF($R581="T",$K$3,IF($R581="B",COUNTIFS($M$4:$M$2003,INDEX($M$4:$M$2003,$S581),$N$4:$N$2003,1),1)))</f>
        <v/>
      </c>
      <c r="L581">
        <f>IF($K$1="","",IFERROR(INDEX(Lines!$A:$AA,ROW()-2,$K$1),""))</f>
        <v/>
      </c>
      <c r="M581">
        <f>IF($K$2="","",IFERROR(INDEX(Lines!$A:$AA,ROW()-2,$K$2),""))</f>
        <v/>
      </c>
      <c r="N581">
        <f>IF(AND(L581&lt;&gt;"",LEFT(L581,1)="N",M581&lt;&gt;"PICKING",M581&lt;&gt;""),1,0)</f>
        <v/>
      </c>
      <c r="O581">
        <f>IF(N581=1,M581&amp;"|"&amp;L581,REPT("z",40))</f>
        <v/>
      </c>
      <c r="P581">
        <f>IF(N581=1,COUNTIF($O$4:$O$2003,"&lt;"&amp;O581)+1,"")</f>
        <v/>
      </c>
      <c r="Q581">
        <f>IF(OR($R580="",$R580="T"),"",IF($R580="B",$Q580,IF($Q580+1&gt;$K$3,"",$Q580+1)))</f>
        <v/>
      </c>
      <c r="R581">
        <f>IF(OR($R580="",$R580="T"),"",IF($R580="B","S",IF($Q580+1&gt;$K$3,"T",IF(INDEX($M$4:$M$2003,MATCH($Q580+1,$P$4:$P$2003,0))&lt;&gt;INDEX($M$4:$M$2003,MATCH($Q580,$P$4:$P$2003,0)),"B","S"))))</f>
        <v/>
      </c>
      <c r="S581">
        <f>IF(Q581="","",IFERROR(MATCH(Q581,$P$4:$P$2003,0),""))</f>
        <v/>
      </c>
    </row>
    <row r="582">
      <c r="A582" s="4">
        <f>IF($R582="","",IF($R582="T","Gesamtergebnis",IF($R582="B",INDEX($M$4:$M$2003,$S582),INDEX($L$4:$L$2003,$S582))))</f>
        <v/>
      </c>
      <c r="B582" s="4">
        <f>IF($R582="","",IF($R582="T",$K$3,IF($R582="B",COUNTIFS($M$4:$M$2003,INDEX($M$4:$M$2003,$S582),$N$4:$N$2003,1),1)))</f>
        <v/>
      </c>
      <c r="L582">
        <f>IF($K$1="","",IFERROR(INDEX(Lines!$A:$AA,ROW()-2,$K$1),""))</f>
        <v/>
      </c>
      <c r="M582">
        <f>IF($K$2="","",IFERROR(INDEX(Lines!$A:$AA,ROW()-2,$K$2),""))</f>
        <v/>
      </c>
      <c r="N582">
        <f>IF(AND(L582&lt;&gt;"",LEFT(L582,1)="N",M582&lt;&gt;"PICKING",M582&lt;&gt;""),1,0)</f>
        <v/>
      </c>
      <c r="O582">
        <f>IF(N582=1,M582&amp;"|"&amp;L582,REPT("z",40))</f>
        <v/>
      </c>
      <c r="P582">
        <f>IF(N582=1,COUNTIF($O$4:$O$2003,"&lt;"&amp;O582)+1,"")</f>
        <v/>
      </c>
      <c r="Q582">
        <f>IF(OR($R581="",$R581="T"),"",IF($R581="B",$Q581,IF($Q581+1&gt;$K$3,"",$Q581+1)))</f>
        <v/>
      </c>
      <c r="R582">
        <f>IF(OR($R581="",$R581="T"),"",IF($R581="B","S",IF($Q581+1&gt;$K$3,"T",IF(INDEX($M$4:$M$2003,MATCH($Q581+1,$P$4:$P$2003,0))&lt;&gt;INDEX($M$4:$M$2003,MATCH($Q581,$P$4:$P$2003,0)),"B","S"))))</f>
        <v/>
      </c>
      <c r="S582">
        <f>IF(Q582="","",IFERROR(MATCH(Q582,$P$4:$P$2003,0),""))</f>
        <v/>
      </c>
    </row>
    <row r="583">
      <c r="A583" s="4">
        <f>IF($R583="","",IF($R583="T","Gesamtergebnis",IF($R583="B",INDEX($M$4:$M$2003,$S583),INDEX($L$4:$L$2003,$S583))))</f>
        <v/>
      </c>
      <c r="B583" s="4">
        <f>IF($R583="","",IF($R583="T",$K$3,IF($R583="B",COUNTIFS($M$4:$M$2003,INDEX($M$4:$M$2003,$S583),$N$4:$N$2003,1),1)))</f>
        <v/>
      </c>
      <c r="L583">
        <f>IF($K$1="","",IFERROR(INDEX(Lines!$A:$AA,ROW()-2,$K$1),""))</f>
        <v/>
      </c>
      <c r="M583">
        <f>IF($K$2="","",IFERROR(INDEX(Lines!$A:$AA,ROW()-2,$K$2),""))</f>
        <v/>
      </c>
      <c r="N583">
        <f>IF(AND(L583&lt;&gt;"",LEFT(L583,1)="N",M583&lt;&gt;"PICKING",M583&lt;&gt;""),1,0)</f>
        <v/>
      </c>
      <c r="O583">
        <f>IF(N583=1,M583&amp;"|"&amp;L583,REPT("z",40))</f>
        <v/>
      </c>
      <c r="P583">
        <f>IF(N583=1,COUNTIF($O$4:$O$2003,"&lt;"&amp;O583)+1,"")</f>
        <v/>
      </c>
      <c r="Q583">
        <f>IF(OR($R582="",$R582="T"),"",IF($R582="B",$Q582,IF($Q582+1&gt;$K$3,"",$Q582+1)))</f>
        <v/>
      </c>
      <c r="R583">
        <f>IF(OR($R582="",$R582="T"),"",IF($R582="B","S",IF($Q582+1&gt;$K$3,"T",IF(INDEX($M$4:$M$2003,MATCH($Q582+1,$P$4:$P$2003,0))&lt;&gt;INDEX($M$4:$M$2003,MATCH($Q582,$P$4:$P$2003,0)),"B","S"))))</f>
        <v/>
      </c>
      <c r="S583">
        <f>IF(Q583="","",IFERROR(MATCH(Q583,$P$4:$P$2003,0),""))</f>
        <v/>
      </c>
    </row>
    <row r="584">
      <c r="A584" s="4">
        <f>IF($R584="","",IF($R584="T","Gesamtergebnis",IF($R584="B",INDEX($M$4:$M$2003,$S584),INDEX($L$4:$L$2003,$S584))))</f>
        <v/>
      </c>
      <c r="B584" s="4">
        <f>IF($R584="","",IF($R584="T",$K$3,IF($R584="B",COUNTIFS($M$4:$M$2003,INDEX($M$4:$M$2003,$S584),$N$4:$N$2003,1),1)))</f>
        <v/>
      </c>
      <c r="L584">
        <f>IF($K$1="","",IFERROR(INDEX(Lines!$A:$AA,ROW()-2,$K$1),""))</f>
        <v/>
      </c>
      <c r="M584">
        <f>IF($K$2="","",IFERROR(INDEX(Lines!$A:$AA,ROW()-2,$K$2),""))</f>
        <v/>
      </c>
      <c r="N584">
        <f>IF(AND(L584&lt;&gt;"",LEFT(L584,1)="N",M584&lt;&gt;"PICKING",M584&lt;&gt;""),1,0)</f>
        <v/>
      </c>
      <c r="O584">
        <f>IF(N584=1,M584&amp;"|"&amp;L584,REPT("z",40))</f>
        <v/>
      </c>
      <c r="P584">
        <f>IF(N584=1,COUNTIF($O$4:$O$2003,"&lt;"&amp;O584)+1,"")</f>
        <v/>
      </c>
      <c r="Q584">
        <f>IF(OR($R583="",$R583="T"),"",IF($R583="B",$Q583,IF($Q583+1&gt;$K$3,"",$Q583+1)))</f>
        <v/>
      </c>
      <c r="R584">
        <f>IF(OR($R583="",$R583="T"),"",IF($R583="B","S",IF($Q583+1&gt;$K$3,"T",IF(INDEX($M$4:$M$2003,MATCH($Q583+1,$P$4:$P$2003,0))&lt;&gt;INDEX($M$4:$M$2003,MATCH($Q583,$P$4:$P$2003,0)),"B","S"))))</f>
        <v/>
      </c>
      <c r="S584">
        <f>IF(Q584="","",IFERROR(MATCH(Q584,$P$4:$P$2003,0),""))</f>
        <v/>
      </c>
    </row>
    <row r="585">
      <c r="A585" s="4">
        <f>IF($R585="","",IF($R585="T","Gesamtergebnis",IF($R585="B",INDEX($M$4:$M$2003,$S585),INDEX($L$4:$L$2003,$S585))))</f>
        <v/>
      </c>
      <c r="B585" s="4">
        <f>IF($R585="","",IF($R585="T",$K$3,IF($R585="B",COUNTIFS($M$4:$M$2003,INDEX($M$4:$M$2003,$S585),$N$4:$N$2003,1),1)))</f>
        <v/>
      </c>
      <c r="L585">
        <f>IF($K$1="","",IFERROR(INDEX(Lines!$A:$AA,ROW()-2,$K$1),""))</f>
        <v/>
      </c>
      <c r="M585">
        <f>IF($K$2="","",IFERROR(INDEX(Lines!$A:$AA,ROW()-2,$K$2),""))</f>
        <v/>
      </c>
      <c r="N585">
        <f>IF(AND(L585&lt;&gt;"",LEFT(L585,1)="N",M585&lt;&gt;"PICKING",M585&lt;&gt;""),1,0)</f>
        <v/>
      </c>
      <c r="O585">
        <f>IF(N585=1,M585&amp;"|"&amp;L585,REPT("z",40))</f>
        <v/>
      </c>
      <c r="P585">
        <f>IF(N585=1,COUNTIF($O$4:$O$2003,"&lt;"&amp;O585)+1,"")</f>
        <v/>
      </c>
      <c r="Q585">
        <f>IF(OR($R584="",$R584="T"),"",IF($R584="B",$Q584,IF($Q584+1&gt;$K$3,"",$Q584+1)))</f>
        <v/>
      </c>
      <c r="R585">
        <f>IF(OR($R584="",$R584="T"),"",IF($R584="B","S",IF($Q584+1&gt;$K$3,"T",IF(INDEX($M$4:$M$2003,MATCH($Q584+1,$P$4:$P$2003,0))&lt;&gt;INDEX($M$4:$M$2003,MATCH($Q584,$P$4:$P$2003,0)),"B","S"))))</f>
        <v/>
      </c>
      <c r="S585">
        <f>IF(Q585="","",IFERROR(MATCH(Q585,$P$4:$P$2003,0),""))</f>
        <v/>
      </c>
    </row>
    <row r="586">
      <c r="A586" s="4">
        <f>IF($R586="","",IF($R586="T","Gesamtergebnis",IF($R586="B",INDEX($M$4:$M$2003,$S586),INDEX($L$4:$L$2003,$S586))))</f>
        <v/>
      </c>
      <c r="B586" s="4">
        <f>IF($R586="","",IF($R586="T",$K$3,IF($R586="B",COUNTIFS($M$4:$M$2003,INDEX($M$4:$M$2003,$S586),$N$4:$N$2003,1),1)))</f>
        <v/>
      </c>
      <c r="L586">
        <f>IF($K$1="","",IFERROR(INDEX(Lines!$A:$AA,ROW()-2,$K$1),""))</f>
        <v/>
      </c>
      <c r="M586">
        <f>IF($K$2="","",IFERROR(INDEX(Lines!$A:$AA,ROW()-2,$K$2),""))</f>
        <v/>
      </c>
      <c r="N586">
        <f>IF(AND(L586&lt;&gt;"",LEFT(L586,1)="N",M586&lt;&gt;"PICKING",M586&lt;&gt;""),1,0)</f>
        <v/>
      </c>
      <c r="O586">
        <f>IF(N586=1,M586&amp;"|"&amp;L586,REPT("z",40))</f>
        <v/>
      </c>
      <c r="P586">
        <f>IF(N586=1,COUNTIF($O$4:$O$2003,"&lt;"&amp;O586)+1,"")</f>
        <v/>
      </c>
      <c r="Q586">
        <f>IF(OR($R585="",$R585="T"),"",IF($R585="B",$Q585,IF($Q585+1&gt;$K$3,"",$Q585+1)))</f>
        <v/>
      </c>
      <c r="R586">
        <f>IF(OR($R585="",$R585="T"),"",IF($R585="B","S",IF($Q585+1&gt;$K$3,"T",IF(INDEX($M$4:$M$2003,MATCH($Q585+1,$P$4:$P$2003,0))&lt;&gt;INDEX($M$4:$M$2003,MATCH($Q585,$P$4:$P$2003,0)),"B","S"))))</f>
        <v/>
      </c>
      <c r="S586">
        <f>IF(Q586="","",IFERROR(MATCH(Q586,$P$4:$P$2003,0),""))</f>
        <v/>
      </c>
    </row>
    <row r="587">
      <c r="A587" s="4">
        <f>IF($R587="","",IF($R587="T","Gesamtergebnis",IF($R587="B",INDEX($M$4:$M$2003,$S587),INDEX($L$4:$L$2003,$S587))))</f>
        <v/>
      </c>
      <c r="B587" s="4">
        <f>IF($R587="","",IF($R587="T",$K$3,IF($R587="B",COUNTIFS($M$4:$M$2003,INDEX($M$4:$M$2003,$S587),$N$4:$N$2003,1),1)))</f>
        <v/>
      </c>
      <c r="L587">
        <f>IF($K$1="","",IFERROR(INDEX(Lines!$A:$AA,ROW()-2,$K$1),""))</f>
        <v/>
      </c>
      <c r="M587">
        <f>IF($K$2="","",IFERROR(INDEX(Lines!$A:$AA,ROW()-2,$K$2),""))</f>
        <v/>
      </c>
      <c r="N587">
        <f>IF(AND(L587&lt;&gt;"",LEFT(L587,1)="N",M587&lt;&gt;"PICKING",M587&lt;&gt;""),1,0)</f>
        <v/>
      </c>
      <c r="O587">
        <f>IF(N587=1,M587&amp;"|"&amp;L587,REPT("z",40))</f>
        <v/>
      </c>
      <c r="P587">
        <f>IF(N587=1,COUNTIF($O$4:$O$2003,"&lt;"&amp;O587)+1,"")</f>
        <v/>
      </c>
      <c r="Q587">
        <f>IF(OR($R586="",$R586="T"),"",IF($R586="B",$Q586,IF($Q586+1&gt;$K$3,"",$Q586+1)))</f>
        <v/>
      </c>
      <c r="R587">
        <f>IF(OR($R586="",$R586="T"),"",IF($R586="B","S",IF($Q586+1&gt;$K$3,"T",IF(INDEX($M$4:$M$2003,MATCH($Q586+1,$P$4:$P$2003,0))&lt;&gt;INDEX($M$4:$M$2003,MATCH($Q586,$P$4:$P$2003,0)),"B","S"))))</f>
        <v/>
      </c>
      <c r="S587">
        <f>IF(Q587="","",IFERROR(MATCH(Q587,$P$4:$P$2003,0),""))</f>
        <v/>
      </c>
    </row>
    <row r="588">
      <c r="A588" s="4">
        <f>IF($R588="","",IF($R588="T","Gesamtergebnis",IF($R588="B",INDEX($M$4:$M$2003,$S588),INDEX($L$4:$L$2003,$S588))))</f>
        <v/>
      </c>
      <c r="B588" s="4">
        <f>IF($R588="","",IF($R588="T",$K$3,IF($R588="B",COUNTIFS($M$4:$M$2003,INDEX($M$4:$M$2003,$S588),$N$4:$N$2003,1),1)))</f>
        <v/>
      </c>
      <c r="L588">
        <f>IF($K$1="","",IFERROR(INDEX(Lines!$A:$AA,ROW()-2,$K$1),""))</f>
        <v/>
      </c>
      <c r="M588">
        <f>IF($K$2="","",IFERROR(INDEX(Lines!$A:$AA,ROW()-2,$K$2),""))</f>
        <v/>
      </c>
      <c r="N588">
        <f>IF(AND(L588&lt;&gt;"",LEFT(L588,1)="N",M588&lt;&gt;"PICKING",M588&lt;&gt;""),1,0)</f>
        <v/>
      </c>
      <c r="O588">
        <f>IF(N588=1,M588&amp;"|"&amp;L588,REPT("z",40))</f>
        <v/>
      </c>
      <c r="P588">
        <f>IF(N588=1,COUNTIF($O$4:$O$2003,"&lt;"&amp;O588)+1,"")</f>
        <v/>
      </c>
      <c r="Q588">
        <f>IF(OR($R587="",$R587="T"),"",IF($R587="B",$Q587,IF($Q587+1&gt;$K$3,"",$Q587+1)))</f>
        <v/>
      </c>
      <c r="R588">
        <f>IF(OR($R587="",$R587="T"),"",IF($R587="B","S",IF($Q587+1&gt;$K$3,"T",IF(INDEX($M$4:$M$2003,MATCH($Q587+1,$P$4:$P$2003,0))&lt;&gt;INDEX($M$4:$M$2003,MATCH($Q587,$P$4:$P$2003,0)),"B","S"))))</f>
        <v/>
      </c>
      <c r="S588">
        <f>IF(Q588="","",IFERROR(MATCH(Q588,$P$4:$P$2003,0),""))</f>
        <v/>
      </c>
    </row>
    <row r="589">
      <c r="A589" s="4">
        <f>IF($R589="","",IF($R589="T","Gesamtergebnis",IF($R589="B",INDEX($M$4:$M$2003,$S589),INDEX($L$4:$L$2003,$S589))))</f>
        <v/>
      </c>
      <c r="B589" s="4">
        <f>IF($R589="","",IF($R589="T",$K$3,IF($R589="B",COUNTIFS($M$4:$M$2003,INDEX($M$4:$M$2003,$S589),$N$4:$N$2003,1),1)))</f>
        <v/>
      </c>
      <c r="L589">
        <f>IF($K$1="","",IFERROR(INDEX(Lines!$A:$AA,ROW()-2,$K$1),""))</f>
        <v/>
      </c>
      <c r="M589">
        <f>IF($K$2="","",IFERROR(INDEX(Lines!$A:$AA,ROW()-2,$K$2),""))</f>
        <v/>
      </c>
      <c r="N589">
        <f>IF(AND(L589&lt;&gt;"",LEFT(L589,1)="N",M589&lt;&gt;"PICKING",M589&lt;&gt;""),1,0)</f>
        <v/>
      </c>
      <c r="O589">
        <f>IF(N589=1,M589&amp;"|"&amp;L589,REPT("z",40))</f>
        <v/>
      </c>
      <c r="P589">
        <f>IF(N589=1,COUNTIF($O$4:$O$2003,"&lt;"&amp;O589)+1,"")</f>
        <v/>
      </c>
      <c r="Q589">
        <f>IF(OR($R588="",$R588="T"),"",IF($R588="B",$Q588,IF($Q588+1&gt;$K$3,"",$Q588+1)))</f>
        <v/>
      </c>
      <c r="R589">
        <f>IF(OR($R588="",$R588="T"),"",IF($R588="B","S",IF($Q588+1&gt;$K$3,"T",IF(INDEX($M$4:$M$2003,MATCH($Q588+1,$P$4:$P$2003,0))&lt;&gt;INDEX($M$4:$M$2003,MATCH($Q588,$P$4:$P$2003,0)),"B","S"))))</f>
        <v/>
      </c>
      <c r="S589">
        <f>IF(Q589="","",IFERROR(MATCH(Q589,$P$4:$P$2003,0),""))</f>
        <v/>
      </c>
    </row>
    <row r="590">
      <c r="A590" s="4">
        <f>IF($R590="","",IF($R590="T","Gesamtergebnis",IF($R590="B",INDEX($M$4:$M$2003,$S590),INDEX($L$4:$L$2003,$S590))))</f>
        <v/>
      </c>
      <c r="B590" s="4">
        <f>IF($R590="","",IF($R590="T",$K$3,IF($R590="B",COUNTIFS($M$4:$M$2003,INDEX($M$4:$M$2003,$S590),$N$4:$N$2003,1),1)))</f>
        <v/>
      </c>
      <c r="L590">
        <f>IF($K$1="","",IFERROR(INDEX(Lines!$A:$AA,ROW()-2,$K$1),""))</f>
        <v/>
      </c>
      <c r="M590">
        <f>IF($K$2="","",IFERROR(INDEX(Lines!$A:$AA,ROW()-2,$K$2),""))</f>
        <v/>
      </c>
      <c r="N590">
        <f>IF(AND(L590&lt;&gt;"",LEFT(L590,1)="N",M590&lt;&gt;"PICKING",M590&lt;&gt;""),1,0)</f>
        <v/>
      </c>
      <c r="O590">
        <f>IF(N590=1,M590&amp;"|"&amp;L590,REPT("z",40))</f>
        <v/>
      </c>
      <c r="P590">
        <f>IF(N590=1,COUNTIF($O$4:$O$2003,"&lt;"&amp;O590)+1,"")</f>
        <v/>
      </c>
      <c r="Q590">
        <f>IF(OR($R589="",$R589="T"),"",IF($R589="B",$Q589,IF($Q589+1&gt;$K$3,"",$Q589+1)))</f>
        <v/>
      </c>
      <c r="R590">
        <f>IF(OR($R589="",$R589="T"),"",IF($R589="B","S",IF($Q589+1&gt;$K$3,"T",IF(INDEX($M$4:$M$2003,MATCH($Q589+1,$P$4:$P$2003,0))&lt;&gt;INDEX($M$4:$M$2003,MATCH($Q589,$P$4:$P$2003,0)),"B","S"))))</f>
        <v/>
      </c>
      <c r="S590">
        <f>IF(Q590="","",IFERROR(MATCH(Q590,$P$4:$P$2003,0),""))</f>
        <v/>
      </c>
    </row>
    <row r="591">
      <c r="A591" s="4">
        <f>IF($R591="","",IF($R591="T","Gesamtergebnis",IF($R591="B",INDEX($M$4:$M$2003,$S591),INDEX($L$4:$L$2003,$S591))))</f>
        <v/>
      </c>
      <c r="B591" s="4">
        <f>IF($R591="","",IF($R591="T",$K$3,IF($R591="B",COUNTIFS($M$4:$M$2003,INDEX($M$4:$M$2003,$S591),$N$4:$N$2003,1),1)))</f>
        <v/>
      </c>
      <c r="L591">
        <f>IF($K$1="","",IFERROR(INDEX(Lines!$A:$AA,ROW()-2,$K$1),""))</f>
        <v/>
      </c>
      <c r="M591">
        <f>IF($K$2="","",IFERROR(INDEX(Lines!$A:$AA,ROW()-2,$K$2),""))</f>
        <v/>
      </c>
      <c r="N591">
        <f>IF(AND(L591&lt;&gt;"",LEFT(L591,1)="N",M591&lt;&gt;"PICKING",M591&lt;&gt;""),1,0)</f>
        <v/>
      </c>
      <c r="O591">
        <f>IF(N591=1,M591&amp;"|"&amp;L591,REPT("z",40))</f>
        <v/>
      </c>
      <c r="P591">
        <f>IF(N591=1,COUNTIF($O$4:$O$2003,"&lt;"&amp;O591)+1,"")</f>
        <v/>
      </c>
      <c r="Q591">
        <f>IF(OR($R590="",$R590="T"),"",IF($R590="B",$Q590,IF($Q590+1&gt;$K$3,"",$Q590+1)))</f>
        <v/>
      </c>
      <c r="R591">
        <f>IF(OR($R590="",$R590="T"),"",IF($R590="B","S",IF($Q590+1&gt;$K$3,"T",IF(INDEX($M$4:$M$2003,MATCH($Q590+1,$P$4:$P$2003,0))&lt;&gt;INDEX($M$4:$M$2003,MATCH($Q590,$P$4:$P$2003,0)),"B","S"))))</f>
        <v/>
      </c>
      <c r="S591">
        <f>IF(Q591="","",IFERROR(MATCH(Q591,$P$4:$P$2003,0),""))</f>
        <v/>
      </c>
    </row>
    <row r="592">
      <c r="A592" s="4">
        <f>IF($R592="","",IF($R592="T","Gesamtergebnis",IF($R592="B",INDEX($M$4:$M$2003,$S592),INDEX($L$4:$L$2003,$S592))))</f>
        <v/>
      </c>
      <c r="B592" s="4">
        <f>IF($R592="","",IF($R592="T",$K$3,IF($R592="B",COUNTIFS($M$4:$M$2003,INDEX($M$4:$M$2003,$S592),$N$4:$N$2003,1),1)))</f>
        <v/>
      </c>
      <c r="L592">
        <f>IF($K$1="","",IFERROR(INDEX(Lines!$A:$AA,ROW()-2,$K$1),""))</f>
        <v/>
      </c>
      <c r="M592">
        <f>IF($K$2="","",IFERROR(INDEX(Lines!$A:$AA,ROW()-2,$K$2),""))</f>
        <v/>
      </c>
      <c r="N592">
        <f>IF(AND(L592&lt;&gt;"",LEFT(L592,1)="N",M592&lt;&gt;"PICKING",M592&lt;&gt;""),1,0)</f>
        <v/>
      </c>
      <c r="O592">
        <f>IF(N592=1,M592&amp;"|"&amp;L592,REPT("z",40))</f>
        <v/>
      </c>
      <c r="P592">
        <f>IF(N592=1,COUNTIF($O$4:$O$2003,"&lt;"&amp;O592)+1,"")</f>
        <v/>
      </c>
      <c r="Q592">
        <f>IF(OR($R591="",$R591="T"),"",IF($R591="B",$Q591,IF($Q591+1&gt;$K$3,"",$Q591+1)))</f>
        <v/>
      </c>
      <c r="R592">
        <f>IF(OR($R591="",$R591="T"),"",IF($R591="B","S",IF($Q591+1&gt;$K$3,"T",IF(INDEX($M$4:$M$2003,MATCH($Q591+1,$P$4:$P$2003,0))&lt;&gt;INDEX($M$4:$M$2003,MATCH($Q591,$P$4:$P$2003,0)),"B","S"))))</f>
        <v/>
      </c>
      <c r="S592">
        <f>IF(Q592="","",IFERROR(MATCH(Q592,$P$4:$P$2003,0),""))</f>
        <v/>
      </c>
    </row>
    <row r="593">
      <c r="A593" s="4">
        <f>IF($R593="","",IF($R593="T","Gesamtergebnis",IF($R593="B",INDEX($M$4:$M$2003,$S593),INDEX($L$4:$L$2003,$S593))))</f>
        <v/>
      </c>
      <c r="B593" s="4">
        <f>IF($R593="","",IF($R593="T",$K$3,IF($R593="B",COUNTIFS($M$4:$M$2003,INDEX($M$4:$M$2003,$S593),$N$4:$N$2003,1),1)))</f>
        <v/>
      </c>
      <c r="L593">
        <f>IF($K$1="","",IFERROR(INDEX(Lines!$A:$AA,ROW()-2,$K$1),""))</f>
        <v/>
      </c>
      <c r="M593">
        <f>IF($K$2="","",IFERROR(INDEX(Lines!$A:$AA,ROW()-2,$K$2),""))</f>
        <v/>
      </c>
      <c r="N593">
        <f>IF(AND(L593&lt;&gt;"",LEFT(L593,1)="N",M593&lt;&gt;"PICKING",M593&lt;&gt;""),1,0)</f>
        <v/>
      </c>
      <c r="O593">
        <f>IF(N593=1,M593&amp;"|"&amp;L593,REPT("z",40))</f>
        <v/>
      </c>
      <c r="P593">
        <f>IF(N593=1,COUNTIF($O$4:$O$2003,"&lt;"&amp;O593)+1,"")</f>
        <v/>
      </c>
      <c r="Q593">
        <f>IF(OR($R592="",$R592="T"),"",IF($R592="B",$Q592,IF($Q592+1&gt;$K$3,"",$Q592+1)))</f>
        <v/>
      </c>
      <c r="R593">
        <f>IF(OR($R592="",$R592="T"),"",IF($R592="B","S",IF($Q592+1&gt;$K$3,"T",IF(INDEX($M$4:$M$2003,MATCH($Q592+1,$P$4:$P$2003,0))&lt;&gt;INDEX($M$4:$M$2003,MATCH($Q592,$P$4:$P$2003,0)),"B","S"))))</f>
        <v/>
      </c>
      <c r="S593">
        <f>IF(Q593="","",IFERROR(MATCH(Q593,$P$4:$P$2003,0),""))</f>
        <v/>
      </c>
    </row>
    <row r="594">
      <c r="A594" s="4">
        <f>IF($R594="","",IF($R594="T","Gesamtergebnis",IF($R594="B",INDEX($M$4:$M$2003,$S594),INDEX($L$4:$L$2003,$S594))))</f>
        <v/>
      </c>
      <c r="B594" s="4">
        <f>IF($R594="","",IF($R594="T",$K$3,IF($R594="B",COUNTIFS($M$4:$M$2003,INDEX($M$4:$M$2003,$S594),$N$4:$N$2003,1),1)))</f>
        <v/>
      </c>
      <c r="L594">
        <f>IF($K$1="","",IFERROR(INDEX(Lines!$A:$AA,ROW()-2,$K$1),""))</f>
        <v/>
      </c>
      <c r="M594">
        <f>IF($K$2="","",IFERROR(INDEX(Lines!$A:$AA,ROW()-2,$K$2),""))</f>
        <v/>
      </c>
      <c r="N594">
        <f>IF(AND(L594&lt;&gt;"",LEFT(L594,1)="N",M594&lt;&gt;"PICKING",M594&lt;&gt;""),1,0)</f>
        <v/>
      </c>
      <c r="O594">
        <f>IF(N594=1,M594&amp;"|"&amp;L594,REPT("z",40))</f>
        <v/>
      </c>
      <c r="P594">
        <f>IF(N594=1,COUNTIF($O$4:$O$2003,"&lt;"&amp;O594)+1,"")</f>
        <v/>
      </c>
      <c r="Q594">
        <f>IF(OR($R593="",$R593="T"),"",IF($R593="B",$Q593,IF($Q593+1&gt;$K$3,"",$Q593+1)))</f>
        <v/>
      </c>
      <c r="R594">
        <f>IF(OR($R593="",$R593="T"),"",IF($R593="B","S",IF($Q593+1&gt;$K$3,"T",IF(INDEX($M$4:$M$2003,MATCH($Q593+1,$P$4:$P$2003,0))&lt;&gt;INDEX($M$4:$M$2003,MATCH($Q593,$P$4:$P$2003,0)),"B","S"))))</f>
        <v/>
      </c>
      <c r="S594">
        <f>IF(Q594="","",IFERROR(MATCH(Q594,$P$4:$P$2003,0),""))</f>
        <v/>
      </c>
    </row>
    <row r="595">
      <c r="A595" s="4">
        <f>IF($R595="","",IF($R595="T","Gesamtergebnis",IF($R595="B",INDEX($M$4:$M$2003,$S595),INDEX($L$4:$L$2003,$S595))))</f>
        <v/>
      </c>
      <c r="B595" s="4">
        <f>IF($R595="","",IF($R595="T",$K$3,IF($R595="B",COUNTIFS($M$4:$M$2003,INDEX($M$4:$M$2003,$S595),$N$4:$N$2003,1),1)))</f>
        <v/>
      </c>
      <c r="L595">
        <f>IF($K$1="","",IFERROR(INDEX(Lines!$A:$AA,ROW()-2,$K$1),""))</f>
        <v/>
      </c>
      <c r="M595">
        <f>IF($K$2="","",IFERROR(INDEX(Lines!$A:$AA,ROW()-2,$K$2),""))</f>
        <v/>
      </c>
      <c r="N595">
        <f>IF(AND(L595&lt;&gt;"",LEFT(L595,1)="N",M595&lt;&gt;"PICKING",M595&lt;&gt;""),1,0)</f>
        <v/>
      </c>
      <c r="O595">
        <f>IF(N595=1,M595&amp;"|"&amp;L595,REPT("z",40))</f>
        <v/>
      </c>
      <c r="P595">
        <f>IF(N595=1,COUNTIF($O$4:$O$2003,"&lt;"&amp;O595)+1,"")</f>
        <v/>
      </c>
      <c r="Q595">
        <f>IF(OR($R594="",$R594="T"),"",IF($R594="B",$Q594,IF($Q594+1&gt;$K$3,"",$Q594+1)))</f>
        <v/>
      </c>
      <c r="R595">
        <f>IF(OR($R594="",$R594="T"),"",IF($R594="B","S",IF($Q594+1&gt;$K$3,"T",IF(INDEX($M$4:$M$2003,MATCH($Q594+1,$P$4:$P$2003,0))&lt;&gt;INDEX($M$4:$M$2003,MATCH($Q594,$P$4:$P$2003,0)),"B","S"))))</f>
        <v/>
      </c>
      <c r="S595">
        <f>IF(Q595="","",IFERROR(MATCH(Q595,$P$4:$P$2003,0),""))</f>
        <v/>
      </c>
    </row>
    <row r="596">
      <c r="A596" s="4">
        <f>IF($R596="","",IF($R596="T","Gesamtergebnis",IF($R596="B",INDEX($M$4:$M$2003,$S596),INDEX($L$4:$L$2003,$S596))))</f>
        <v/>
      </c>
      <c r="B596" s="4">
        <f>IF($R596="","",IF($R596="T",$K$3,IF($R596="B",COUNTIFS($M$4:$M$2003,INDEX($M$4:$M$2003,$S596),$N$4:$N$2003,1),1)))</f>
        <v/>
      </c>
      <c r="L596">
        <f>IF($K$1="","",IFERROR(INDEX(Lines!$A:$AA,ROW()-2,$K$1),""))</f>
        <v/>
      </c>
      <c r="M596">
        <f>IF($K$2="","",IFERROR(INDEX(Lines!$A:$AA,ROW()-2,$K$2),""))</f>
        <v/>
      </c>
      <c r="N596">
        <f>IF(AND(L596&lt;&gt;"",LEFT(L596,1)="N",M596&lt;&gt;"PICKING",M596&lt;&gt;""),1,0)</f>
        <v/>
      </c>
      <c r="O596">
        <f>IF(N596=1,M596&amp;"|"&amp;L596,REPT("z",40))</f>
        <v/>
      </c>
      <c r="P596">
        <f>IF(N596=1,COUNTIF($O$4:$O$2003,"&lt;"&amp;O596)+1,"")</f>
        <v/>
      </c>
      <c r="Q596">
        <f>IF(OR($R595="",$R595="T"),"",IF($R595="B",$Q595,IF($Q595+1&gt;$K$3,"",$Q595+1)))</f>
        <v/>
      </c>
      <c r="R596">
        <f>IF(OR($R595="",$R595="T"),"",IF($R595="B","S",IF($Q595+1&gt;$K$3,"T",IF(INDEX($M$4:$M$2003,MATCH($Q595+1,$P$4:$P$2003,0))&lt;&gt;INDEX($M$4:$M$2003,MATCH($Q595,$P$4:$P$2003,0)),"B","S"))))</f>
        <v/>
      </c>
      <c r="S596">
        <f>IF(Q596="","",IFERROR(MATCH(Q596,$P$4:$P$2003,0),""))</f>
        <v/>
      </c>
    </row>
    <row r="597">
      <c r="A597" s="4">
        <f>IF($R597="","",IF($R597="T","Gesamtergebnis",IF($R597="B",INDEX($M$4:$M$2003,$S597),INDEX($L$4:$L$2003,$S597))))</f>
        <v/>
      </c>
      <c r="B597" s="4">
        <f>IF($R597="","",IF($R597="T",$K$3,IF($R597="B",COUNTIFS($M$4:$M$2003,INDEX($M$4:$M$2003,$S597),$N$4:$N$2003,1),1)))</f>
        <v/>
      </c>
      <c r="L597">
        <f>IF($K$1="","",IFERROR(INDEX(Lines!$A:$AA,ROW()-2,$K$1),""))</f>
        <v/>
      </c>
      <c r="M597">
        <f>IF($K$2="","",IFERROR(INDEX(Lines!$A:$AA,ROW()-2,$K$2),""))</f>
        <v/>
      </c>
      <c r="N597">
        <f>IF(AND(L597&lt;&gt;"",LEFT(L597,1)="N",M597&lt;&gt;"PICKING",M597&lt;&gt;""),1,0)</f>
        <v/>
      </c>
      <c r="O597">
        <f>IF(N597=1,M597&amp;"|"&amp;L597,REPT("z",40))</f>
        <v/>
      </c>
      <c r="P597">
        <f>IF(N597=1,COUNTIF($O$4:$O$2003,"&lt;"&amp;O597)+1,"")</f>
        <v/>
      </c>
      <c r="Q597">
        <f>IF(OR($R596="",$R596="T"),"",IF($R596="B",$Q596,IF($Q596+1&gt;$K$3,"",$Q596+1)))</f>
        <v/>
      </c>
      <c r="R597">
        <f>IF(OR($R596="",$R596="T"),"",IF($R596="B","S",IF($Q596+1&gt;$K$3,"T",IF(INDEX($M$4:$M$2003,MATCH($Q596+1,$P$4:$P$2003,0))&lt;&gt;INDEX($M$4:$M$2003,MATCH($Q596,$P$4:$P$2003,0)),"B","S"))))</f>
        <v/>
      </c>
      <c r="S597">
        <f>IF(Q597="","",IFERROR(MATCH(Q597,$P$4:$P$2003,0),""))</f>
        <v/>
      </c>
    </row>
    <row r="598">
      <c r="A598" s="4">
        <f>IF($R598="","",IF($R598="T","Gesamtergebnis",IF($R598="B",INDEX($M$4:$M$2003,$S598),INDEX($L$4:$L$2003,$S598))))</f>
        <v/>
      </c>
      <c r="B598" s="4">
        <f>IF($R598="","",IF($R598="T",$K$3,IF($R598="B",COUNTIFS($M$4:$M$2003,INDEX($M$4:$M$2003,$S598),$N$4:$N$2003,1),1)))</f>
        <v/>
      </c>
      <c r="L598">
        <f>IF($K$1="","",IFERROR(INDEX(Lines!$A:$AA,ROW()-2,$K$1),""))</f>
        <v/>
      </c>
      <c r="M598">
        <f>IF($K$2="","",IFERROR(INDEX(Lines!$A:$AA,ROW()-2,$K$2),""))</f>
        <v/>
      </c>
      <c r="N598">
        <f>IF(AND(L598&lt;&gt;"",LEFT(L598,1)="N",M598&lt;&gt;"PICKING",M598&lt;&gt;""),1,0)</f>
        <v/>
      </c>
      <c r="O598">
        <f>IF(N598=1,M598&amp;"|"&amp;L598,REPT("z",40))</f>
        <v/>
      </c>
      <c r="P598">
        <f>IF(N598=1,COUNTIF($O$4:$O$2003,"&lt;"&amp;O598)+1,"")</f>
        <v/>
      </c>
      <c r="Q598">
        <f>IF(OR($R597="",$R597="T"),"",IF($R597="B",$Q597,IF($Q597+1&gt;$K$3,"",$Q597+1)))</f>
        <v/>
      </c>
      <c r="R598">
        <f>IF(OR($R597="",$R597="T"),"",IF($R597="B","S",IF($Q597+1&gt;$K$3,"T",IF(INDEX($M$4:$M$2003,MATCH($Q597+1,$P$4:$P$2003,0))&lt;&gt;INDEX($M$4:$M$2003,MATCH($Q597,$P$4:$P$2003,0)),"B","S"))))</f>
        <v/>
      </c>
      <c r="S598">
        <f>IF(Q598="","",IFERROR(MATCH(Q598,$P$4:$P$2003,0),""))</f>
        <v/>
      </c>
    </row>
    <row r="599">
      <c r="A599" s="4">
        <f>IF($R599="","",IF($R599="T","Gesamtergebnis",IF($R599="B",INDEX($M$4:$M$2003,$S599),INDEX($L$4:$L$2003,$S599))))</f>
        <v/>
      </c>
      <c r="B599" s="4">
        <f>IF($R599="","",IF($R599="T",$K$3,IF($R599="B",COUNTIFS($M$4:$M$2003,INDEX($M$4:$M$2003,$S599),$N$4:$N$2003,1),1)))</f>
        <v/>
      </c>
      <c r="L599">
        <f>IF($K$1="","",IFERROR(INDEX(Lines!$A:$AA,ROW()-2,$K$1),""))</f>
        <v/>
      </c>
      <c r="M599">
        <f>IF($K$2="","",IFERROR(INDEX(Lines!$A:$AA,ROW()-2,$K$2),""))</f>
        <v/>
      </c>
      <c r="N599">
        <f>IF(AND(L599&lt;&gt;"",LEFT(L599,1)="N",M599&lt;&gt;"PICKING",M599&lt;&gt;""),1,0)</f>
        <v/>
      </c>
      <c r="O599">
        <f>IF(N599=1,M599&amp;"|"&amp;L599,REPT("z",40))</f>
        <v/>
      </c>
      <c r="P599">
        <f>IF(N599=1,COUNTIF($O$4:$O$2003,"&lt;"&amp;O599)+1,"")</f>
        <v/>
      </c>
      <c r="Q599">
        <f>IF(OR($R598="",$R598="T"),"",IF($R598="B",$Q598,IF($Q598+1&gt;$K$3,"",$Q598+1)))</f>
        <v/>
      </c>
      <c r="R599">
        <f>IF(OR($R598="",$R598="T"),"",IF($R598="B","S",IF($Q598+1&gt;$K$3,"T",IF(INDEX($M$4:$M$2003,MATCH($Q598+1,$P$4:$P$2003,0))&lt;&gt;INDEX($M$4:$M$2003,MATCH($Q598,$P$4:$P$2003,0)),"B","S"))))</f>
        <v/>
      </c>
      <c r="S599">
        <f>IF(Q599="","",IFERROR(MATCH(Q599,$P$4:$P$2003,0),""))</f>
        <v/>
      </c>
    </row>
    <row r="600">
      <c r="A600" s="4">
        <f>IF($R600="","",IF($R600="T","Gesamtergebnis",IF($R600="B",INDEX($M$4:$M$2003,$S600),INDEX($L$4:$L$2003,$S600))))</f>
        <v/>
      </c>
      <c r="B600" s="4">
        <f>IF($R600="","",IF($R600="T",$K$3,IF($R600="B",COUNTIFS($M$4:$M$2003,INDEX($M$4:$M$2003,$S600),$N$4:$N$2003,1),1)))</f>
        <v/>
      </c>
      <c r="L600">
        <f>IF($K$1="","",IFERROR(INDEX(Lines!$A:$AA,ROW()-2,$K$1),""))</f>
        <v/>
      </c>
      <c r="M600">
        <f>IF($K$2="","",IFERROR(INDEX(Lines!$A:$AA,ROW()-2,$K$2),""))</f>
        <v/>
      </c>
      <c r="N600">
        <f>IF(AND(L600&lt;&gt;"",LEFT(L600,1)="N",M600&lt;&gt;"PICKING",M600&lt;&gt;""),1,0)</f>
        <v/>
      </c>
      <c r="O600">
        <f>IF(N600=1,M600&amp;"|"&amp;L600,REPT("z",40))</f>
        <v/>
      </c>
      <c r="P600">
        <f>IF(N600=1,COUNTIF($O$4:$O$2003,"&lt;"&amp;O600)+1,"")</f>
        <v/>
      </c>
      <c r="Q600">
        <f>IF(OR($R599="",$R599="T"),"",IF($R599="B",$Q599,IF($Q599+1&gt;$K$3,"",$Q599+1)))</f>
        <v/>
      </c>
      <c r="R600">
        <f>IF(OR($R599="",$R599="T"),"",IF($R599="B","S",IF($Q599+1&gt;$K$3,"T",IF(INDEX($M$4:$M$2003,MATCH($Q599+1,$P$4:$P$2003,0))&lt;&gt;INDEX($M$4:$M$2003,MATCH($Q599,$P$4:$P$2003,0)),"B","S"))))</f>
        <v/>
      </c>
      <c r="S600">
        <f>IF(Q600="","",IFERROR(MATCH(Q600,$P$4:$P$2003,0),""))</f>
        <v/>
      </c>
    </row>
    <row r="601">
      <c r="A601" s="4">
        <f>IF($R601="","",IF($R601="T","Gesamtergebnis",IF($R601="B",INDEX($M$4:$M$2003,$S601),INDEX($L$4:$L$2003,$S601))))</f>
        <v/>
      </c>
      <c r="B601" s="4">
        <f>IF($R601="","",IF($R601="T",$K$3,IF($R601="B",COUNTIFS($M$4:$M$2003,INDEX($M$4:$M$2003,$S601),$N$4:$N$2003,1),1)))</f>
        <v/>
      </c>
      <c r="L601">
        <f>IF($K$1="","",IFERROR(INDEX(Lines!$A:$AA,ROW()-2,$K$1),""))</f>
        <v/>
      </c>
      <c r="M601">
        <f>IF($K$2="","",IFERROR(INDEX(Lines!$A:$AA,ROW()-2,$K$2),""))</f>
        <v/>
      </c>
      <c r="N601">
        <f>IF(AND(L601&lt;&gt;"",LEFT(L601,1)="N",M601&lt;&gt;"PICKING",M601&lt;&gt;""),1,0)</f>
        <v/>
      </c>
      <c r="O601">
        <f>IF(N601=1,M601&amp;"|"&amp;L601,REPT("z",40))</f>
        <v/>
      </c>
      <c r="P601">
        <f>IF(N601=1,COUNTIF($O$4:$O$2003,"&lt;"&amp;O601)+1,"")</f>
        <v/>
      </c>
      <c r="Q601">
        <f>IF(OR($R600="",$R600="T"),"",IF($R600="B",$Q600,IF($Q600+1&gt;$K$3,"",$Q600+1)))</f>
        <v/>
      </c>
      <c r="R601">
        <f>IF(OR($R600="",$R600="T"),"",IF($R600="B","S",IF($Q600+1&gt;$K$3,"T",IF(INDEX($M$4:$M$2003,MATCH($Q600+1,$P$4:$P$2003,0))&lt;&gt;INDEX($M$4:$M$2003,MATCH($Q600,$P$4:$P$2003,0)),"B","S"))))</f>
        <v/>
      </c>
      <c r="S601">
        <f>IF(Q601="","",IFERROR(MATCH(Q601,$P$4:$P$2003,0),""))</f>
        <v/>
      </c>
    </row>
    <row r="602">
      <c r="A602" s="4">
        <f>IF($R602="","",IF($R602="T","Gesamtergebnis",IF($R602="B",INDEX($M$4:$M$2003,$S602),INDEX($L$4:$L$2003,$S602))))</f>
        <v/>
      </c>
      <c r="B602" s="4">
        <f>IF($R602="","",IF($R602="T",$K$3,IF($R602="B",COUNTIFS($M$4:$M$2003,INDEX($M$4:$M$2003,$S602),$N$4:$N$2003,1),1)))</f>
        <v/>
      </c>
      <c r="L602">
        <f>IF($K$1="","",IFERROR(INDEX(Lines!$A:$AA,ROW()-2,$K$1),""))</f>
        <v/>
      </c>
      <c r="M602">
        <f>IF($K$2="","",IFERROR(INDEX(Lines!$A:$AA,ROW()-2,$K$2),""))</f>
        <v/>
      </c>
      <c r="N602">
        <f>IF(AND(L602&lt;&gt;"",LEFT(L602,1)="N",M602&lt;&gt;"PICKING",M602&lt;&gt;""),1,0)</f>
        <v/>
      </c>
      <c r="O602">
        <f>IF(N602=1,M602&amp;"|"&amp;L602,REPT("z",40))</f>
        <v/>
      </c>
      <c r="P602">
        <f>IF(N602=1,COUNTIF($O$4:$O$2003,"&lt;"&amp;O602)+1,"")</f>
        <v/>
      </c>
      <c r="Q602">
        <f>IF(OR($R601="",$R601="T"),"",IF($R601="B",$Q601,IF($Q601+1&gt;$K$3,"",$Q601+1)))</f>
        <v/>
      </c>
      <c r="R602">
        <f>IF(OR($R601="",$R601="T"),"",IF($R601="B","S",IF($Q601+1&gt;$K$3,"T",IF(INDEX($M$4:$M$2003,MATCH($Q601+1,$P$4:$P$2003,0))&lt;&gt;INDEX($M$4:$M$2003,MATCH($Q601,$P$4:$P$2003,0)),"B","S"))))</f>
        <v/>
      </c>
      <c r="S602">
        <f>IF(Q602="","",IFERROR(MATCH(Q602,$P$4:$P$2003,0),""))</f>
        <v/>
      </c>
    </row>
    <row r="603">
      <c r="A603" s="4">
        <f>IF($R603="","",IF($R603="T","Gesamtergebnis",IF($R603="B",INDEX($M$4:$M$2003,$S603),INDEX($L$4:$L$2003,$S603))))</f>
        <v/>
      </c>
      <c r="B603" s="4">
        <f>IF($R603="","",IF($R603="T",$K$3,IF($R603="B",COUNTIFS($M$4:$M$2003,INDEX($M$4:$M$2003,$S603),$N$4:$N$2003,1),1)))</f>
        <v/>
      </c>
      <c r="L603">
        <f>IF($K$1="","",IFERROR(INDEX(Lines!$A:$AA,ROW()-2,$K$1),""))</f>
        <v/>
      </c>
      <c r="M603">
        <f>IF($K$2="","",IFERROR(INDEX(Lines!$A:$AA,ROW()-2,$K$2),""))</f>
        <v/>
      </c>
      <c r="N603">
        <f>IF(AND(L603&lt;&gt;"",LEFT(L603,1)="N",M603&lt;&gt;"PICKING",M603&lt;&gt;""),1,0)</f>
        <v/>
      </c>
      <c r="O603">
        <f>IF(N603=1,M603&amp;"|"&amp;L603,REPT("z",40))</f>
        <v/>
      </c>
      <c r="P603">
        <f>IF(N603=1,COUNTIF($O$4:$O$2003,"&lt;"&amp;O603)+1,"")</f>
        <v/>
      </c>
      <c r="Q603">
        <f>IF(OR($R602="",$R602="T"),"",IF($R602="B",$Q602,IF($Q602+1&gt;$K$3,"",$Q602+1)))</f>
        <v/>
      </c>
      <c r="R603">
        <f>IF(OR($R602="",$R602="T"),"",IF($R602="B","S",IF($Q602+1&gt;$K$3,"T",IF(INDEX($M$4:$M$2003,MATCH($Q602+1,$P$4:$P$2003,0))&lt;&gt;INDEX($M$4:$M$2003,MATCH($Q602,$P$4:$P$2003,0)),"B","S"))))</f>
        <v/>
      </c>
      <c r="S603">
        <f>IF(Q603="","",IFERROR(MATCH(Q603,$P$4:$P$2003,0),""))</f>
        <v/>
      </c>
    </row>
    <row r="604">
      <c r="A604" s="4">
        <f>IF($R604="","",IF($R604="T","Gesamtergebnis",IF($R604="B",INDEX($M$4:$M$2003,$S604),INDEX($L$4:$L$2003,$S604))))</f>
        <v/>
      </c>
      <c r="B604" s="4">
        <f>IF($R604="","",IF($R604="T",$K$3,IF($R604="B",COUNTIFS($M$4:$M$2003,INDEX($M$4:$M$2003,$S604),$N$4:$N$2003,1),1)))</f>
        <v/>
      </c>
      <c r="L604">
        <f>IF($K$1="","",IFERROR(INDEX(Lines!$A:$AA,ROW()-2,$K$1),""))</f>
        <v/>
      </c>
      <c r="M604">
        <f>IF($K$2="","",IFERROR(INDEX(Lines!$A:$AA,ROW()-2,$K$2),""))</f>
        <v/>
      </c>
      <c r="N604">
        <f>IF(AND(L604&lt;&gt;"",LEFT(L604,1)="N",M604&lt;&gt;"PICKING",M604&lt;&gt;""),1,0)</f>
        <v/>
      </c>
      <c r="O604">
        <f>IF(N604=1,M604&amp;"|"&amp;L604,REPT("z",40))</f>
        <v/>
      </c>
      <c r="P604">
        <f>IF(N604=1,COUNTIF($O$4:$O$2003,"&lt;"&amp;O604)+1,"")</f>
        <v/>
      </c>
      <c r="Q604">
        <f>IF(OR($R603="",$R603="T"),"",IF($R603="B",$Q603,IF($Q603+1&gt;$K$3,"",$Q603+1)))</f>
        <v/>
      </c>
      <c r="R604">
        <f>IF(OR($R603="",$R603="T"),"",IF($R603="B","S",IF($Q603+1&gt;$K$3,"T",IF(INDEX($M$4:$M$2003,MATCH($Q603+1,$P$4:$P$2003,0))&lt;&gt;INDEX($M$4:$M$2003,MATCH($Q603,$P$4:$P$2003,0)),"B","S"))))</f>
        <v/>
      </c>
      <c r="S604">
        <f>IF(Q604="","",IFERROR(MATCH(Q604,$P$4:$P$2003,0),""))</f>
        <v/>
      </c>
    </row>
    <row r="605">
      <c r="A605" s="4">
        <f>IF($R605="","",IF($R605="T","Gesamtergebnis",IF($R605="B",INDEX($M$4:$M$2003,$S605),INDEX($L$4:$L$2003,$S605))))</f>
        <v/>
      </c>
      <c r="B605" s="4">
        <f>IF($R605="","",IF($R605="T",$K$3,IF($R605="B",COUNTIFS($M$4:$M$2003,INDEX($M$4:$M$2003,$S605),$N$4:$N$2003,1),1)))</f>
        <v/>
      </c>
      <c r="L605">
        <f>IF($K$1="","",IFERROR(INDEX(Lines!$A:$AA,ROW()-2,$K$1),""))</f>
        <v/>
      </c>
      <c r="M605">
        <f>IF($K$2="","",IFERROR(INDEX(Lines!$A:$AA,ROW()-2,$K$2),""))</f>
        <v/>
      </c>
      <c r="N605">
        <f>IF(AND(L605&lt;&gt;"",LEFT(L605,1)="N",M605&lt;&gt;"PICKING",M605&lt;&gt;""),1,0)</f>
        <v/>
      </c>
      <c r="O605">
        <f>IF(N605=1,M605&amp;"|"&amp;L605,REPT("z",40))</f>
        <v/>
      </c>
      <c r="P605">
        <f>IF(N605=1,COUNTIF($O$4:$O$2003,"&lt;"&amp;O605)+1,"")</f>
        <v/>
      </c>
      <c r="Q605">
        <f>IF(OR($R604="",$R604="T"),"",IF($R604="B",$Q604,IF($Q604+1&gt;$K$3,"",$Q604+1)))</f>
        <v/>
      </c>
      <c r="R605">
        <f>IF(OR($R604="",$R604="T"),"",IF($R604="B","S",IF($Q604+1&gt;$K$3,"T",IF(INDEX($M$4:$M$2003,MATCH($Q604+1,$P$4:$P$2003,0))&lt;&gt;INDEX($M$4:$M$2003,MATCH($Q604,$P$4:$P$2003,0)),"B","S"))))</f>
        <v/>
      </c>
      <c r="S605">
        <f>IF(Q605="","",IFERROR(MATCH(Q605,$P$4:$P$2003,0),""))</f>
        <v/>
      </c>
    </row>
    <row r="606">
      <c r="A606" s="4">
        <f>IF($R606="","",IF($R606="T","Gesamtergebnis",IF($R606="B",INDEX($M$4:$M$2003,$S606),INDEX($L$4:$L$2003,$S606))))</f>
        <v/>
      </c>
      <c r="B606" s="4">
        <f>IF($R606="","",IF($R606="T",$K$3,IF($R606="B",COUNTIFS($M$4:$M$2003,INDEX($M$4:$M$2003,$S606),$N$4:$N$2003,1),1)))</f>
        <v/>
      </c>
      <c r="L606">
        <f>IF($K$1="","",IFERROR(INDEX(Lines!$A:$AA,ROW()-2,$K$1),""))</f>
        <v/>
      </c>
      <c r="M606">
        <f>IF($K$2="","",IFERROR(INDEX(Lines!$A:$AA,ROW()-2,$K$2),""))</f>
        <v/>
      </c>
      <c r="N606">
        <f>IF(AND(L606&lt;&gt;"",LEFT(L606,1)="N",M606&lt;&gt;"PICKING",M606&lt;&gt;""),1,0)</f>
        <v/>
      </c>
      <c r="O606">
        <f>IF(N606=1,M606&amp;"|"&amp;L606,REPT("z",40))</f>
        <v/>
      </c>
      <c r="P606">
        <f>IF(N606=1,COUNTIF($O$4:$O$2003,"&lt;"&amp;O606)+1,"")</f>
        <v/>
      </c>
      <c r="Q606">
        <f>IF(OR($R605="",$R605="T"),"",IF($R605="B",$Q605,IF($Q605+1&gt;$K$3,"",$Q605+1)))</f>
        <v/>
      </c>
      <c r="R606">
        <f>IF(OR($R605="",$R605="T"),"",IF($R605="B","S",IF($Q605+1&gt;$K$3,"T",IF(INDEX($M$4:$M$2003,MATCH($Q605+1,$P$4:$P$2003,0))&lt;&gt;INDEX($M$4:$M$2003,MATCH($Q605,$P$4:$P$2003,0)),"B","S"))))</f>
        <v/>
      </c>
      <c r="S606">
        <f>IF(Q606="","",IFERROR(MATCH(Q606,$P$4:$P$2003,0),""))</f>
        <v/>
      </c>
    </row>
    <row r="607">
      <c r="A607" s="4">
        <f>IF($R607="","",IF($R607="T","Gesamtergebnis",IF($R607="B",INDEX($M$4:$M$2003,$S607),INDEX($L$4:$L$2003,$S607))))</f>
        <v/>
      </c>
      <c r="B607" s="4">
        <f>IF($R607="","",IF($R607="T",$K$3,IF($R607="B",COUNTIFS($M$4:$M$2003,INDEX($M$4:$M$2003,$S607),$N$4:$N$2003,1),1)))</f>
        <v/>
      </c>
      <c r="L607">
        <f>IF($K$1="","",IFERROR(INDEX(Lines!$A:$AA,ROW()-2,$K$1),""))</f>
        <v/>
      </c>
      <c r="M607">
        <f>IF($K$2="","",IFERROR(INDEX(Lines!$A:$AA,ROW()-2,$K$2),""))</f>
        <v/>
      </c>
      <c r="N607">
        <f>IF(AND(L607&lt;&gt;"",LEFT(L607,1)="N",M607&lt;&gt;"PICKING",M607&lt;&gt;""),1,0)</f>
        <v/>
      </c>
      <c r="O607">
        <f>IF(N607=1,M607&amp;"|"&amp;L607,REPT("z",40))</f>
        <v/>
      </c>
      <c r="P607">
        <f>IF(N607=1,COUNTIF($O$4:$O$2003,"&lt;"&amp;O607)+1,"")</f>
        <v/>
      </c>
      <c r="Q607">
        <f>IF(OR($R606="",$R606="T"),"",IF($R606="B",$Q606,IF($Q606+1&gt;$K$3,"",$Q606+1)))</f>
        <v/>
      </c>
      <c r="R607">
        <f>IF(OR($R606="",$R606="T"),"",IF($R606="B","S",IF($Q606+1&gt;$K$3,"T",IF(INDEX($M$4:$M$2003,MATCH($Q606+1,$P$4:$P$2003,0))&lt;&gt;INDEX($M$4:$M$2003,MATCH($Q606,$P$4:$P$2003,0)),"B","S"))))</f>
        <v/>
      </c>
      <c r="S607">
        <f>IF(Q607="","",IFERROR(MATCH(Q607,$P$4:$P$2003,0),""))</f>
        <v/>
      </c>
    </row>
    <row r="608">
      <c r="A608" s="4">
        <f>IF($R608="","",IF($R608="T","Gesamtergebnis",IF($R608="B",INDEX($M$4:$M$2003,$S608),INDEX($L$4:$L$2003,$S608))))</f>
        <v/>
      </c>
      <c r="B608" s="4">
        <f>IF($R608="","",IF($R608="T",$K$3,IF($R608="B",COUNTIFS($M$4:$M$2003,INDEX($M$4:$M$2003,$S608),$N$4:$N$2003,1),1)))</f>
        <v/>
      </c>
      <c r="L608">
        <f>IF($K$1="","",IFERROR(INDEX(Lines!$A:$AA,ROW()-2,$K$1),""))</f>
        <v/>
      </c>
      <c r="M608">
        <f>IF($K$2="","",IFERROR(INDEX(Lines!$A:$AA,ROW()-2,$K$2),""))</f>
        <v/>
      </c>
      <c r="N608">
        <f>IF(AND(L608&lt;&gt;"",LEFT(L608,1)="N",M608&lt;&gt;"PICKING",M608&lt;&gt;""),1,0)</f>
        <v/>
      </c>
      <c r="O608">
        <f>IF(N608=1,M608&amp;"|"&amp;L608,REPT("z",40))</f>
        <v/>
      </c>
      <c r="P608">
        <f>IF(N608=1,COUNTIF($O$4:$O$2003,"&lt;"&amp;O608)+1,"")</f>
        <v/>
      </c>
      <c r="Q608">
        <f>IF(OR($R607="",$R607="T"),"",IF($R607="B",$Q607,IF($Q607+1&gt;$K$3,"",$Q607+1)))</f>
        <v/>
      </c>
      <c r="R608">
        <f>IF(OR($R607="",$R607="T"),"",IF($R607="B","S",IF($Q607+1&gt;$K$3,"T",IF(INDEX($M$4:$M$2003,MATCH($Q607+1,$P$4:$P$2003,0))&lt;&gt;INDEX($M$4:$M$2003,MATCH($Q607,$P$4:$P$2003,0)),"B","S"))))</f>
        <v/>
      </c>
      <c r="S608">
        <f>IF(Q608="","",IFERROR(MATCH(Q608,$P$4:$P$2003,0),""))</f>
        <v/>
      </c>
    </row>
    <row r="609">
      <c r="A609" s="4">
        <f>IF($R609="","",IF($R609="T","Gesamtergebnis",IF($R609="B",INDEX($M$4:$M$2003,$S609),INDEX($L$4:$L$2003,$S609))))</f>
        <v/>
      </c>
      <c r="B609" s="4">
        <f>IF($R609="","",IF($R609="T",$K$3,IF($R609="B",COUNTIFS($M$4:$M$2003,INDEX($M$4:$M$2003,$S609),$N$4:$N$2003,1),1)))</f>
        <v/>
      </c>
      <c r="L609">
        <f>IF($K$1="","",IFERROR(INDEX(Lines!$A:$AA,ROW()-2,$K$1),""))</f>
        <v/>
      </c>
      <c r="M609">
        <f>IF($K$2="","",IFERROR(INDEX(Lines!$A:$AA,ROW()-2,$K$2),""))</f>
        <v/>
      </c>
      <c r="N609">
        <f>IF(AND(L609&lt;&gt;"",LEFT(L609,1)="N",M609&lt;&gt;"PICKING",M609&lt;&gt;""),1,0)</f>
        <v/>
      </c>
      <c r="O609">
        <f>IF(N609=1,M609&amp;"|"&amp;L609,REPT("z",40))</f>
        <v/>
      </c>
      <c r="P609">
        <f>IF(N609=1,COUNTIF($O$4:$O$2003,"&lt;"&amp;O609)+1,"")</f>
        <v/>
      </c>
      <c r="Q609">
        <f>IF(OR($R608="",$R608="T"),"",IF($R608="B",$Q608,IF($Q608+1&gt;$K$3,"",$Q608+1)))</f>
        <v/>
      </c>
      <c r="R609">
        <f>IF(OR($R608="",$R608="T"),"",IF($R608="B","S",IF($Q608+1&gt;$K$3,"T",IF(INDEX($M$4:$M$2003,MATCH($Q608+1,$P$4:$P$2003,0))&lt;&gt;INDEX($M$4:$M$2003,MATCH($Q608,$P$4:$P$2003,0)),"B","S"))))</f>
        <v/>
      </c>
      <c r="S609">
        <f>IF(Q609="","",IFERROR(MATCH(Q609,$P$4:$P$2003,0),""))</f>
        <v/>
      </c>
    </row>
    <row r="610">
      <c r="A610" s="4">
        <f>IF($R610="","",IF($R610="T","Gesamtergebnis",IF($R610="B",INDEX($M$4:$M$2003,$S610),INDEX($L$4:$L$2003,$S610))))</f>
        <v/>
      </c>
      <c r="B610" s="4">
        <f>IF($R610="","",IF($R610="T",$K$3,IF($R610="B",COUNTIFS($M$4:$M$2003,INDEX($M$4:$M$2003,$S610),$N$4:$N$2003,1),1)))</f>
        <v/>
      </c>
      <c r="L610">
        <f>IF($K$1="","",IFERROR(INDEX(Lines!$A:$AA,ROW()-2,$K$1),""))</f>
        <v/>
      </c>
      <c r="M610">
        <f>IF($K$2="","",IFERROR(INDEX(Lines!$A:$AA,ROW()-2,$K$2),""))</f>
        <v/>
      </c>
      <c r="N610">
        <f>IF(AND(L610&lt;&gt;"",LEFT(L610,1)="N",M610&lt;&gt;"PICKING",M610&lt;&gt;""),1,0)</f>
        <v/>
      </c>
      <c r="O610">
        <f>IF(N610=1,M610&amp;"|"&amp;L610,REPT("z",40))</f>
        <v/>
      </c>
      <c r="P610">
        <f>IF(N610=1,COUNTIF($O$4:$O$2003,"&lt;"&amp;O610)+1,"")</f>
        <v/>
      </c>
      <c r="Q610">
        <f>IF(OR($R609="",$R609="T"),"",IF($R609="B",$Q609,IF($Q609+1&gt;$K$3,"",$Q609+1)))</f>
        <v/>
      </c>
      <c r="R610">
        <f>IF(OR($R609="",$R609="T"),"",IF($R609="B","S",IF($Q609+1&gt;$K$3,"T",IF(INDEX($M$4:$M$2003,MATCH($Q609+1,$P$4:$P$2003,0))&lt;&gt;INDEX($M$4:$M$2003,MATCH($Q609,$P$4:$P$2003,0)),"B","S"))))</f>
        <v/>
      </c>
      <c r="S610">
        <f>IF(Q610="","",IFERROR(MATCH(Q610,$P$4:$P$2003,0),""))</f>
        <v/>
      </c>
    </row>
    <row r="611">
      <c r="A611" s="4">
        <f>IF($R611="","",IF($R611="T","Gesamtergebnis",IF($R611="B",INDEX($M$4:$M$2003,$S611),INDEX($L$4:$L$2003,$S611))))</f>
        <v/>
      </c>
      <c r="B611" s="4">
        <f>IF($R611="","",IF($R611="T",$K$3,IF($R611="B",COUNTIFS($M$4:$M$2003,INDEX($M$4:$M$2003,$S611),$N$4:$N$2003,1),1)))</f>
        <v/>
      </c>
      <c r="L611">
        <f>IF($K$1="","",IFERROR(INDEX(Lines!$A:$AA,ROW()-2,$K$1),""))</f>
        <v/>
      </c>
      <c r="M611">
        <f>IF($K$2="","",IFERROR(INDEX(Lines!$A:$AA,ROW()-2,$K$2),""))</f>
        <v/>
      </c>
      <c r="N611">
        <f>IF(AND(L611&lt;&gt;"",LEFT(L611,1)="N",M611&lt;&gt;"PICKING",M611&lt;&gt;""),1,0)</f>
        <v/>
      </c>
      <c r="O611">
        <f>IF(N611=1,M611&amp;"|"&amp;L611,REPT("z",40))</f>
        <v/>
      </c>
      <c r="P611">
        <f>IF(N611=1,COUNTIF($O$4:$O$2003,"&lt;"&amp;O611)+1,"")</f>
        <v/>
      </c>
      <c r="Q611">
        <f>IF(OR($R610="",$R610="T"),"",IF($R610="B",$Q610,IF($Q610+1&gt;$K$3,"",$Q610+1)))</f>
        <v/>
      </c>
      <c r="R611">
        <f>IF(OR($R610="",$R610="T"),"",IF($R610="B","S",IF($Q610+1&gt;$K$3,"T",IF(INDEX($M$4:$M$2003,MATCH($Q610+1,$P$4:$P$2003,0))&lt;&gt;INDEX($M$4:$M$2003,MATCH($Q610,$P$4:$P$2003,0)),"B","S"))))</f>
        <v/>
      </c>
      <c r="S611">
        <f>IF(Q611="","",IFERROR(MATCH(Q611,$P$4:$P$2003,0),""))</f>
        <v/>
      </c>
    </row>
    <row r="612">
      <c r="A612" s="4">
        <f>IF($R612="","",IF($R612="T","Gesamtergebnis",IF($R612="B",INDEX($M$4:$M$2003,$S612),INDEX($L$4:$L$2003,$S612))))</f>
        <v/>
      </c>
      <c r="B612" s="4">
        <f>IF($R612="","",IF($R612="T",$K$3,IF($R612="B",COUNTIFS($M$4:$M$2003,INDEX($M$4:$M$2003,$S612),$N$4:$N$2003,1),1)))</f>
        <v/>
      </c>
      <c r="L612">
        <f>IF($K$1="","",IFERROR(INDEX(Lines!$A:$AA,ROW()-2,$K$1),""))</f>
        <v/>
      </c>
      <c r="M612">
        <f>IF($K$2="","",IFERROR(INDEX(Lines!$A:$AA,ROW()-2,$K$2),""))</f>
        <v/>
      </c>
      <c r="N612">
        <f>IF(AND(L612&lt;&gt;"",LEFT(L612,1)="N",M612&lt;&gt;"PICKING",M612&lt;&gt;""),1,0)</f>
        <v/>
      </c>
      <c r="O612">
        <f>IF(N612=1,M612&amp;"|"&amp;L612,REPT("z",40))</f>
        <v/>
      </c>
      <c r="P612">
        <f>IF(N612=1,COUNTIF($O$4:$O$2003,"&lt;"&amp;O612)+1,"")</f>
        <v/>
      </c>
      <c r="Q612">
        <f>IF(OR($R611="",$R611="T"),"",IF($R611="B",$Q611,IF($Q611+1&gt;$K$3,"",$Q611+1)))</f>
        <v/>
      </c>
      <c r="R612">
        <f>IF(OR($R611="",$R611="T"),"",IF($R611="B","S",IF($Q611+1&gt;$K$3,"T",IF(INDEX($M$4:$M$2003,MATCH($Q611+1,$P$4:$P$2003,0))&lt;&gt;INDEX($M$4:$M$2003,MATCH($Q611,$P$4:$P$2003,0)),"B","S"))))</f>
        <v/>
      </c>
      <c r="S612">
        <f>IF(Q612="","",IFERROR(MATCH(Q612,$P$4:$P$2003,0),""))</f>
        <v/>
      </c>
    </row>
    <row r="613">
      <c r="A613" s="4">
        <f>IF($R613="","",IF($R613="T","Gesamtergebnis",IF($R613="B",INDEX($M$4:$M$2003,$S613),INDEX($L$4:$L$2003,$S613))))</f>
        <v/>
      </c>
      <c r="B613" s="4">
        <f>IF($R613="","",IF($R613="T",$K$3,IF($R613="B",COUNTIFS($M$4:$M$2003,INDEX($M$4:$M$2003,$S613),$N$4:$N$2003,1),1)))</f>
        <v/>
      </c>
      <c r="L613">
        <f>IF($K$1="","",IFERROR(INDEX(Lines!$A:$AA,ROW()-2,$K$1),""))</f>
        <v/>
      </c>
      <c r="M613">
        <f>IF($K$2="","",IFERROR(INDEX(Lines!$A:$AA,ROW()-2,$K$2),""))</f>
        <v/>
      </c>
      <c r="N613">
        <f>IF(AND(L613&lt;&gt;"",LEFT(L613,1)="N",M613&lt;&gt;"PICKING",M613&lt;&gt;""),1,0)</f>
        <v/>
      </c>
      <c r="O613">
        <f>IF(N613=1,M613&amp;"|"&amp;L613,REPT("z",40))</f>
        <v/>
      </c>
      <c r="P613">
        <f>IF(N613=1,COUNTIF($O$4:$O$2003,"&lt;"&amp;O613)+1,"")</f>
        <v/>
      </c>
      <c r="Q613">
        <f>IF(OR($R612="",$R612="T"),"",IF($R612="B",$Q612,IF($Q612+1&gt;$K$3,"",$Q612+1)))</f>
        <v/>
      </c>
      <c r="R613">
        <f>IF(OR($R612="",$R612="T"),"",IF($R612="B","S",IF($Q612+1&gt;$K$3,"T",IF(INDEX($M$4:$M$2003,MATCH($Q612+1,$P$4:$P$2003,0))&lt;&gt;INDEX($M$4:$M$2003,MATCH($Q612,$P$4:$P$2003,0)),"B","S"))))</f>
        <v/>
      </c>
      <c r="S613">
        <f>IF(Q613="","",IFERROR(MATCH(Q613,$P$4:$P$2003,0),""))</f>
        <v/>
      </c>
    </row>
    <row r="614">
      <c r="A614" s="4">
        <f>IF($R614="","",IF($R614="T","Gesamtergebnis",IF($R614="B",INDEX($M$4:$M$2003,$S614),INDEX($L$4:$L$2003,$S614))))</f>
        <v/>
      </c>
      <c r="B614" s="4">
        <f>IF($R614="","",IF($R614="T",$K$3,IF($R614="B",COUNTIFS($M$4:$M$2003,INDEX($M$4:$M$2003,$S614),$N$4:$N$2003,1),1)))</f>
        <v/>
      </c>
      <c r="L614">
        <f>IF($K$1="","",IFERROR(INDEX(Lines!$A:$AA,ROW()-2,$K$1),""))</f>
        <v/>
      </c>
      <c r="M614">
        <f>IF($K$2="","",IFERROR(INDEX(Lines!$A:$AA,ROW()-2,$K$2),""))</f>
        <v/>
      </c>
      <c r="N614">
        <f>IF(AND(L614&lt;&gt;"",LEFT(L614,1)="N",M614&lt;&gt;"PICKING",M614&lt;&gt;""),1,0)</f>
        <v/>
      </c>
      <c r="O614">
        <f>IF(N614=1,M614&amp;"|"&amp;L614,REPT("z",40))</f>
        <v/>
      </c>
      <c r="P614">
        <f>IF(N614=1,COUNTIF($O$4:$O$2003,"&lt;"&amp;O614)+1,"")</f>
        <v/>
      </c>
      <c r="Q614">
        <f>IF(OR($R613="",$R613="T"),"",IF($R613="B",$Q613,IF($Q613+1&gt;$K$3,"",$Q613+1)))</f>
        <v/>
      </c>
      <c r="R614">
        <f>IF(OR($R613="",$R613="T"),"",IF($R613="B","S",IF($Q613+1&gt;$K$3,"T",IF(INDEX($M$4:$M$2003,MATCH($Q613+1,$P$4:$P$2003,0))&lt;&gt;INDEX($M$4:$M$2003,MATCH($Q613,$P$4:$P$2003,0)),"B","S"))))</f>
        <v/>
      </c>
      <c r="S614">
        <f>IF(Q614="","",IFERROR(MATCH(Q614,$P$4:$P$2003,0),""))</f>
        <v/>
      </c>
    </row>
    <row r="615">
      <c r="A615" s="4">
        <f>IF($R615="","",IF($R615="T","Gesamtergebnis",IF($R615="B",INDEX($M$4:$M$2003,$S615),INDEX($L$4:$L$2003,$S615))))</f>
        <v/>
      </c>
      <c r="B615" s="4">
        <f>IF($R615="","",IF($R615="T",$K$3,IF($R615="B",COUNTIFS($M$4:$M$2003,INDEX($M$4:$M$2003,$S615),$N$4:$N$2003,1),1)))</f>
        <v/>
      </c>
      <c r="L615">
        <f>IF($K$1="","",IFERROR(INDEX(Lines!$A:$AA,ROW()-2,$K$1),""))</f>
        <v/>
      </c>
      <c r="M615">
        <f>IF($K$2="","",IFERROR(INDEX(Lines!$A:$AA,ROW()-2,$K$2),""))</f>
        <v/>
      </c>
      <c r="N615">
        <f>IF(AND(L615&lt;&gt;"",LEFT(L615,1)="N",M615&lt;&gt;"PICKING",M615&lt;&gt;""),1,0)</f>
        <v/>
      </c>
      <c r="O615">
        <f>IF(N615=1,M615&amp;"|"&amp;L615,REPT("z",40))</f>
        <v/>
      </c>
      <c r="P615">
        <f>IF(N615=1,COUNTIF($O$4:$O$2003,"&lt;"&amp;O615)+1,"")</f>
        <v/>
      </c>
      <c r="Q615">
        <f>IF(OR($R614="",$R614="T"),"",IF($R614="B",$Q614,IF($Q614+1&gt;$K$3,"",$Q614+1)))</f>
        <v/>
      </c>
      <c r="R615">
        <f>IF(OR($R614="",$R614="T"),"",IF($R614="B","S",IF($Q614+1&gt;$K$3,"T",IF(INDEX($M$4:$M$2003,MATCH($Q614+1,$P$4:$P$2003,0))&lt;&gt;INDEX($M$4:$M$2003,MATCH($Q614,$P$4:$P$2003,0)),"B","S"))))</f>
        <v/>
      </c>
      <c r="S615">
        <f>IF(Q615="","",IFERROR(MATCH(Q615,$P$4:$P$2003,0),""))</f>
        <v/>
      </c>
    </row>
    <row r="616">
      <c r="A616" s="4">
        <f>IF($R616="","",IF($R616="T","Gesamtergebnis",IF($R616="B",INDEX($M$4:$M$2003,$S616),INDEX($L$4:$L$2003,$S616))))</f>
        <v/>
      </c>
      <c r="B616" s="4">
        <f>IF($R616="","",IF($R616="T",$K$3,IF($R616="B",COUNTIFS($M$4:$M$2003,INDEX($M$4:$M$2003,$S616),$N$4:$N$2003,1),1)))</f>
        <v/>
      </c>
      <c r="L616">
        <f>IF($K$1="","",IFERROR(INDEX(Lines!$A:$AA,ROW()-2,$K$1),""))</f>
        <v/>
      </c>
      <c r="M616">
        <f>IF($K$2="","",IFERROR(INDEX(Lines!$A:$AA,ROW()-2,$K$2),""))</f>
        <v/>
      </c>
      <c r="N616">
        <f>IF(AND(L616&lt;&gt;"",LEFT(L616,1)="N",M616&lt;&gt;"PICKING",M616&lt;&gt;""),1,0)</f>
        <v/>
      </c>
      <c r="O616">
        <f>IF(N616=1,M616&amp;"|"&amp;L616,REPT("z",40))</f>
        <v/>
      </c>
      <c r="P616">
        <f>IF(N616=1,COUNTIF($O$4:$O$2003,"&lt;"&amp;O616)+1,"")</f>
        <v/>
      </c>
      <c r="Q616">
        <f>IF(OR($R615="",$R615="T"),"",IF($R615="B",$Q615,IF($Q615+1&gt;$K$3,"",$Q615+1)))</f>
        <v/>
      </c>
      <c r="R616">
        <f>IF(OR($R615="",$R615="T"),"",IF($R615="B","S",IF($Q615+1&gt;$K$3,"T",IF(INDEX($M$4:$M$2003,MATCH($Q615+1,$P$4:$P$2003,0))&lt;&gt;INDEX($M$4:$M$2003,MATCH($Q615,$P$4:$P$2003,0)),"B","S"))))</f>
        <v/>
      </c>
      <c r="S616">
        <f>IF(Q616="","",IFERROR(MATCH(Q616,$P$4:$P$2003,0),""))</f>
        <v/>
      </c>
    </row>
    <row r="617">
      <c r="A617" s="4">
        <f>IF($R617="","",IF($R617="T","Gesamtergebnis",IF($R617="B",INDEX($M$4:$M$2003,$S617),INDEX($L$4:$L$2003,$S617))))</f>
        <v/>
      </c>
      <c r="B617" s="4">
        <f>IF($R617="","",IF($R617="T",$K$3,IF($R617="B",COUNTIFS($M$4:$M$2003,INDEX($M$4:$M$2003,$S617),$N$4:$N$2003,1),1)))</f>
        <v/>
      </c>
      <c r="L617">
        <f>IF($K$1="","",IFERROR(INDEX(Lines!$A:$AA,ROW()-2,$K$1),""))</f>
        <v/>
      </c>
      <c r="M617">
        <f>IF($K$2="","",IFERROR(INDEX(Lines!$A:$AA,ROW()-2,$K$2),""))</f>
        <v/>
      </c>
      <c r="N617">
        <f>IF(AND(L617&lt;&gt;"",LEFT(L617,1)="N",M617&lt;&gt;"PICKING",M617&lt;&gt;""),1,0)</f>
        <v/>
      </c>
      <c r="O617">
        <f>IF(N617=1,M617&amp;"|"&amp;L617,REPT("z",40))</f>
        <v/>
      </c>
      <c r="P617">
        <f>IF(N617=1,COUNTIF($O$4:$O$2003,"&lt;"&amp;O617)+1,"")</f>
        <v/>
      </c>
      <c r="Q617">
        <f>IF(OR($R616="",$R616="T"),"",IF($R616="B",$Q616,IF($Q616+1&gt;$K$3,"",$Q616+1)))</f>
        <v/>
      </c>
      <c r="R617">
        <f>IF(OR($R616="",$R616="T"),"",IF($R616="B","S",IF($Q616+1&gt;$K$3,"T",IF(INDEX($M$4:$M$2003,MATCH($Q616+1,$P$4:$P$2003,0))&lt;&gt;INDEX($M$4:$M$2003,MATCH($Q616,$P$4:$P$2003,0)),"B","S"))))</f>
        <v/>
      </c>
      <c r="S617">
        <f>IF(Q617="","",IFERROR(MATCH(Q617,$P$4:$P$2003,0),""))</f>
        <v/>
      </c>
    </row>
    <row r="618">
      <c r="A618" s="4">
        <f>IF($R618="","",IF($R618="T","Gesamtergebnis",IF($R618="B",INDEX($M$4:$M$2003,$S618),INDEX($L$4:$L$2003,$S618))))</f>
        <v/>
      </c>
      <c r="B618" s="4">
        <f>IF($R618="","",IF($R618="T",$K$3,IF($R618="B",COUNTIFS($M$4:$M$2003,INDEX($M$4:$M$2003,$S618),$N$4:$N$2003,1),1)))</f>
        <v/>
      </c>
      <c r="L618">
        <f>IF($K$1="","",IFERROR(INDEX(Lines!$A:$AA,ROW()-2,$K$1),""))</f>
        <v/>
      </c>
      <c r="M618">
        <f>IF($K$2="","",IFERROR(INDEX(Lines!$A:$AA,ROW()-2,$K$2),""))</f>
        <v/>
      </c>
      <c r="N618">
        <f>IF(AND(L618&lt;&gt;"",LEFT(L618,1)="N",M618&lt;&gt;"PICKING",M618&lt;&gt;""),1,0)</f>
        <v/>
      </c>
      <c r="O618">
        <f>IF(N618=1,M618&amp;"|"&amp;L618,REPT("z",40))</f>
        <v/>
      </c>
      <c r="P618">
        <f>IF(N618=1,COUNTIF($O$4:$O$2003,"&lt;"&amp;O618)+1,"")</f>
        <v/>
      </c>
      <c r="Q618">
        <f>IF(OR($R617="",$R617="T"),"",IF($R617="B",$Q617,IF($Q617+1&gt;$K$3,"",$Q617+1)))</f>
        <v/>
      </c>
      <c r="R618">
        <f>IF(OR($R617="",$R617="T"),"",IF($R617="B","S",IF($Q617+1&gt;$K$3,"T",IF(INDEX($M$4:$M$2003,MATCH($Q617+1,$P$4:$P$2003,0))&lt;&gt;INDEX($M$4:$M$2003,MATCH($Q617,$P$4:$P$2003,0)),"B","S"))))</f>
        <v/>
      </c>
      <c r="S618">
        <f>IF(Q618="","",IFERROR(MATCH(Q618,$P$4:$P$2003,0),""))</f>
        <v/>
      </c>
    </row>
    <row r="619">
      <c r="A619" s="4">
        <f>IF($R619="","",IF($R619="T","Gesamtergebnis",IF($R619="B",INDEX($M$4:$M$2003,$S619),INDEX($L$4:$L$2003,$S619))))</f>
        <v/>
      </c>
      <c r="B619" s="4">
        <f>IF($R619="","",IF($R619="T",$K$3,IF($R619="B",COUNTIFS($M$4:$M$2003,INDEX($M$4:$M$2003,$S619),$N$4:$N$2003,1),1)))</f>
        <v/>
      </c>
      <c r="L619">
        <f>IF($K$1="","",IFERROR(INDEX(Lines!$A:$AA,ROW()-2,$K$1),""))</f>
        <v/>
      </c>
      <c r="M619">
        <f>IF($K$2="","",IFERROR(INDEX(Lines!$A:$AA,ROW()-2,$K$2),""))</f>
        <v/>
      </c>
      <c r="N619">
        <f>IF(AND(L619&lt;&gt;"",LEFT(L619,1)="N",M619&lt;&gt;"PICKING",M619&lt;&gt;""),1,0)</f>
        <v/>
      </c>
      <c r="O619">
        <f>IF(N619=1,M619&amp;"|"&amp;L619,REPT("z",40))</f>
        <v/>
      </c>
      <c r="P619">
        <f>IF(N619=1,COUNTIF($O$4:$O$2003,"&lt;"&amp;O619)+1,"")</f>
        <v/>
      </c>
      <c r="Q619">
        <f>IF(OR($R618="",$R618="T"),"",IF($R618="B",$Q618,IF($Q618+1&gt;$K$3,"",$Q618+1)))</f>
        <v/>
      </c>
      <c r="R619">
        <f>IF(OR($R618="",$R618="T"),"",IF($R618="B","S",IF($Q618+1&gt;$K$3,"T",IF(INDEX($M$4:$M$2003,MATCH($Q618+1,$P$4:$P$2003,0))&lt;&gt;INDEX($M$4:$M$2003,MATCH($Q618,$P$4:$P$2003,0)),"B","S"))))</f>
        <v/>
      </c>
      <c r="S619">
        <f>IF(Q619="","",IFERROR(MATCH(Q619,$P$4:$P$2003,0),""))</f>
        <v/>
      </c>
    </row>
    <row r="620">
      <c r="A620" s="4">
        <f>IF($R620="","",IF($R620="T","Gesamtergebnis",IF($R620="B",INDEX($M$4:$M$2003,$S620),INDEX($L$4:$L$2003,$S620))))</f>
        <v/>
      </c>
      <c r="B620" s="4">
        <f>IF($R620="","",IF($R620="T",$K$3,IF($R620="B",COUNTIFS($M$4:$M$2003,INDEX($M$4:$M$2003,$S620),$N$4:$N$2003,1),1)))</f>
        <v/>
      </c>
      <c r="L620">
        <f>IF($K$1="","",IFERROR(INDEX(Lines!$A:$AA,ROW()-2,$K$1),""))</f>
        <v/>
      </c>
      <c r="M620">
        <f>IF($K$2="","",IFERROR(INDEX(Lines!$A:$AA,ROW()-2,$K$2),""))</f>
        <v/>
      </c>
      <c r="N620">
        <f>IF(AND(L620&lt;&gt;"",LEFT(L620,1)="N",M620&lt;&gt;"PICKING",M620&lt;&gt;""),1,0)</f>
        <v/>
      </c>
      <c r="O620">
        <f>IF(N620=1,M620&amp;"|"&amp;L620,REPT("z",40))</f>
        <v/>
      </c>
      <c r="P620">
        <f>IF(N620=1,COUNTIF($O$4:$O$2003,"&lt;"&amp;O620)+1,"")</f>
        <v/>
      </c>
      <c r="Q620">
        <f>IF(OR($R619="",$R619="T"),"",IF($R619="B",$Q619,IF($Q619+1&gt;$K$3,"",$Q619+1)))</f>
        <v/>
      </c>
      <c r="R620">
        <f>IF(OR($R619="",$R619="T"),"",IF($R619="B","S",IF($Q619+1&gt;$K$3,"T",IF(INDEX($M$4:$M$2003,MATCH($Q619+1,$P$4:$P$2003,0))&lt;&gt;INDEX($M$4:$M$2003,MATCH($Q619,$P$4:$P$2003,0)),"B","S"))))</f>
        <v/>
      </c>
      <c r="S620">
        <f>IF(Q620="","",IFERROR(MATCH(Q620,$P$4:$P$2003,0),""))</f>
        <v/>
      </c>
    </row>
    <row r="621">
      <c r="A621" s="4">
        <f>IF($R621="","",IF($R621="T","Gesamtergebnis",IF($R621="B",INDEX($M$4:$M$2003,$S621),INDEX($L$4:$L$2003,$S621))))</f>
        <v/>
      </c>
      <c r="B621" s="4">
        <f>IF($R621="","",IF($R621="T",$K$3,IF($R621="B",COUNTIFS($M$4:$M$2003,INDEX($M$4:$M$2003,$S621),$N$4:$N$2003,1),1)))</f>
        <v/>
      </c>
      <c r="L621">
        <f>IF($K$1="","",IFERROR(INDEX(Lines!$A:$AA,ROW()-2,$K$1),""))</f>
        <v/>
      </c>
      <c r="M621">
        <f>IF($K$2="","",IFERROR(INDEX(Lines!$A:$AA,ROW()-2,$K$2),""))</f>
        <v/>
      </c>
      <c r="N621">
        <f>IF(AND(L621&lt;&gt;"",LEFT(L621,1)="N",M621&lt;&gt;"PICKING",M621&lt;&gt;""),1,0)</f>
        <v/>
      </c>
      <c r="O621">
        <f>IF(N621=1,M621&amp;"|"&amp;L621,REPT("z",40))</f>
        <v/>
      </c>
      <c r="P621">
        <f>IF(N621=1,COUNTIF($O$4:$O$2003,"&lt;"&amp;O621)+1,"")</f>
        <v/>
      </c>
      <c r="Q621">
        <f>IF(OR($R620="",$R620="T"),"",IF($R620="B",$Q620,IF($Q620+1&gt;$K$3,"",$Q620+1)))</f>
        <v/>
      </c>
      <c r="R621">
        <f>IF(OR($R620="",$R620="T"),"",IF($R620="B","S",IF($Q620+1&gt;$K$3,"T",IF(INDEX($M$4:$M$2003,MATCH($Q620+1,$P$4:$P$2003,0))&lt;&gt;INDEX($M$4:$M$2003,MATCH($Q620,$P$4:$P$2003,0)),"B","S"))))</f>
        <v/>
      </c>
      <c r="S621">
        <f>IF(Q621="","",IFERROR(MATCH(Q621,$P$4:$P$2003,0),""))</f>
        <v/>
      </c>
    </row>
    <row r="622">
      <c r="A622" s="4">
        <f>IF($R622="","",IF($R622="T","Gesamtergebnis",IF($R622="B",INDEX($M$4:$M$2003,$S622),INDEX($L$4:$L$2003,$S622))))</f>
        <v/>
      </c>
      <c r="B622" s="4">
        <f>IF($R622="","",IF($R622="T",$K$3,IF($R622="B",COUNTIFS($M$4:$M$2003,INDEX($M$4:$M$2003,$S622),$N$4:$N$2003,1),1)))</f>
        <v/>
      </c>
      <c r="L622">
        <f>IF($K$1="","",IFERROR(INDEX(Lines!$A:$AA,ROW()-2,$K$1),""))</f>
        <v/>
      </c>
      <c r="M622">
        <f>IF($K$2="","",IFERROR(INDEX(Lines!$A:$AA,ROW()-2,$K$2),""))</f>
        <v/>
      </c>
      <c r="N622">
        <f>IF(AND(L622&lt;&gt;"",LEFT(L622,1)="N",M622&lt;&gt;"PICKING",M622&lt;&gt;""),1,0)</f>
        <v/>
      </c>
      <c r="O622">
        <f>IF(N622=1,M622&amp;"|"&amp;L622,REPT("z",40))</f>
        <v/>
      </c>
      <c r="P622">
        <f>IF(N622=1,COUNTIF($O$4:$O$2003,"&lt;"&amp;O622)+1,"")</f>
        <v/>
      </c>
      <c r="Q622">
        <f>IF(OR($R621="",$R621="T"),"",IF($R621="B",$Q621,IF($Q621+1&gt;$K$3,"",$Q621+1)))</f>
        <v/>
      </c>
      <c r="R622">
        <f>IF(OR($R621="",$R621="T"),"",IF($R621="B","S",IF($Q621+1&gt;$K$3,"T",IF(INDEX($M$4:$M$2003,MATCH($Q621+1,$P$4:$P$2003,0))&lt;&gt;INDEX($M$4:$M$2003,MATCH($Q621,$P$4:$P$2003,0)),"B","S"))))</f>
        <v/>
      </c>
      <c r="S622">
        <f>IF(Q622="","",IFERROR(MATCH(Q622,$P$4:$P$2003,0),""))</f>
        <v/>
      </c>
    </row>
    <row r="623">
      <c r="A623" s="4">
        <f>IF($R623="","",IF($R623="T","Gesamtergebnis",IF($R623="B",INDEX($M$4:$M$2003,$S623),INDEX($L$4:$L$2003,$S623))))</f>
        <v/>
      </c>
      <c r="B623" s="4">
        <f>IF($R623="","",IF($R623="T",$K$3,IF($R623="B",COUNTIFS($M$4:$M$2003,INDEX($M$4:$M$2003,$S623),$N$4:$N$2003,1),1)))</f>
        <v/>
      </c>
      <c r="L623">
        <f>IF($K$1="","",IFERROR(INDEX(Lines!$A:$AA,ROW()-2,$K$1),""))</f>
        <v/>
      </c>
      <c r="M623">
        <f>IF($K$2="","",IFERROR(INDEX(Lines!$A:$AA,ROW()-2,$K$2),""))</f>
        <v/>
      </c>
      <c r="N623">
        <f>IF(AND(L623&lt;&gt;"",LEFT(L623,1)="N",M623&lt;&gt;"PICKING",M623&lt;&gt;""),1,0)</f>
        <v/>
      </c>
      <c r="O623">
        <f>IF(N623=1,M623&amp;"|"&amp;L623,REPT("z",40))</f>
        <v/>
      </c>
      <c r="P623">
        <f>IF(N623=1,COUNTIF($O$4:$O$2003,"&lt;"&amp;O623)+1,"")</f>
        <v/>
      </c>
      <c r="Q623">
        <f>IF(OR($R622="",$R622="T"),"",IF($R622="B",$Q622,IF($Q622+1&gt;$K$3,"",$Q622+1)))</f>
        <v/>
      </c>
      <c r="R623">
        <f>IF(OR($R622="",$R622="T"),"",IF($R622="B","S",IF($Q622+1&gt;$K$3,"T",IF(INDEX($M$4:$M$2003,MATCH($Q622+1,$P$4:$P$2003,0))&lt;&gt;INDEX($M$4:$M$2003,MATCH($Q622,$P$4:$P$2003,0)),"B","S"))))</f>
        <v/>
      </c>
      <c r="S623">
        <f>IF(Q623="","",IFERROR(MATCH(Q623,$P$4:$P$2003,0),""))</f>
        <v/>
      </c>
    </row>
    <row r="624">
      <c r="A624" s="4">
        <f>IF($R624="","",IF($R624="T","Gesamtergebnis",IF($R624="B",INDEX($M$4:$M$2003,$S624),INDEX($L$4:$L$2003,$S624))))</f>
        <v/>
      </c>
      <c r="B624" s="4">
        <f>IF($R624="","",IF($R624="T",$K$3,IF($R624="B",COUNTIFS($M$4:$M$2003,INDEX($M$4:$M$2003,$S624),$N$4:$N$2003,1),1)))</f>
        <v/>
      </c>
      <c r="L624">
        <f>IF($K$1="","",IFERROR(INDEX(Lines!$A:$AA,ROW()-2,$K$1),""))</f>
        <v/>
      </c>
      <c r="M624">
        <f>IF($K$2="","",IFERROR(INDEX(Lines!$A:$AA,ROW()-2,$K$2),""))</f>
        <v/>
      </c>
      <c r="N624">
        <f>IF(AND(L624&lt;&gt;"",LEFT(L624,1)="N",M624&lt;&gt;"PICKING",M624&lt;&gt;""),1,0)</f>
        <v/>
      </c>
      <c r="O624">
        <f>IF(N624=1,M624&amp;"|"&amp;L624,REPT("z",40))</f>
        <v/>
      </c>
      <c r="P624">
        <f>IF(N624=1,COUNTIF($O$4:$O$2003,"&lt;"&amp;O624)+1,"")</f>
        <v/>
      </c>
      <c r="Q624">
        <f>IF(OR($R623="",$R623="T"),"",IF($R623="B",$Q623,IF($Q623+1&gt;$K$3,"",$Q623+1)))</f>
        <v/>
      </c>
      <c r="R624">
        <f>IF(OR($R623="",$R623="T"),"",IF($R623="B","S",IF($Q623+1&gt;$K$3,"T",IF(INDEX($M$4:$M$2003,MATCH($Q623+1,$P$4:$P$2003,0))&lt;&gt;INDEX($M$4:$M$2003,MATCH($Q623,$P$4:$P$2003,0)),"B","S"))))</f>
        <v/>
      </c>
      <c r="S624">
        <f>IF(Q624="","",IFERROR(MATCH(Q624,$P$4:$P$2003,0),""))</f>
        <v/>
      </c>
    </row>
    <row r="625">
      <c r="A625" s="4">
        <f>IF($R625="","",IF($R625="T","Gesamtergebnis",IF($R625="B",INDEX($M$4:$M$2003,$S625),INDEX($L$4:$L$2003,$S625))))</f>
        <v/>
      </c>
      <c r="B625" s="4">
        <f>IF($R625="","",IF($R625="T",$K$3,IF($R625="B",COUNTIFS($M$4:$M$2003,INDEX($M$4:$M$2003,$S625),$N$4:$N$2003,1),1)))</f>
        <v/>
      </c>
      <c r="L625">
        <f>IF($K$1="","",IFERROR(INDEX(Lines!$A:$AA,ROW()-2,$K$1),""))</f>
        <v/>
      </c>
      <c r="M625">
        <f>IF($K$2="","",IFERROR(INDEX(Lines!$A:$AA,ROW()-2,$K$2),""))</f>
        <v/>
      </c>
      <c r="N625">
        <f>IF(AND(L625&lt;&gt;"",LEFT(L625,1)="N",M625&lt;&gt;"PICKING",M625&lt;&gt;""),1,0)</f>
        <v/>
      </c>
      <c r="O625">
        <f>IF(N625=1,M625&amp;"|"&amp;L625,REPT("z",40))</f>
        <v/>
      </c>
      <c r="P625">
        <f>IF(N625=1,COUNTIF($O$4:$O$2003,"&lt;"&amp;O625)+1,"")</f>
        <v/>
      </c>
      <c r="Q625">
        <f>IF(OR($R624="",$R624="T"),"",IF($R624="B",$Q624,IF($Q624+1&gt;$K$3,"",$Q624+1)))</f>
        <v/>
      </c>
      <c r="R625">
        <f>IF(OR($R624="",$R624="T"),"",IF($R624="B","S",IF($Q624+1&gt;$K$3,"T",IF(INDEX($M$4:$M$2003,MATCH($Q624+1,$P$4:$P$2003,0))&lt;&gt;INDEX($M$4:$M$2003,MATCH($Q624,$P$4:$P$2003,0)),"B","S"))))</f>
        <v/>
      </c>
      <c r="S625">
        <f>IF(Q625="","",IFERROR(MATCH(Q625,$P$4:$P$2003,0),""))</f>
        <v/>
      </c>
    </row>
    <row r="626">
      <c r="A626" s="4">
        <f>IF($R626="","",IF($R626="T","Gesamtergebnis",IF($R626="B",INDEX($M$4:$M$2003,$S626),INDEX($L$4:$L$2003,$S626))))</f>
        <v/>
      </c>
      <c r="B626" s="4">
        <f>IF($R626="","",IF($R626="T",$K$3,IF($R626="B",COUNTIFS($M$4:$M$2003,INDEX($M$4:$M$2003,$S626),$N$4:$N$2003,1),1)))</f>
        <v/>
      </c>
      <c r="L626">
        <f>IF($K$1="","",IFERROR(INDEX(Lines!$A:$AA,ROW()-2,$K$1),""))</f>
        <v/>
      </c>
      <c r="M626">
        <f>IF($K$2="","",IFERROR(INDEX(Lines!$A:$AA,ROW()-2,$K$2),""))</f>
        <v/>
      </c>
      <c r="N626">
        <f>IF(AND(L626&lt;&gt;"",LEFT(L626,1)="N",M626&lt;&gt;"PICKING",M626&lt;&gt;""),1,0)</f>
        <v/>
      </c>
      <c r="O626">
        <f>IF(N626=1,M626&amp;"|"&amp;L626,REPT("z",40))</f>
        <v/>
      </c>
      <c r="P626">
        <f>IF(N626=1,COUNTIF($O$4:$O$2003,"&lt;"&amp;O626)+1,"")</f>
        <v/>
      </c>
      <c r="Q626">
        <f>IF(OR($R625="",$R625="T"),"",IF($R625="B",$Q625,IF($Q625+1&gt;$K$3,"",$Q625+1)))</f>
        <v/>
      </c>
      <c r="R626">
        <f>IF(OR($R625="",$R625="T"),"",IF($R625="B","S",IF($Q625+1&gt;$K$3,"T",IF(INDEX($M$4:$M$2003,MATCH($Q625+1,$P$4:$P$2003,0))&lt;&gt;INDEX($M$4:$M$2003,MATCH($Q625,$P$4:$P$2003,0)),"B","S"))))</f>
        <v/>
      </c>
      <c r="S626">
        <f>IF(Q626="","",IFERROR(MATCH(Q626,$P$4:$P$2003,0),""))</f>
        <v/>
      </c>
    </row>
    <row r="627">
      <c r="A627" s="4">
        <f>IF($R627="","",IF($R627="T","Gesamtergebnis",IF($R627="B",INDEX($M$4:$M$2003,$S627),INDEX($L$4:$L$2003,$S627))))</f>
        <v/>
      </c>
      <c r="B627" s="4">
        <f>IF($R627="","",IF($R627="T",$K$3,IF($R627="B",COUNTIFS($M$4:$M$2003,INDEX($M$4:$M$2003,$S627),$N$4:$N$2003,1),1)))</f>
        <v/>
      </c>
      <c r="L627">
        <f>IF($K$1="","",IFERROR(INDEX(Lines!$A:$AA,ROW()-2,$K$1),""))</f>
        <v/>
      </c>
      <c r="M627">
        <f>IF($K$2="","",IFERROR(INDEX(Lines!$A:$AA,ROW()-2,$K$2),""))</f>
        <v/>
      </c>
      <c r="N627">
        <f>IF(AND(L627&lt;&gt;"",LEFT(L627,1)="N",M627&lt;&gt;"PICKING",M627&lt;&gt;""),1,0)</f>
        <v/>
      </c>
      <c r="O627">
        <f>IF(N627=1,M627&amp;"|"&amp;L627,REPT("z",40))</f>
        <v/>
      </c>
      <c r="P627">
        <f>IF(N627=1,COUNTIF($O$4:$O$2003,"&lt;"&amp;O627)+1,"")</f>
        <v/>
      </c>
      <c r="Q627">
        <f>IF(OR($R626="",$R626="T"),"",IF($R626="B",$Q626,IF($Q626+1&gt;$K$3,"",$Q626+1)))</f>
        <v/>
      </c>
      <c r="R627">
        <f>IF(OR($R626="",$R626="T"),"",IF($R626="B","S",IF($Q626+1&gt;$K$3,"T",IF(INDEX($M$4:$M$2003,MATCH($Q626+1,$P$4:$P$2003,0))&lt;&gt;INDEX($M$4:$M$2003,MATCH($Q626,$P$4:$P$2003,0)),"B","S"))))</f>
        <v/>
      </c>
      <c r="S627">
        <f>IF(Q627="","",IFERROR(MATCH(Q627,$P$4:$P$2003,0),""))</f>
        <v/>
      </c>
    </row>
    <row r="628">
      <c r="A628" s="4">
        <f>IF($R628="","",IF($R628="T","Gesamtergebnis",IF($R628="B",INDEX($M$4:$M$2003,$S628),INDEX($L$4:$L$2003,$S628))))</f>
        <v/>
      </c>
      <c r="B628" s="4">
        <f>IF($R628="","",IF($R628="T",$K$3,IF($R628="B",COUNTIFS($M$4:$M$2003,INDEX($M$4:$M$2003,$S628),$N$4:$N$2003,1),1)))</f>
        <v/>
      </c>
      <c r="L628">
        <f>IF($K$1="","",IFERROR(INDEX(Lines!$A:$AA,ROW()-2,$K$1),""))</f>
        <v/>
      </c>
      <c r="M628">
        <f>IF($K$2="","",IFERROR(INDEX(Lines!$A:$AA,ROW()-2,$K$2),""))</f>
        <v/>
      </c>
      <c r="N628">
        <f>IF(AND(L628&lt;&gt;"",LEFT(L628,1)="N",M628&lt;&gt;"PICKING",M628&lt;&gt;""),1,0)</f>
        <v/>
      </c>
      <c r="O628">
        <f>IF(N628=1,M628&amp;"|"&amp;L628,REPT("z",40))</f>
        <v/>
      </c>
      <c r="P628">
        <f>IF(N628=1,COUNTIF($O$4:$O$2003,"&lt;"&amp;O628)+1,"")</f>
        <v/>
      </c>
      <c r="Q628">
        <f>IF(OR($R627="",$R627="T"),"",IF($R627="B",$Q627,IF($Q627+1&gt;$K$3,"",$Q627+1)))</f>
        <v/>
      </c>
      <c r="R628">
        <f>IF(OR($R627="",$R627="T"),"",IF($R627="B","S",IF($Q627+1&gt;$K$3,"T",IF(INDEX($M$4:$M$2003,MATCH($Q627+1,$P$4:$P$2003,0))&lt;&gt;INDEX($M$4:$M$2003,MATCH($Q627,$P$4:$P$2003,0)),"B","S"))))</f>
        <v/>
      </c>
      <c r="S628">
        <f>IF(Q628="","",IFERROR(MATCH(Q628,$P$4:$P$2003,0),""))</f>
        <v/>
      </c>
    </row>
    <row r="629">
      <c r="A629" s="4">
        <f>IF($R629="","",IF($R629="T","Gesamtergebnis",IF($R629="B",INDEX($M$4:$M$2003,$S629),INDEX($L$4:$L$2003,$S629))))</f>
        <v/>
      </c>
      <c r="B629" s="4">
        <f>IF($R629="","",IF($R629="T",$K$3,IF($R629="B",COUNTIFS($M$4:$M$2003,INDEX($M$4:$M$2003,$S629),$N$4:$N$2003,1),1)))</f>
        <v/>
      </c>
      <c r="L629">
        <f>IF($K$1="","",IFERROR(INDEX(Lines!$A:$AA,ROW()-2,$K$1),""))</f>
        <v/>
      </c>
      <c r="M629">
        <f>IF($K$2="","",IFERROR(INDEX(Lines!$A:$AA,ROW()-2,$K$2),""))</f>
        <v/>
      </c>
      <c r="N629">
        <f>IF(AND(L629&lt;&gt;"",LEFT(L629,1)="N",M629&lt;&gt;"PICKING",M629&lt;&gt;""),1,0)</f>
        <v/>
      </c>
      <c r="O629">
        <f>IF(N629=1,M629&amp;"|"&amp;L629,REPT("z",40))</f>
        <v/>
      </c>
      <c r="P629">
        <f>IF(N629=1,COUNTIF($O$4:$O$2003,"&lt;"&amp;O629)+1,"")</f>
        <v/>
      </c>
      <c r="Q629">
        <f>IF(OR($R628="",$R628="T"),"",IF($R628="B",$Q628,IF($Q628+1&gt;$K$3,"",$Q628+1)))</f>
        <v/>
      </c>
      <c r="R629">
        <f>IF(OR($R628="",$R628="T"),"",IF($R628="B","S",IF($Q628+1&gt;$K$3,"T",IF(INDEX($M$4:$M$2003,MATCH($Q628+1,$P$4:$P$2003,0))&lt;&gt;INDEX($M$4:$M$2003,MATCH($Q628,$P$4:$P$2003,0)),"B","S"))))</f>
        <v/>
      </c>
      <c r="S629">
        <f>IF(Q629="","",IFERROR(MATCH(Q629,$P$4:$P$2003,0),""))</f>
        <v/>
      </c>
    </row>
    <row r="630">
      <c r="A630" s="4">
        <f>IF($R630="","",IF($R630="T","Gesamtergebnis",IF($R630="B",INDEX($M$4:$M$2003,$S630),INDEX($L$4:$L$2003,$S630))))</f>
        <v/>
      </c>
      <c r="B630" s="4">
        <f>IF($R630="","",IF($R630="T",$K$3,IF($R630="B",COUNTIFS($M$4:$M$2003,INDEX($M$4:$M$2003,$S630),$N$4:$N$2003,1),1)))</f>
        <v/>
      </c>
      <c r="L630">
        <f>IF($K$1="","",IFERROR(INDEX(Lines!$A:$AA,ROW()-2,$K$1),""))</f>
        <v/>
      </c>
      <c r="M630">
        <f>IF($K$2="","",IFERROR(INDEX(Lines!$A:$AA,ROW()-2,$K$2),""))</f>
        <v/>
      </c>
      <c r="N630">
        <f>IF(AND(L630&lt;&gt;"",LEFT(L630,1)="N",M630&lt;&gt;"PICKING",M630&lt;&gt;""),1,0)</f>
        <v/>
      </c>
      <c r="O630">
        <f>IF(N630=1,M630&amp;"|"&amp;L630,REPT("z",40))</f>
        <v/>
      </c>
      <c r="P630">
        <f>IF(N630=1,COUNTIF($O$4:$O$2003,"&lt;"&amp;O630)+1,"")</f>
        <v/>
      </c>
      <c r="Q630">
        <f>IF(OR($R629="",$R629="T"),"",IF($R629="B",$Q629,IF($Q629+1&gt;$K$3,"",$Q629+1)))</f>
        <v/>
      </c>
      <c r="R630">
        <f>IF(OR($R629="",$R629="T"),"",IF($R629="B","S",IF($Q629+1&gt;$K$3,"T",IF(INDEX($M$4:$M$2003,MATCH($Q629+1,$P$4:$P$2003,0))&lt;&gt;INDEX($M$4:$M$2003,MATCH($Q629,$P$4:$P$2003,0)),"B","S"))))</f>
        <v/>
      </c>
      <c r="S630">
        <f>IF(Q630="","",IFERROR(MATCH(Q630,$P$4:$P$2003,0),""))</f>
        <v/>
      </c>
    </row>
    <row r="631">
      <c r="A631" s="4">
        <f>IF($R631="","",IF($R631="T","Gesamtergebnis",IF($R631="B",INDEX($M$4:$M$2003,$S631),INDEX($L$4:$L$2003,$S631))))</f>
        <v/>
      </c>
      <c r="B631" s="4">
        <f>IF($R631="","",IF($R631="T",$K$3,IF($R631="B",COUNTIFS($M$4:$M$2003,INDEX($M$4:$M$2003,$S631),$N$4:$N$2003,1),1)))</f>
        <v/>
      </c>
      <c r="L631">
        <f>IF($K$1="","",IFERROR(INDEX(Lines!$A:$AA,ROW()-2,$K$1),""))</f>
        <v/>
      </c>
      <c r="M631">
        <f>IF($K$2="","",IFERROR(INDEX(Lines!$A:$AA,ROW()-2,$K$2),""))</f>
        <v/>
      </c>
      <c r="N631">
        <f>IF(AND(L631&lt;&gt;"",LEFT(L631,1)="N",M631&lt;&gt;"PICKING",M631&lt;&gt;""),1,0)</f>
        <v/>
      </c>
      <c r="O631">
        <f>IF(N631=1,M631&amp;"|"&amp;L631,REPT("z",40))</f>
        <v/>
      </c>
      <c r="P631">
        <f>IF(N631=1,COUNTIF($O$4:$O$2003,"&lt;"&amp;O631)+1,"")</f>
        <v/>
      </c>
      <c r="Q631">
        <f>IF(OR($R630="",$R630="T"),"",IF($R630="B",$Q630,IF($Q630+1&gt;$K$3,"",$Q630+1)))</f>
        <v/>
      </c>
      <c r="R631">
        <f>IF(OR($R630="",$R630="T"),"",IF($R630="B","S",IF($Q630+1&gt;$K$3,"T",IF(INDEX($M$4:$M$2003,MATCH($Q630+1,$P$4:$P$2003,0))&lt;&gt;INDEX($M$4:$M$2003,MATCH($Q630,$P$4:$P$2003,0)),"B","S"))))</f>
        <v/>
      </c>
      <c r="S631">
        <f>IF(Q631="","",IFERROR(MATCH(Q631,$P$4:$P$2003,0),""))</f>
        <v/>
      </c>
    </row>
    <row r="632">
      <c r="A632" s="4">
        <f>IF($R632="","",IF($R632="T","Gesamtergebnis",IF($R632="B",INDEX($M$4:$M$2003,$S632),INDEX($L$4:$L$2003,$S632))))</f>
        <v/>
      </c>
      <c r="B632" s="4">
        <f>IF($R632="","",IF($R632="T",$K$3,IF($R632="B",COUNTIFS($M$4:$M$2003,INDEX($M$4:$M$2003,$S632),$N$4:$N$2003,1),1)))</f>
        <v/>
      </c>
      <c r="L632">
        <f>IF($K$1="","",IFERROR(INDEX(Lines!$A:$AA,ROW()-2,$K$1),""))</f>
        <v/>
      </c>
      <c r="M632">
        <f>IF($K$2="","",IFERROR(INDEX(Lines!$A:$AA,ROW()-2,$K$2),""))</f>
        <v/>
      </c>
      <c r="N632">
        <f>IF(AND(L632&lt;&gt;"",LEFT(L632,1)="N",M632&lt;&gt;"PICKING",M632&lt;&gt;""),1,0)</f>
        <v/>
      </c>
      <c r="O632">
        <f>IF(N632=1,M632&amp;"|"&amp;L632,REPT("z",40))</f>
        <v/>
      </c>
      <c r="P632">
        <f>IF(N632=1,COUNTIF($O$4:$O$2003,"&lt;"&amp;O632)+1,"")</f>
        <v/>
      </c>
      <c r="Q632">
        <f>IF(OR($R631="",$R631="T"),"",IF($R631="B",$Q631,IF($Q631+1&gt;$K$3,"",$Q631+1)))</f>
        <v/>
      </c>
      <c r="R632">
        <f>IF(OR($R631="",$R631="T"),"",IF($R631="B","S",IF($Q631+1&gt;$K$3,"T",IF(INDEX($M$4:$M$2003,MATCH($Q631+1,$P$4:$P$2003,0))&lt;&gt;INDEX($M$4:$M$2003,MATCH($Q631,$P$4:$P$2003,0)),"B","S"))))</f>
        <v/>
      </c>
      <c r="S632">
        <f>IF(Q632="","",IFERROR(MATCH(Q632,$P$4:$P$2003,0),""))</f>
        <v/>
      </c>
    </row>
    <row r="633">
      <c r="A633" s="4">
        <f>IF($R633="","",IF($R633="T","Gesamtergebnis",IF($R633="B",INDEX($M$4:$M$2003,$S633),INDEX($L$4:$L$2003,$S633))))</f>
        <v/>
      </c>
      <c r="B633" s="4">
        <f>IF($R633="","",IF($R633="T",$K$3,IF($R633="B",COUNTIFS($M$4:$M$2003,INDEX($M$4:$M$2003,$S633),$N$4:$N$2003,1),1)))</f>
        <v/>
      </c>
      <c r="L633">
        <f>IF($K$1="","",IFERROR(INDEX(Lines!$A:$AA,ROW()-2,$K$1),""))</f>
        <v/>
      </c>
      <c r="M633">
        <f>IF($K$2="","",IFERROR(INDEX(Lines!$A:$AA,ROW()-2,$K$2),""))</f>
        <v/>
      </c>
      <c r="N633">
        <f>IF(AND(L633&lt;&gt;"",LEFT(L633,1)="N",M633&lt;&gt;"PICKING",M633&lt;&gt;""),1,0)</f>
        <v/>
      </c>
      <c r="O633">
        <f>IF(N633=1,M633&amp;"|"&amp;L633,REPT("z",40))</f>
        <v/>
      </c>
      <c r="P633">
        <f>IF(N633=1,COUNTIF($O$4:$O$2003,"&lt;"&amp;O633)+1,"")</f>
        <v/>
      </c>
      <c r="Q633">
        <f>IF(OR($R632="",$R632="T"),"",IF($R632="B",$Q632,IF($Q632+1&gt;$K$3,"",$Q632+1)))</f>
        <v/>
      </c>
      <c r="R633">
        <f>IF(OR($R632="",$R632="T"),"",IF($R632="B","S",IF($Q632+1&gt;$K$3,"T",IF(INDEX($M$4:$M$2003,MATCH($Q632+1,$P$4:$P$2003,0))&lt;&gt;INDEX($M$4:$M$2003,MATCH($Q632,$P$4:$P$2003,0)),"B","S"))))</f>
        <v/>
      </c>
      <c r="S633">
        <f>IF(Q633="","",IFERROR(MATCH(Q633,$P$4:$P$2003,0),""))</f>
        <v/>
      </c>
    </row>
    <row r="634">
      <c r="A634" s="4">
        <f>IF($R634="","",IF($R634="T","Gesamtergebnis",IF($R634="B",INDEX($M$4:$M$2003,$S634),INDEX($L$4:$L$2003,$S634))))</f>
        <v/>
      </c>
      <c r="B634" s="4">
        <f>IF($R634="","",IF($R634="T",$K$3,IF($R634="B",COUNTIFS($M$4:$M$2003,INDEX($M$4:$M$2003,$S634),$N$4:$N$2003,1),1)))</f>
        <v/>
      </c>
      <c r="L634">
        <f>IF($K$1="","",IFERROR(INDEX(Lines!$A:$AA,ROW()-2,$K$1),""))</f>
        <v/>
      </c>
      <c r="M634">
        <f>IF($K$2="","",IFERROR(INDEX(Lines!$A:$AA,ROW()-2,$K$2),""))</f>
        <v/>
      </c>
      <c r="N634">
        <f>IF(AND(L634&lt;&gt;"",LEFT(L634,1)="N",M634&lt;&gt;"PICKING",M634&lt;&gt;""),1,0)</f>
        <v/>
      </c>
      <c r="O634">
        <f>IF(N634=1,M634&amp;"|"&amp;L634,REPT("z",40))</f>
        <v/>
      </c>
      <c r="P634">
        <f>IF(N634=1,COUNTIF($O$4:$O$2003,"&lt;"&amp;O634)+1,"")</f>
        <v/>
      </c>
      <c r="Q634">
        <f>IF(OR($R633="",$R633="T"),"",IF($R633="B",$Q633,IF($Q633+1&gt;$K$3,"",$Q633+1)))</f>
        <v/>
      </c>
      <c r="R634">
        <f>IF(OR($R633="",$R633="T"),"",IF($R633="B","S",IF($Q633+1&gt;$K$3,"T",IF(INDEX($M$4:$M$2003,MATCH($Q633+1,$P$4:$P$2003,0))&lt;&gt;INDEX($M$4:$M$2003,MATCH($Q633,$P$4:$P$2003,0)),"B","S"))))</f>
        <v/>
      </c>
      <c r="S634">
        <f>IF(Q634="","",IFERROR(MATCH(Q634,$P$4:$P$2003,0),""))</f>
        <v/>
      </c>
    </row>
    <row r="635">
      <c r="A635" s="4">
        <f>IF($R635="","",IF($R635="T","Gesamtergebnis",IF($R635="B",INDEX($M$4:$M$2003,$S635),INDEX($L$4:$L$2003,$S635))))</f>
        <v/>
      </c>
      <c r="B635" s="4">
        <f>IF($R635="","",IF($R635="T",$K$3,IF($R635="B",COUNTIFS($M$4:$M$2003,INDEX($M$4:$M$2003,$S635),$N$4:$N$2003,1),1)))</f>
        <v/>
      </c>
      <c r="L635">
        <f>IF($K$1="","",IFERROR(INDEX(Lines!$A:$AA,ROW()-2,$K$1),""))</f>
        <v/>
      </c>
      <c r="M635">
        <f>IF($K$2="","",IFERROR(INDEX(Lines!$A:$AA,ROW()-2,$K$2),""))</f>
        <v/>
      </c>
      <c r="N635">
        <f>IF(AND(L635&lt;&gt;"",LEFT(L635,1)="N",M635&lt;&gt;"PICKING",M635&lt;&gt;""),1,0)</f>
        <v/>
      </c>
      <c r="O635">
        <f>IF(N635=1,M635&amp;"|"&amp;L635,REPT("z",40))</f>
        <v/>
      </c>
      <c r="P635">
        <f>IF(N635=1,COUNTIF($O$4:$O$2003,"&lt;"&amp;O635)+1,"")</f>
        <v/>
      </c>
      <c r="Q635">
        <f>IF(OR($R634="",$R634="T"),"",IF($R634="B",$Q634,IF($Q634+1&gt;$K$3,"",$Q634+1)))</f>
        <v/>
      </c>
      <c r="R635">
        <f>IF(OR($R634="",$R634="T"),"",IF($R634="B","S",IF($Q634+1&gt;$K$3,"T",IF(INDEX($M$4:$M$2003,MATCH($Q634+1,$P$4:$P$2003,0))&lt;&gt;INDEX($M$4:$M$2003,MATCH($Q634,$P$4:$P$2003,0)),"B","S"))))</f>
        <v/>
      </c>
      <c r="S635">
        <f>IF(Q635="","",IFERROR(MATCH(Q635,$P$4:$P$2003,0),""))</f>
        <v/>
      </c>
    </row>
    <row r="636">
      <c r="A636" s="4">
        <f>IF($R636="","",IF($R636="T","Gesamtergebnis",IF($R636="B",INDEX($M$4:$M$2003,$S636),INDEX($L$4:$L$2003,$S636))))</f>
        <v/>
      </c>
      <c r="B636" s="4">
        <f>IF($R636="","",IF($R636="T",$K$3,IF($R636="B",COUNTIFS($M$4:$M$2003,INDEX($M$4:$M$2003,$S636),$N$4:$N$2003,1),1)))</f>
        <v/>
      </c>
      <c r="L636">
        <f>IF($K$1="","",IFERROR(INDEX(Lines!$A:$AA,ROW()-2,$K$1),""))</f>
        <v/>
      </c>
      <c r="M636">
        <f>IF($K$2="","",IFERROR(INDEX(Lines!$A:$AA,ROW()-2,$K$2),""))</f>
        <v/>
      </c>
      <c r="N636">
        <f>IF(AND(L636&lt;&gt;"",LEFT(L636,1)="N",M636&lt;&gt;"PICKING",M636&lt;&gt;""),1,0)</f>
        <v/>
      </c>
      <c r="O636">
        <f>IF(N636=1,M636&amp;"|"&amp;L636,REPT("z",40))</f>
        <v/>
      </c>
      <c r="P636">
        <f>IF(N636=1,COUNTIF($O$4:$O$2003,"&lt;"&amp;O636)+1,"")</f>
        <v/>
      </c>
      <c r="Q636">
        <f>IF(OR($R635="",$R635="T"),"",IF($R635="B",$Q635,IF($Q635+1&gt;$K$3,"",$Q635+1)))</f>
        <v/>
      </c>
      <c r="R636">
        <f>IF(OR($R635="",$R635="T"),"",IF($R635="B","S",IF($Q635+1&gt;$K$3,"T",IF(INDEX($M$4:$M$2003,MATCH($Q635+1,$P$4:$P$2003,0))&lt;&gt;INDEX($M$4:$M$2003,MATCH($Q635,$P$4:$P$2003,0)),"B","S"))))</f>
        <v/>
      </c>
      <c r="S636">
        <f>IF(Q636="","",IFERROR(MATCH(Q636,$P$4:$P$2003,0),""))</f>
        <v/>
      </c>
    </row>
    <row r="637">
      <c r="A637" s="4">
        <f>IF($R637="","",IF($R637="T","Gesamtergebnis",IF($R637="B",INDEX($M$4:$M$2003,$S637),INDEX($L$4:$L$2003,$S637))))</f>
        <v/>
      </c>
      <c r="B637" s="4">
        <f>IF($R637="","",IF($R637="T",$K$3,IF($R637="B",COUNTIFS($M$4:$M$2003,INDEX($M$4:$M$2003,$S637),$N$4:$N$2003,1),1)))</f>
        <v/>
      </c>
      <c r="L637">
        <f>IF($K$1="","",IFERROR(INDEX(Lines!$A:$AA,ROW()-2,$K$1),""))</f>
        <v/>
      </c>
      <c r="M637">
        <f>IF($K$2="","",IFERROR(INDEX(Lines!$A:$AA,ROW()-2,$K$2),""))</f>
        <v/>
      </c>
      <c r="N637">
        <f>IF(AND(L637&lt;&gt;"",LEFT(L637,1)="N",M637&lt;&gt;"PICKING",M637&lt;&gt;""),1,0)</f>
        <v/>
      </c>
      <c r="O637">
        <f>IF(N637=1,M637&amp;"|"&amp;L637,REPT("z",40))</f>
        <v/>
      </c>
      <c r="P637">
        <f>IF(N637=1,COUNTIF($O$4:$O$2003,"&lt;"&amp;O637)+1,"")</f>
        <v/>
      </c>
      <c r="Q637">
        <f>IF(OR($R636="",$R636="T"),"",IF($R636="B",$Q636,IF($Q636+1&gt;$K$3,"",$Q636+1)))</f>
        <v/>
      </c>
      <c r="R637">
        <f>IF(OR($R636="",$R636="T"),"",IF($R636="B","S",IF($Q636+1&gt;$K$3,"T",IF(INDEX($M$4:$M$2003,MATCH($Q636+1,$P$4:$P$2003,0))&lt;&gt;INDEX($M$4:$M$2003,MATCH($Q636,$P$4:$P$2003,0)),"B","S"))))</f>
        <v/>
      </c>
      <c r="S637">
        <f>IF(Q637="","",IFERROR(MATCH(Q637,$P$4:$P$2003,0),""))</f>
        <v/>
      </c>
    </row>
    <row r="638">
      <c r="A638" s="4">
        <f>IF($R638="","",IF($R638="T","Gesamtergebnis",IF($R638="B",INDEX($M$4:$M$2003,$S638),INDEX($L$4:$L$2003,$S638))))</f>
        <v/>
      </c>
      <c r="B638" s="4">
        <f>IF($R638="","",IF($R638="T",$K$3,IF($R638="B",COUNTIFS($M$4:$M$2003,INDEX($M$4:$M$2003,$S638),$N$4:$N$2003,1),1)))</f>
        <v/>
      </c>
      <c r="L638">
        <f>IF($K$1="","",IFERROR(INDEX(Lines!$A:$AA,ROW()-2,$K$1),""))</f>
        <v/>
      </c>
      <c r="M638">
        <f>IF($K$2="","",IFERROR(INDEX(Lines!$A:$AA,ROW()-2,$K$2),""))</f>
        <v/>
      </c>
      <c r="N638">
        <f>IF(AND(L638&lt;&gt;"",LEFT(L638,1)="N",M638&lt;&gt;"PICKING",M638&lt;&gt;""),1,0)</f>
        <v/>
      </c>
      <c r="O638">
        <f>IF(N638=1,M638&amp;"|"&amp;L638,REPT("z",40))</f>
        <v/>
      </c>
      <c r="P638">
        <f>IF(N638=1,COUNTIF($O$4:$O$2003,"&lt;"&amp;O638)+1,"")</f>
        <v/>
      </c>
      <c r="Q638">
        <f>IF(OR($R637="",$R637="T"),"",IF($R637="B",$Q637,IF($Q637+1&gt;$K$3,"",$Q637+1)))</f>
        <v/>
      </c>
      <c r="R638">
        <f>IF(OR($R637="",$R637="T"),"",IF($R637="B","S",IF($Q637+1&gt;$K$3,"T",IF(INDEX($M$4:$M$2003,MATCH($Q637+1,$P$4:$P$2003,0))&lt;&gt;INDEX($M$4:$M$2003,MATCH($Q637,$P$4:$P$2003,0)),"B","S"))))</f>
        <v/>
      </c>
      <c r="S638">
        <f>IF(Q638="","",IFERROR(MATCH(Q638,$P$4:$P$2003,0),""))</f>
        <v/>
      </c>
    </row>
    <row r="639">
      <c r="A639" s="4">
        <f>IF($R639="","",IF($R639="T","Gesamtergebnis",IF($R639="B",INDEX($M$4:$M$2003,$S639),INDEX($L$4:$L$2003,$S639))))</f>
        <v/>
      </c>
      <c r="B639" s="4">
        <f>IF($R639="","",IF($R639="T",$K$3,IF($R639="B",COUNTIFS($M$4:$M$2003,INDEX($M$4:$M$2003,$S639),$N$4:$N$2003,1),1)))</f>
        <v/>
      </c>
      <c r="L639">
        <f>IF($K$1="","",IFERROR(INDEX(Lines!$A:$AA,ROW()-2,$K$1),""))</f>
        <v/>
      </c>
      <c r="M639">
        <f>IF($K$2="","",IFERROR(INDEX(Lines!$A:$AA,ROW()-2,$K$2),""))</f>
        <v/>
      </c>
      <c r="N639">
        <f>IF(AND(L639&lt;&gt;"",LEFT(L639,1)="N",M639&lt;&gt;"PICKING",M639&lt;&gt;""),1,0)</f>
        <v/>
      </c>
      <c r="O639">
        <f>IF(N639=1,M639&amp;"|"&amp;L639,REPT("z",40))</f>
        <v/>
      </c>
      <c r="P639">
        <f>IF(N639=1,COUNTIF($O$4:$O$2003,"&lt;"&amp;O639)+1,"")</f>
        <v/>
      </c>
      <c r="Q639">
        <f>IF(OR($R638="",$R638="T"),"",IF($R638="B",$Q638,IF($Q638+1&gt;$K$3,"",$Q638+1)))</f>
        <v/>
      </c>
      <c r="R639">
        <f>IF(OR($R638="",$R638="T"),"",IF($R638="B","S",IF($Q638+1&gt;$K$3,"T",IF(INDEX($M$4:$M$2003,MATCH($Q638+1,$P$4:$P$2003,0))&lt;&gt;INDEX($M$4:$M$2003,MATCH($Q638,$P$4:$P$2003,0)),"B","S"))))</f>
        <v/>
      </c>
      <c r="S639">
        <f>IF(Q639="","",IFERROR(MATCH(Q639,$P$4:$P$2003,0),""))</f>
        <v/>
      </c>
    </row>
    <row r="640">
      <c r="A640" s="4">
        <f>IF($R640="","",IF($R640="T","Gesamtergebnis",IF($R640="B",INDEX($M$4:$M$2003,$S640),INDEX($L$4:$L$2003,$S640))))</f>
        <v/>
      </c>
      <c r="B640" s="4">
        <f>IF($R640="","",IF($R640="T",$K$3,IF($R640="B",COUNTIFS($M$4:$M$2003,INDEX($M$4:$M$2003,$S640),$N$4:$N$2003,1),1)))</f>
        <v/>
      </c>
      <c r="L640">
        <f>IF($K$1="","",IFERROR(INDEX(Lines!$A:$AA,ROW()-2,$K$1),""))</f>
        <v/>
      </c>
      <c r="M640">
        <f>IF($K$2="","",IFERROR(INDEX(Lines!$A:$AA,ROW()-2,$K$2),""))</f>
        <v/>
      </c>
      <c r="N640">
        <f>IF(AND(L640&lt;&gt;"",LEFT(L640,1)="N",M640&lt;&gt;"PICKING",M640&lt;&gt;""),1,0)</f>
        <v/>
      </c>
      <c r="O640">
        <f>IF(N640=1,M640&amp;"|"&amp;L640,REPT("z",40))</f>
        <v/>
      </c>
      <c r="P640">
        <f>IF(N640=1,COUNTIF($O$4:$O$2003,"&lt;"&amp;O640)+1,"")</f>
        <v/>
      </c>
      <c r="Q640">
        <f>IF(OR($R639="",$R639="T"),"",IF($R639="B",$Q639,IF($Q639+1&gt;$K$3,"",$Q639+1)))</f>
        <v/>
      </c>
      <c r="R640">
        <f>IF(OR($R639="",$R639="T"),"",IF($R639="B","S",IF($Q639+1&gt;$K$3,"T",IF(INDEX($M$4:$M$2003,MATCH($Q639+1,$P$4:$P$2003,0))&lt;&gt;INDEX($M$4:$M$2003,MATCH($Q639,$P$4:$P$2003,0)),"B","S"))))</f>
        <v/>
      </c>
      <c r="S640">
        <f>IF(Q640="","",IFERROR(MATCH(Q640,$P$4:$P$2003,0),""))</f>
        <v/>
      </c>
    </row>
    <row r="641">
      <c r="A641" s="4">
        <f>IF($R641="","",IF($R641="T","Gesamtergebnis",IF($R641="B",INDEX($M$4:$M$2003,$S641),INDEX($L$4:$L$2003,$S641))))</f>
        <v/>
      </c>
      <c r="B641" s="4">
        <f>IF($R641="","",IF($R641="T",$K$3,IF($R641="B",COUNTIFS($M$4:$M$2003,INDEX($M$4:$M$2003,$S641),$N$4:$N$2003,1),1)))</f>
        <v/>
      </c>
      <c r="L641">
        <f>IF($K$1="","",IFERROR(INDEX(Lines!$A:$AA,ROW()-2,$K$1),""))</f>
        <v/>
      </c>
      <c r="M641">
        <f>IF($K$2="","",IFERROR(INDEX(Lines!$A:$AA,ROW()-2,$K$2),""))</f>
        <v/>
      </c>
      <c r="N641">
        <f>IF(AND(L641&lt;&gt;"",LEFT(L641,1)="N",M641&lt;&gt;"PICKING",M641&lt;&gt;""),1,0)</f>
        <v/>
      </c>
      <c r="O641">
        <f>IF(N641=1,M641&amp;"|"&amp;L641,REPT("z",40))</f>
        <v/>
      </c>
      <c r="P641">
        <f>IF(N641=1,COUNTIF($O$4:$O$2003,"&lt;"&amp;O641)+1,"")</f>
        <v/>
      </c>
      <c r="Q641">
        <f>IF(OR($R640="",$R640="T"),"",IF($R640="B",$Q640,IF($Q640+1&gt;$K$3,"",$Q640+1)))</f>
        <v/>
      </c>
      <c r="R641">
        <f>IF(OR($R640="",$R640="T"),"",IF($R640="B","S",IF($Q640+1&gt;$K$3,"T",IF(INDEX($M$4:$M$2003,MATCH($Q640+1,$P$4:$P$2003,0))&lt;&gt;INDEX($M$4:$M$2003,MATCH($Q640,$P$4:$P$2003,0)),"B","S"))))</f>
        <v/>
      </c>
      <c r="S641">
        <f>IF(Q641="","",IFERROR(MATCH(Q641,$P$4:$P$2003,0),""))</f>
        <v/>
      </c>
    </row>
    <row r="642">
      <c r="A642" s="4">
        <f>IF($R642="","",IF($R642="T","Gesamtergebnis",IF($R642="B",INDEX($M$4:$M$2003,$S642),INDEX($L$4:$L$2003,$S642))))</f>
        <v/>
      </c>
      <c r="B642" s="4">
        <f>IF($R642="","",IF($R642="T",$K$3,IF($R642="B",COUNTIFS($M$4:$M$2003,INDEX($M$4:$M$2003,$S642),$N$4:$N$2003,1),1)))</f>
        <v/>
      </c>
      <c r="L642">
        <f>IF($K$1="","",IFERROR(INDEX(Lines!$A:$AA,ROW()-2,$K$1),""))</f>
        <v/>
      </c>
      <c r="M642">
        <f>IF($K$2="","",IFERROR(INDEX(Lines!$A:$AA,ROW()-2,$K$2),""))</f>
        <v/>
      </c>
      <c r="N642">
        <f>IF(AND(L642&lt;&gt;"",LEFT(L642,1)="N",M642&lt;&gt;"PICKING",M642&lt;&gt;""),1,0)</f>
        <v/>
      </c>
      <c r="O642">
        <f>IF(N642=1,M642&amp;"|"&amp;L642,REPT("z",40))</f>
        <v/>
      </c>
      <c r="P642">
        <f>IF(N642=1,COUNTIF($O$4:$O$2003,"&lt;"&amp;O642)+1,"")</f>
        <v/>
      </c>
      <c r="Q642">
        <f>IF(OR($R641="",$R641="T"),"",IF($R641="B",$Q641,IF($Q641+1&gt;$K$3,"",$Q641+1)))</f>
        <v/>
      </c>
      <c r="R642">
        <f>IF(OR($R641="",$R641="T"),"",IF($R641="B","S",IF($Q641+1&gt;$K$3,"T",IF(INDEX($M$4:$M$2003,MATCH($Q641+1,$P$4:$P$2003,0))&lt;&gt;INDEX($M$4:$M$2003,MATCH($Q641,$P$4:$P$2003,0)),"B","S"))))</f>
        <v/>
      </c>
      <c r="S642">
        <f>IF(Q642="","",IFERROR(MATCH(Q642,$P$4:$P$2003,0),""))</f>
        <v/>
      </c>
    </row>
    <row r="643">
      <c r="A643" s="4">
        <f>IF($R643="","",IF($R643="T","Gesamtergebnis",IF($R643="B",INDEX($M$4:$M$2003,$S643),INDEX($L$4:$L$2003,$S643))))</f>
        <v/>
      </c>
      <c r="B643" s="4">
        <f>IF($R643="","",IF($R643="T",$K$3,IF($R643="B",COUNTIFS($M$4:$M$2003,INDEX($M$4:$M$2003,$S643),$N$4:$N$2003,1),1)))</f>
        <v/>
      </c>
      <c r="L643">
        <f>IF($K$1="","",IFERROR(INDEX(Lines!$A:$AA,ROW()-2,$K$1),""))</f>
        <v/>
      </c>
      <c r="M643">
        <f>IF($K$2="","",IFERROR(INDEX(Lines!$A:$AA,ROW()-2,$K$2),""))</f>
        <v/>
      </c>
      <c r="N643">
        <f>IF(AND(L643&lt;&gt;"",LEFT(L643,1)="N",M643&lt;&gt;"PICKING",M643&lt;&gt;""),1,0)</f>
        <v/>
      </c>
      <c r="O643">
        <f>IF(N643=1,M643&amp;"|"&amp;L643,REPT("z",40))</f>
        <v/>
      </c>
      <c r="P643">
        <f>IF(N643=1,COUNTIF($O$4:$O$2003,"&lt;"&amp;O643)+1,"")</f>
        <v/>
      </c>
      <c r="Q643">
        <f>IF(OR($R642="",$R642="T"),"",IF($R642="B",$Q642,IF($Q642+1&gt;$K$3,"",$Q642+1)))</f>
        <v/>
      </c>
      <c r="R643">
        <f>IF(OR($R642="",$R642="T"),"",IF($R642="B","S",IF($Q642+1&gt;$K$3,"T",IF(INDEX($M$4:$M$2003,MATCH($Q642+1,$P$4:$P$2003,0))&lt;&gt;INDEX($M$4:$M$2003,MATCH($Q642,$P$4:$P$2003,0)),"B","S"))))</f>
        <v/>
      </c>
      <c r="S643">
        <f>IF(Q643="","",IFERROR(MATCH(Q643,$P$4:$P$2003,0),""))</f>
        <v/>
      </c>
    </row>
    <row r="644">
      <c r="A644" s="4">
        <f>IF($R644="","",IF($R644="T","Gesamtergebnis",IF($R644="B",INDEX($M$4:$M$2003,$S644),INDEX($L$4:$L$2003,$S644))))</f>
        <v/>
      </c>
      <c r="B644" s="4">
        <f>IF($R644="","",IF($R644="T",$K$3,IF($R644="B",COUNTIFS($M$4:$M$2003,INDEX($M$4:$M$2003,$S644),$N$4:$N$2003,1),1)))</f>
        <v/>
      </c>
      <c r="L644">
        <f>IF($K$1="","",IFERROR(INDEX(Lines!$A:$AA,ROW()-2,$K$1),""))</f>
        <v/>
      </c>
      <c r="M644">
        <f>IF($K$2="","",IFERROR(INDEX(Lines!$A:$AA,ROW()-2,$K$2),""))</f>
        <v/>
      </c>
      <c r="N644">
        <f>IF(AND(L644&lt;&gt;"",LEFT(L644,1)="N",M644&lt;&gt;"PICKING",M644&lt;&gt;""),1,0)</f>
        <v/>
      </c>
      <c r="O644">
        <f>IF(N644=1,M644&amp;"|"&amp;L644,REPT("z",40))</f>
        <v/>
      </c>
      <c r="P644">
        <f>IF(N644=1,COUNTIF($O$4:$O$2003,"&lt;"&amp;O644)+1,"")</f>
        <v/>
      </c>
      <c r="Q644">
        <f>IF(OR($R643="",$R643="T"),"",IF($R643="B",$Q643,IF($Q643+1&gt;$K$3,"",$Q643+1)))</f>
        <v/>
      </c>
      <c r="R644">
        <f>IF(OR($R643="",$R643="T"),"",IF($R643="B","S",IF($Q643+1&gt;$K$3,"T",IF(INDEX($M$4:$M$2003,MATCH($Q643+1,$P$4:$P$2003,0))&lt;&gt;INDEX($M$4:$M$2003,MATCH($Q643,$P$4:$P$2003,0)),"B","S"))))</f>
        <v/>
      </c>
      <c r="S644">
        <f>IF(Q644="","",IFERROR(MATCH(Q644,$P$4:$P$2003,0),""))</f>
        <v/>
      </c>
    </row>
    <row r="645">
      <c r="A645" s="4">
        <f>IF($R645="","",IF($R645="T","Gesamtergebnis",IF($R645="B",INDEX($M$4:$M$2003,$S645),INDEX($L$4:$L$2003,$S645))))</f>
        <v/>
      </c>
      <c r="B645" s="4">
        <f>IF($R645="","",IF($R645="T",$K$3,IF($R645="B",COUNTIFS($M$4:$M$2003,INDEX($M$4:$M$2003,$S645),$N$4:$N$2003,1),1)))</f>
        <v/>
      </c>
      <c r="L645">
        <f>IF($K$1="","",IFERROR(INDEX(Lines!$A:$AA,ROW()-2,$K$1),""))</f>
        <v/>
      </c>
      <c r="M645">
        <f>IF($K$2="","",IFERROR(INDEX(Lines!$A:$AA,ROW()-2,$K$2),""))</f>
        <v/>
      </c>
      <c r="N645">
        <f>IF(AND(L645&lt;&gt;"",LEFT(L645,1)="N",M645&lt;&gt;"PICKING",M645&lt;&gt;""),1,0)</f>
        <v/>
      </c>
      <c r="O645">
        <f>IF(N645=1,M645&amp;"|"&amp;L645,REPT("z",40))</f>
        <v/>
      </c>
      <c r="P645">
        <f>IF(N645=1,COUNTIF($O$4:$O$2003,"&lt;"&amp;O645)+1,"")</f>
        <v/>
      </c>
      <c r="Q645">
        <f>IF(OR($R644="",$R644="T"),"",IF($R644="B",$Q644,IF($Q644+1&gt;$K$3,"",$Q644+1)))</f>
        <v/>
      </c>
      <c r="R645">
        <f>IF(OR($R644="",$R644="T"),"",IF($R644="B","S",IF($Q644+1&gt;$K$3,"T",IF(INDEX($M$4:$M$2003,MATCH($Q644+1,$P$4:$P$2003,0))&lt;&gt;INDEX($M$4:$M$2003,MATCH($Q644,$P$4:$P$2003,0)),"B","S"))))</f>
        <v/>
      </c>
      <c r="S645">
        <f>IF(Q645="","",IFERROR(MATCH(Q645,$P$4:$P$2003,0),""))</f>
        <v/>
      </c>
    </row>
    <row r="646">
      <c r="A646" s="4">
        <f>IF($R646="","",IF($R646="T","Gesamtergebnis",IF($R646="B",INDEX($M$4:$M$2003,$S646),INDEX($L$4:$L$2003,$S646))))</f>
        <v/>
      </c>
      <c r="B646" s="4">
        <f>IF($R646="","",IF($R646="T",$K$3,IF($R646="B",COUNTIFS($M$4:$M$2003,INDEX($M$4:$M$2003,$S646),$N$4:$N$2003,1),1)))</f>
        <v/>
      </c>
      <c r="L646">
        <f>IF($K$1="","",IFERROR(INDEX(Lines!$A:$AA,ROW()-2,$K$1),""))</f>
        <v/>
      </c>
      <c r="M646">
        <f>IF($K$2="","",IFERROR(INDEX(Lines!$A:$AA,ROW()-2,$K$2),""))</f>
        <v/>
      </c>
      <c r="N646">
        <f>IF(AND(L646&lt;&gt;"",LEFT(L646,1)="N",M646&lt;&gt;"PICKING",M646&lt;&gt;""),1,0)</f>
        <v/>
      </c>
      <c r="O646">
        <f>IF(N646=1,M646&amp;"|"&amp;L646,REPT("z",40))</f>
        <v/>
      </c>
      <c r="P646">
        <f>IF(N646=1,COUNTIF($O$4:$O$2003,"&lt;"&amp;O646)+1,"")</f>
        <v/>
      </c>
      <c r="Q646">
        <f>IF(OR($R645="",$R645="T"),"",IF($R645="B",$Q645,IF($Q645+1&gt;$K$3,"",$Q645+1)))</f>
        <v/>
      </c>
      <c r="R646">
        <f>IF(OR($R645="",$R645="T"),"",IF($R645="B","S",IF($Q645+1&gt;$K$3,"T",IF(INDEX($M$4:$M$2003,MATCH($Q645+1,$P$4:$P$2003,0))&lt;&gt;INDEX($M$4:$M$2003,MATCH($Q645,$P$4:$P$2003,0)),"B","S"))))</f>
        <v/>
      </c>
      <c r="S646">
        <f>IF(Q646="","",IFERROR(MATCH(Q646,$P$4:$P$2003,0),""))</f>
        <v/>
      </c>
    </row>
    <row r="647">
      <c r="A647" s="4">
        <f>IF($R647="","",IF($R647="T","Gesamtergebnis",IF($R647="B",INDEX($M$4:$M$2003,$S647),INDEX($L$4:$L$2003,$S647))))</f>
        <v/>
      </c>
      <c r="B647" s="4">
        <f>IF($R647="","",IF($R647="T",$K$3,IF($R647="B",COUNTIFS($M$4:$M$2003,INDEX($M$4:$M$2003,$S647),$N$4:$N$2003,1),1)))</f>
        <v/>
      </c>
      <c r="L647">
        <f>IF($K$1="","",IFERROR(INDEX(Lines!$A:$AA,ROW()-2,$K$1),""))</f>
        <v/>
      </c>
      <c r="M647">
        <f>IF($K$2="","",IFERROR(INDEX(Lines!$A:$AA,ROW()-2,$K$2),""))</f>
        <v/>
      </c>
      <c r="N647">
        <f>IF(AND(L647&lt;&gt;"",LEFT(L647,1)="N",M647&lt;&gt;"PICKING",M647&lt;&gt;""),1,0)</f>
        <v/>
      </c>
      <c r="O647">
        <f>IF(N647=1,M647&amp;"|"&amp;L647,REPT("z",40))</f>
        <v/>
      </c>
      <c r="P647">
        <f>IF(N647=1,COUNTIF($O$4:$O$2003,"&lt;"&amp;O647)+1,"")</f>
        <v/>
      </c>
      <c r="Q647">
        <f>IF(OR($R646="",$R646="T"),"",IF($R646="B",$Q646,IF($Q646+1&gt;$K$3,"",$Q646+1)))</f>
        <v/>
      </c>
      <c r="R647">
        <f>IF(OR($R646="",$R646="T"),"",IF($R646="B","S",IF($Q646+1&gt;$K$3,"T",IF(INDEX($M$4:$M$2003,MATCH($Q646+1,$P$4:$P$2003,0))&lt;&gt;INDEX($M$4:$M$2003,MATCH($Q646,$P$4:$P$2003,0)),"B","S"))))</f>
        <v/>
      </c>
      <c r="S647">
        <f>IF(Q647="","",IFERROR(MATCH(Q647,$P$4:$P$2003,0),""))</f>
        <v/>
      </c>
    </row>
    <row r="648">
      <c r="A648" s="4">
        <f>IF($R648="","",IF($R648="T","Gesamtergebnis",IF($R648="B",INDEX($M$4:$M$2003,$S648),INDEX($L$4:$L$2003,$S648))))</f>
        <v/>
      </c>
      <c r="B648" s="4">
        <f>IF($R648="","",IF($R648="T",$K$3,IF($R648="B",COUNTIFS($M$4:$M$2003,INDEX($M$4:$M$2003,$S648),$N$4:$N$2003,1),1)))</f>
        <v/>
      </c>
      <c r="L648">
        <f>IF($K$1="","",IFERROR(INDEX(Lines!$A:$AA,ROW()-2,$K$1),""))</f>
        <v/>
      </c>
      <c r="M648">
        <f>IF($K$2="","",IFERROR(INDEX(Lines!$A:$AA,ROW()-2,$K$2),""))</f>
        <v/>
      </c>
      <c r="N648">
        <f>IF(AND(L648&lt;&gt;"",LEFT(L648,1)="N",M648&lt;&gt;"PICKING",M648&lt;&gt;""),1,0)</f>
        <v/>
      </c>
      <c r="O648">
        <f>IF(N648=1,M648&amp;"|"&amp;L648,REPT("z",40))</f>
        <v/>
      </c>
      <c r="P648">
        <f>IF(N648=1,COUNTIF($O$4:$O$2003,"&lt;"&amp;O648)+1,"")</f>
        <v/>
      </c>
      <c r="Q648">
        <f>IF(OR($R647="",$R647="T"),"",IF($R647="B",$Q647,IF($Q647+1&gt;$K$3,"",$Q647+1)))</f>
        <v/>
      </c>
      <c r="R648">
        <f>IF(OR($R647="",$R647="T"),"",IF($R647="B","S",IF($Q647+1&gt;$K$3,"T",IF(INDEX($M$4:$M$2003,MATCH($Q647+1,$P$4:$P$2003,0))&lt;&gt;INDEX($M$4:$M$2003,MATCH($Q647,$P$4:$P$2003,0)),"B","S"))))</f>
        <v/>
      </c>
      <c r="S648">
        <f>IF(Q648="","",IFERROR(MATCH(Q648,$P$4:$P$2003,0),""))</f>
        <v/>
      </c>
    </row>
    <row r="649">
      <c r="A649" s="4">
        <f>IF($R649="","",IF($R649="T","Gesamtergebnis",IF($R649="B",INDEX($M$4:$M$2003,$S649),INDEX($L$4:$L$2003,$S649))))</f>
        <v/>
      </c>
      <c r="B649" s="4">
        <f>IF($R649="","",IF($R649="T",$K$3,IF($R649="B",COUNTIFS($M$4:$M$2003,INDEX($M$4:$M$2003,$S649),$N$4:$N$2003,1),1)))</f>
        <v/>
      </c>
      <c r="L649">
        <f>IF($K$1="","",IFERROR(INDEX(Lines!$A:$AA,ROW()-2,$K$1),""))</f>
        <v/>
      </c>
      <c r="M649">
        <f>IF($K$2="","",IFERROR(INDEX(Lines!$A:$AA,ROW()-2,$K$2),""))</f>
        <v/>
      </c>
      <c r="N649">
        <f>IF(AND(L649&lt;&gt;"",LEFT(L649,1)="N",M649&lt;&gt;"PICKING",M649&lt;&gt;""),1,0)</f>
        <v/>
      </c>
      <c r="O649">
        <f>IF(N649=1,M649&amp;"|"&amp;L649,REPT("z",40))</f>
        <v/>
      </c>
      <c r="P649">
        <f>IF(N649=1,COUNTIF($O$4:$O$2003,"&lt;"&amp;O649)+1,"")</f>
        <v/>
      </c>
      <c r="Q649">
        <f>IF(OR($R648="",$R648="T"),"",IF($R648="B",$Q648,IF($Q648+1&gt;$K$3,"",$Q648+1)))</f>
        <v/>
      </c>
      <c r="R649">
        <f>IF(OR($R648="",$R648="T"),"",IF($R648="B","S",IF($Q648+1&gt;$K$3,"T",IF(INDEX($M$4:$M$2003,MATCH($Q648+1,$P$4:$P$2003,0))&lt;&gt;INDEX($M$4:$M$2003,MATCH($Q648,$P$4:$P$2003,0)),"B","S"))))</f>
        <v/>
      </c>
      <c r="S649">
        <f>IF(Q649="","",IFERROR(MATCH(Q649,$P$4:$P$2003,0),""))</f>
        <v/>
      </c>
    </row>
    <row r="650">
      <c r="A650" s="4">
        <f>IF($R650="","",IF($R650="T","Gesamtergebnis",IF($R650="B",INDEX($M$4:$M$2003,$S650),INDEX($L$4:$L$2003,$S650))))</f>
        <v/>
      </c>
      <c r="B650" s="4">
        <f>IF($R650="","",IF($R650="T",$K$3,IF($R650="B",COUNTIFS($M$4:$M$2003,INDEX($M$4:$M$2003,$S650),$N$4:$N$2003,1),1)))</f>
        <v/>
      </c>
      <c r="L650">
        <f>IF($K$1="","",IFERROR(INDEX(Lines!$A:$AA,ROW()-2,$K$1),""))</f>
        <v/>
      </c>
      <c r="M650">
        <f>IF($K$2="","",IFERROR(INDEX(Lines!$A:$AA,ROW()-2,$K$2),""))</f>
        <v/>
      </c>
      <c r="N650">
        <f>IF(AND(L650&lt;&gt;"",LEFT(L650,1)="N",M650&lt;&gt;"PICKING",M650&lt;&gt;""),1,0)</f>
        <v/>
      </c>
      <c r="O650">
        <f>IF(N650=1,M650&amp;"|"&amp;L650,REPT("z",40))</f>
        <v/>
      </c>
      <c r="P650">
        <f>IF(N650=1,COUNTIF($O$4:$O$2003,"&lt;"&amp;O650)+1,"")</f>
        <v/>
      </c>
      <c r="Q650">
        <f>IF(OR($R649="",$R649="T"),"",IF($R649="B",$Q649,IF($Q649+1&gt;$K$3,"",$Q649+1)))</f>
        <v/>
      </c>
      <c r="R650">
        <f>IF(OR($R649="",$R649="T"),"",IF($R649="B","S",IF($Q649+1&gt;$K$3,"T",IF(INDEX($M$4:$M$2003,MATCH($Q649+1,$P$4:$P$2003,0))&lt;&gt;INDEX($M$4:$M$2003,MATCH($Q649,$P$4:$P$2003,0)),"B","S"))))</f>
        <v/>
      </c>
      <c r="S650">
        <f>IF(Q650="","",IFERROR(MATCH(Q650,$P$4:$P$2003,0),""))</f>
        <v/>
      </c>
    </row>
    <row r="651">
      <c r="A651" s="4">
        <f>IF($R651="","",IF($R651="T","Gesamtergebnis",IF($R651="B",INDEX($M$4:$M$2003,$S651),INDEX($L$4:$L$2003,$S651))))</f>
        <v/>
      </c>
      <c r="B651" s="4">
        <f>IF($R651="","",IF($R651="T",$K$3,IF($R651="B",COUNTIFS($M$4:$M$2003,INDEX($M$4:$M$2003,$S651),$N$4:$N$2003,1),1)))</f>
        <v/>
      </c>
      <c r="L651">
        <f>IF($K$1="","",IFERROR(INDEX(Lines!$A:$AA,ROW()-2,$K$1),""))</f>
        <v/>
      </c>
      <c r="M651">
        <f>IF($K$2="","",IFERROR(INDEX(Lines!$A:$AA,ROW()-2,$K$2),""))</f>
        <v/>
      </c>
      <c r="N651">
        <f>IF(AND(L651&lt;&gt;"",LEFT(L651,1)="N",M651&lt;&gt;"PICKING",M651&lt;&gt;""),1,0)</f>
        <v/>
      </c>
      <c r="O651">
        <f>IF(N651=1,M651&amp;"|"&amp;L651,REPT("z",40))</f>
        <v/>
      </c>
      <c r="P651">
        <f>IF(N651=1,COUNTIF($O$4:$O$2003,"&lt;"&amp;O651)+1,"")</f>
        <v/>
      </c>
      <c r="Q651">
        <f>IF(OR($R650="",$R650="T"),"",IF($R650="B",$Q650,IF($Q650+1&gt;$K$3,"",$Q650+1)))</f>
        <v/>
      </c>
      <c r="R651">
        <f>IF(OR($R650="",$R650="T"),"",IF($R650="B","S",IF($Q650+1&gt;$K$3,"T",IF(INDEX($M$4:$M$2003,MATCH($Q650+1,$P$4:$P$2003,0))&lt;&gt;INDEX($M$4:$M$2003,MATCH($Q650,$P$4:$P$2003,0)),"B","S"))))</f>
        <v/>
      </c>
      <c r="S651">
        <f>IF(Q651="","",IFERROR(MATCH(Q651,$P$4:$P$2003,0),""))</f>
        <v/>
      </c>
    </row>
    <row r="652">
      <c r="A652" s="4">
        <f>IF($R652="","",IF($R652="T","Gesamtergebnis",IF($R652="B",INDEX($M$4:$M$2003,$S652),INDEX($L$4:$L$2003,$S652))))</f>
        <v/>
      </c>
      <c r="B652" s="4">
        <f>IF($R652="","",IF($R652="T",$K$3,IF($R652="B",COUNTIFS($M$4:$M$2003,INDEX($M$4:$M$2003,$S652),$N$4:$N$2003,1),1)))</f>
        <v/>
      </c>
      <c r="L652">
        <f>IF($K$1="","",IFERROR(INDEX(Lines!$A:$AA,ROW()-2,$K$1),""))</f>
        <v/>
      </c>
      <c r="M652">
        <f>IF($K$2="","",IFERROR(INDEX(Lines!$A:$AA,ROW()-2,$K$2),""))</f>
        <v/>
      </c>
      <c r="N652">
        <f>IF(AND(L652&lt;&gt;"",LEFT(L652,1)="N",M652&lt;&gt;"PICKING",M652&lt;&gt;""),1,0)</f>
        <v/>
      </c>
      <c r="O652">
        <f>IF(N652=1,M652&amp;"|"&amp;L652,REPT("z",40))</f>
        <v/>
      </c>
      <c r="P652">
        <f>IF(N652=1,COUNTIF($O$4:$O$2003,"&lt;"&amp;O652)+1,"")</f>
        <v/>
      </c>
      <c r="Q652">
        <f>IF(OR($R651="",$R651="T"),"",IF($R651="B",$Q651,IF($Q651+1&gt;$K$3,"",$Q651+1)))</f>
        <v/>
      </c>
      <c r="R652">
        <f>IF(OR($R651="",$R651="T"),"",IF($R651="B","S",IF($Q651+1&gt;$K$3,"T",IF(INDEX($M$4:$M$2003,MATCH($Q651+1,$P$4:$P$2003,0))&lt;&gt;INDEX($M$4:$M$2003,MATCH($Q651,$P$4:$P$2003,0)),"B","S"))))</f>
        <v/>
      </c>
      <c r="S652">
        <f>IF(Q652="","",IFERROR(MATCH(Q652,$P$4:$P$2003,0),""))</f>
        <v/>
      </c>
    </row>
    <row r="653">
      <c r="A653" s="4">
        <f>IF($R653="","",IF($R653="T","Gesamtergebnis",IF($R653="B",INDEX($M$4:$M$2003,$S653),INDEX($L$4:$L$2003,$S653))))</f>
        <v/>
      </c>
      <c r="B653" s="4">
        <f>IF($R653="","",IF($R653="T",$K$3,IF($R653="B",COUNTIFS($M$4:$M$2003,INDEX($M$4:$M$2003,$S653),$N$4:$N$2003,1),1)))</f>
        <v/>
      </c>
      <c r="L653">
        <f>IF($K$1="","",IFERROR(INDEX(Lines!$A:$AA,ROW()-2,$K$1),""))</f>
        <v/>
      </c>
      <c r="M653">
        <f>IF($K$2="","",IFERROR(INDEX(Lines!$A:$AA,ROW()-2,$K$2),""))</f>
        <v/>
      </c>
      <c r="N653">
        <f>IF(AND(L653&lt;&gt;"",LEFT(L653,1)="N",M653&lt;&gt;"PICKING",M653&lt;&gt;""),1,0)</f>
        <v/>
      </c>
      <c r="O653">
        <f>IF(N653=1,M653&amp;"|"&amp;L653,REPT("z",40))</f>
        <v/>
      </c>
      <c r="P653">
        <f>IF(N653=1,COUNTIF($O$4:$O$2003,"&lt;"&amp;O653)+1,"")</f>
        <v/>
      </c>
      <c r="Q653">
        <f>IF(OR($R652="",$R652="T"),"",IF($R652="B",$Q652,IF($Q652+1&gt;$K$3,"",$Q652+1)))</f>
        <v/>
      </c>
      <c r="R653">
        <f>IF(OR($R652="",$R652="T"),"",IF($R652="B","S",IF($Q652+1&gt;$K$3,"T",IF(INDEX($M$4:$M$2003,MATCH($Q652+1,$P$4:$P$2003,0))&lt;&gt;INDEX($M$4:$M$2003,MATCH($Q652,$P$4:$P$2003,0)),"B","S"))))</f>
        <v/>
      </c>
      <c r="S653">
        <f>IF(Q653="","",IFERROR(MATCH(Q653,$P$4:$P$2003,0),""))</f>
        <v/>
      </c>
    </row>
    <row r="654">
      <c r="A654" s="4">
        <f>IF($R654="","",IF($R654="T","Gesamtergebnis",IF($R654="B",INDEX($M$4:$M$2003,$S654),INDEX($L$4:$L$2003,$S654))))</f>
        <v/>
      </c>
      <c r="B654" s="4">
        <f>IF($R654="","",IF($R654="T",$K$3,IF($R654="B",COUNTIFS($M$4:$M$2003,INDEX($M$4:$M$2003,$S654),$N$4:$N$2003,1),1)))</f>
        <v/>
      </c>
      <c r="L654">
        <f>IF($K$1="","",IFERROR(INDEX(Lines!$A:$AA,ROW()-2,$K$1),""))</f>
        <v/>
      </c>
      <c r="M654">
        <f>IF($K$2="","",IFERROR(INDEX(Lines!$A:$AA,ROW()-2,$K$2),""))</f>
        <v/>
      </c>
      <c r="N654">
        <f>IF(AND(L654&lt;&gt;"",LEFT(L654,1)="N",M654&lt;&gt;"PICKING",M654&lt;&gt;""),1,0)</f>
        <v/>
      </c>
      <c r="O654">
        <f>IF(N654=1,M654&amp;"|"&amp;L654,REPT("z",40))</f>
        <v/>
      </c>
      <c r="P654">
        <f>IF(N654=1,COUNTIF($O$4:$O$2003,"&lt;"&amp;O654)+1,"")</f>
        <v/>
      </c>
      <c r="Q654">
        <f>IF(OR($R653="",$R653="T"),"",IF($R653="B",$Q653,IF($Q653+1&gt;$K$3,"",$Q653+1)))</f>
        <v/>
      </c>
      <c r="R654">
        <f>IF(OR($R653="",$R653="T"),"",IF($R653="B","S",IF($Q653+1&gt;$K$3,"T",IF(INDEX($M$4:$M$2003,MATCH($Q653+1,$P$4:$P$2003,0))&lt;&gt;INDEX($M$4:$M$2003,MATCH($Q653,$P$4:$P$2003,0)),"B","S"))))</f>
        <v/>
      </c>
      <c r="S654">
        <f>IF(Q654="","",IFERROR(MATCH(Q654,$P$4:$P$2003,0),""))</f>
        <v/>
      </c>
    </row>
    <row r="655">
      <c r="A655" s="4">
        <f>IF($R655="","",IF($R655="T","Gesamtergebnis",IF($R655="B",INDEX($M$4:$M$2003,$S655),INDEX($L$4:$L$2003,$S655))))</f>
        <v/>
      </c>
      <c r="B655" s="4">
        <f>IF($R655="","",IF($R655="T",$K$3,IF($R655="B",COUNTIFS($M$4:$M$2003,INDEX($M$4:$M$2003,$S655),$N$4:$N$2003,1),1)))</f>
        <v/>
      </c>
      <c r="L655">
        <f>IF($K$1="","",IFERROR(INDEX(Lines!$A:$AA,ROW()-2,$K$1),""))</f>
        <v/>
      </c>
      <c r="M655">
        <f>IF($K$2="","",IFERROR(INDEX(Lines!$A:$AA,ROW()-2,$K$2),""))</f>
        <v/>
      </c>
      <c r="N655">
        <f>IF(AND(L655&lt;&gt;"",LEFT(L655,1)="N",M655&lt;&gt;"PICKING",M655&lt;&gt;""),1,0)</f>
        <v/>
      </c>
      <c r="O655">
        <f>IF(N655=1,M655&amp;"|"&amp;L655,REPT("z",40))</f>
        <v/>
      </c>
      <c r="P655">
        <f>IF(N655=1,COUNTIF($O$4:$O$2003,"&lt;"&amp;O655)+1,"")</f>
        <v/>
      </c>
      <c r="Q655">
        <f>IF(OR($R654="",$R654="T"),"",IF($R654="B",$Q654,IF($Q654+1&gt;$K$3,"",$Q654+1)))</f>
        <v/>
      </c>
      <c r="R655">
        <f>IF(OR($R654="",$R654="T"),"",IF($R654="B","S",IF($Q654+1&gt;$K$3,"T",IF(INDEX($M$4:$M$2003,MATCH($Q654+1,$P$4:$P$2003,0))&lt;&gt;INDEX($M$4:$M$2003,MATCH($Q654,$P$4:$P$2003,0)),"B","S"))))</f>
        <v/>
      </c>
      <c r="S655">
        <f>IF(Q655="","",IFERROR(MATCH(Q655,$P$4:$P$2003,0),""))</f>
        <v/>
      </c>
    </row>
    <row r="656">
      <c r="A656" s="4">
        <f>IF($R656="","",IF($R656="T","Gesamtergebnis",IF($R656="B",INDEX($M$4:$M$2003,$S656),INDEX($L$4:$L$2003,$S656))))</f>
        <v/>
      </c>
      <c r="B656" s="4">
        <f>IF($R656="","",IF($R656="T",$K$3,IF($R656="B",COUNTIFS($M$4:$M$2003,INDEX($M$4:$M$2003,$S656),$N$4:$N$2003,1),1)))</f>
        <v/>
      </c>
      <c r="L656">
        <f>IF($K$1="","",IFERROR(INDEX(Lines!$A:$AA,ROW()-2,$K$1),""))</f>
        <v/>
      </c>
      <c r="M656">
        <f>IF($K$2="","",IFERROR(INDEX(Lines!$A:$AA,ROW()-2,$K$2),""))</f>
        <v/>
      </c>
      <c r="N656">
        <f>IF(AND(L656&lt;&gt;"",LEFT(L656,1)="N",M656&lt;&gt;"PICKING",M656&lt;&gt;""),1,0)</f>
        <v/>
      </c>
      <c r="O656">
        <f>IF(N656=1,M656&amp;"|"&amp;L656,REPT("z",40))</f>
        <v/>
      </c>
      <c r="P656">
        <f>IF(N656=1,COUNTIF($O$4:$O$2003,"&lt;"&amp;O656)+1,"")</f>
        <v/>
      </c>
      <c r="Q656">
        <f>IF(OR($R655="",$R655="T"),"",IF($R655="B",$Q655,IF($Q655+1&gt;$K$3,"",$Q655+1)))</f>
        <v/>
      </c>
      <c r="R656">
        <f>IF(OR($R655="",$R655="T"),"",IF($R655="B","S",IF($Q655+1&gt;$K$3,"T",IF(INDEX($M$4:$M$2003,MATCH($Q655+1,$P$4:$P$2003,0))&lt;&gt;INDEX($M$4:$M$2003,MATCH($Q655,$P$4:$P$2003,0)),"B","S"))))</f>
        <v/>
      </c>
      <c r="S656">
        <f>IF(Q656="","",IFERROR(MATCH(Q656,$P$4:$P$2003,0),""))</f>
        <v/>
      </c>
    </row>
    <row r="657">
      <c r="A657" s="4">
        <f>IF($R657="","",IF($R657="T","Gesamtergebnis",IF($R657="B",INDEX($M$4:$M$2003,$S657),INDEX($L$4:$L$2003,$S657))))</f>
        <v/>
      </c>
      <c r="B657" s="4">
        <f>IF($R657="","",IF($R657="T",$K$3,IF($R657="B",COUNTIFS($M$4:$M$2003,INDEX($M$4:$M$2003,$S657),$N$4:$N$2003,1),1)))</f>
        <v/>
      </c>
      <c r="L657">
        <f>IF($K$1="","",IFERROR(INDEX(Lines!$A:$AA,ROW()-2,$K$1),""))</f>
        <v/>
      </c>
      <c r="M657">
        <f>IF($K$2="","",IFERROR(INDEX(Lines!$A:$AA,ROW()-2,$K$2),""))</f>
        <v/>
      </c>
      <c r="N657">
        <f>IF(AND(L657&lt;&gt;"",LEFT(L657,1)="N",M657&lt;&gt;"PICKING",M657&lt;&gt;""),1,0)</f>
        <v/>
      </c>
      <c r="O657">
        <f>IF(N657=1,M657&amp;"|"&amp;L657,REPT("z",40))</f>
        <v/>
      </c>
      <c r="P657">
        <f>IF(N657=1,COUNTIF($O$4:$O$2003,"&lt;"&amp;O657)+1,"")</f>
        <v/>
      </c>
      <c r="Q657">
        <f>IF(OR($R656="",$R656="T"),"",IF($R656="B",$Q656,IF($Q656+1&gt;$K$3,"",$Q656+1)))</f>
        <v/>
      </c>
      <c r="R657">
        <f>IF(OR($R656="",$R656="T"),"",IF($R656="B","S",IF($Q656+1&gt;$K$3,"T",IF(INDEX($M$4:$M$2003,MATCH($Q656+1,$P$4:$P$2003,0))&lt;&gt;INDEX($M$4:$M$2003,MATCH($Q656,$P$4:$P$2003,0)),"B","S"))))</f>
        <v/>
      </c>
      <c r="S657">
        <f>IF(Q657="","",IFERROR(MATCH(Q657,$P$4:$P$2003,0),""))</f>
        <v/>
      </c>
    </row>
    <row r="658">
      <c r="A658" s="4">
        <f>IF($R658="","",IF($R658="T","Gesamtergebnis",IF($R658="B",INDEX($M$4:$M$2003,$S658),INDEX($L$4:$L$2003,$S658))))</f>
        <v/>
      </c>
      <c r="B658" s="4">
        <f>IF($R658="","",IF($R658="T",$K$3,IF($R658="B",COUNTIFS($M$4:$M$2003,INDEX($M$4:$M$2003,$S658),$N$4:$N$2003,1),1)))</f>
        <v/>
      </c>
      <c r="L658">
        <f>IF($K$1="","",IFERROR(INDEX(Lines!$A:$AA,ROW()-2,$K$1),""))</f>
        <v/>
      </c>
      <c r="M658">
        <f>IF($K$2="","",IFERROR(INDEX(Lines!$A:$AA,ROW()-2,$K$2),""))</f>
        <v/>
      </c>
      <c r="N658">
        <f>IF(AND(L658&lt;&gt;"",LEFT(L658,1)="N",M658&lt;&gt;"PICKING",M658&lt;&gt;""),1,0)</f>
        <v/>
      </c>
      <c r="O658">
        <f>IF(N658=1,M658&amp;"|"&amp;L658,REPT("z",40))</f>
        <v/>
      </c>
      <c r="P658">
        <f>IF(N658=1,COUNTIF($O$4:$O$2003,"&lt;"&amp;O658)+1,"")</f>
        <v/>
      </c>
      <c r="Q658">
        <f>IF(OR($R657="",$R657="T"),"",IF($R657="B",$Q657,IF($Q657+1&gt;$K$3,"",$Q657+1)))</f>
        <v/>
      </c>
      <c r="R658">
        <f>IF(OR($R657="",$R657="T"),"",IF($R657="B","S",IF($Q657+1&gt;$K$3,"T",IF(INDEX($M$4:$M$2003,MATCH($Q657+1,$P$4:$P$2003,0))&lt;&gt;INDEX($M$4:$M$2003,MATCH($Q657,$P$4:$P$2003,0)),"B","S"))))</f>
        <v/>
      </c>
      <c r="S658">
        <f>IF(Q658="","",IFERROR(MATCH(Q658,$P$4:$P$2003,0),""))</f>
        <v/>
      </c>
    </row>
    <row r="659">
      <c r="A659" s="4">
        <f>IF($R659="","",IF($R659="T","Gesamtergebnis",IF($R659="B",INDEX($M$4:$M$2003,$S659),INDEX($L$4:$L$2003,$S659))))</f>
        <v/>
      </c>
      <c r="B659" s="4">
        <f>IF($R659="","",IF($R659="T",$K$3,IF($R659="B",COUNTIFS($M$4:$M$2003,INDEX($M$4:$M$2003,$S659),$N$4:$N$2003,1),1)))</f>
        <v/>
      </c>
      <c r="L659">
        <f>IF($K$1="","",IFERROR(INDEX(Lines!$A:$AA,ROW()-2,$K$1),""))</f>
        <v/>
      </c>
      <c r="M659">
        <f>IF($K$2="","",IFERROR(INDEX(Lines!$A:$AA,ROW()-2,$K$2),""))</f>
        <v/>
      </c>
      <c r="N659">
        <f>IF(AND(L659&lt;&gt;"",LEFT(L659,1)="N",M659&lt;&gt;"PICKING",M659&lt;&gt;""),1,0)</f>
        <v/>
      </c>
      <c r="O659">
        <f>IF(N659=1,M659&amp;"|"&amp;L659,REPT("z",40))</f>
        <v/>
      </c>
      <c r="P659">
        <f>IF(N659=1,COUNTIF($O$4:$O$2003,"&lt;"&amp;O659)+1,"")</f>
        <v/>
      </c>
      <c r="Q659">
        <f>IF(OR($R658="",$R658="T"),"",IF($R658="B",$Q658,IF($Q658+1&gt;$K$3,"",$Q658+1)))</f>
        <v/>
      </c>
      <c r="R659">
        <f>IF(OR($R658="",$R658="T"),"",IF($R658="B","S",IF($Q658+1&gt;$K$3,"T",IF(INDEX($M$4:$M$2003,MATCH($Q658+1,$P$4:$P$2003,0))&lt;&gt;INDEX($M$4:$M$2003,MATCH($Q658,$P$4:$P$2003,0)),"B","S"))))</f>
        <v/>
      </c>
      <c r="S659">
        <f>IF(Q659="","",IFERROR(MATCH(Q659,$P$4:$P$2003,0),""))</f>
        <v/>
      </c>
    </row>
    <row r="660">
      <c r="A660" s="4">
        <f>IF($R660="","",IF($R660="T","Gesamtergebnis",IF($R660="B",INDEX($M$4:$M$2003,$S660),INDEX($L$4:$L$2003,$S660))))</f>
        <v/>
      </c>
      <c r="B660" s="4">
        <f>IF($R660="","",IF($R660="T",$K$3,IF($R660="B",COUNTIFS($M$4:$M$2003,INDEX($M$4:$M$2003,$S660),$N$4:$N$2003,1),1)))</f>
        <v/>
      </c>
      <c r="L660">
        <f>IF($K$1="","",IFERROR(INDEX(Lines!$A:$AA,ROW()-2,$K$1),""))</f>
        <v/>
      </c>
      <c r="M660">
        <f>IF($K$2="","",IFERROR(INDEX(Lines!$A:$AA,ROW()-2,$K$2),""))</f>
        <v/>
      </c>
      <c r="N660">
        <f>IF(AND(L660&lt;&gt;"",LEFT(L660,1)="N",M660&lt;&gt;"PICKING",M660&lt;&gt;""),1,0)</f>
        <v/>
      </c>
      <c r="O660">
        <f>IF(N660=1,M660&amp;"|"&amp;L660,REPT("z",40))</f>
        <v/>
      </c>
      <c r="P660">
        <f>IF(N660=1,COUNTIF($O$4:$O$2003,"&lt;"&amp;O660)+1,"")</f>
        <v/>
      </c>
      <c r="Q660">
        <f>IF(OR($R659="",$R659="T"),"",IF($R659="B",$Q659,IF($Q659+1&gt;$K$3,"",$Q659+1)))</f>
        <v/>
      </c>
      <c r="R660">
        <f>IF(OR($R659="",$R659="T"),"",IF($R659="B","S",IF($Q659+1&gt;$K$3,"T",IF(INDEX($M$4:$M$2003,MATCH($Q659+1,$P$4:$P$2003,0))&lt;&gt;INDEX($M$4:$M$2003,MATCH($Q659,$P$4:$P$2003,0)),"B","S"))))</f>
        <v/>
      </c>
      <c r="S660">
        <f>IF(Q660="","",IFERROR(MATCH(Q660,$P$4:$P$2003,0),""))</f>
        <v/>
      </c>
    </row>
    <row r="661">
      <c r="A661" s="4">
        <f>IF($R661="","",IF($R661="T","Gesamtergebnis",IF($R661="B",INDEX($M$4:$M$2003,$S661),INDEX($L$4:$L$2003,$S661))))</f>
        <v/>
      </c>
      <c r="B661" s="4">
        <f>IF($R661="","",IF($R661="T",$K$3,IF($R661="B",COUNTIFS($M$4:$M$2003,INDEX($M$4:$M$2003,$S661),$N$4:$N$2003,1),1)))</f>
        <v/>
      </c>
      <c r="L661">
        <f>IF($K$1="","",IFERROR(INDEX(Lines!$A:$AA,ROW()-2,$K$1),""))</f>
        <v/>
      </c>
      <c r="M661">
        <f>IF($K$2="","",IFERROR(INDEX(Lines!$A:$AA,ROW()-2,$K$2),""))</f>
        <v/>
      </c>
      <c r="N661">
        <f>IF(AND(L661&lt;&gt;"",LEFT(L661,1)="N",M661&lt;&gt;"PICKING",M661&lt;&gt;""),1,0)</f>
        <v/>
      </c>
      <c r="O661">
        <f>IF(N661=1,M661&amp;"|"&amp;L661,REPT("z",40))</f>
        <v/>
      </c>
      <c r="P661">
        <f>IF(N661=1,COUNTIF($O$4:$O$2003,"&lt;"&amp;O661)+1,"")</f>
        <v/>
      </c>
      <c r="Q661">
        <f>IF(OR($R660="",$R660="T"),"",IF($R660="B",$Q660,IF($Q660+1&gt;$K$3,"",$Q660+1)))</f>
        <v/>
      </c>
      <c r="R661">
        <f>IF(OR($R660="",$R660="T"),"",IF($R660="B","S",IF($Q660+1&gt;$K$3,"T",IF(INDEX($M$4:$M$2003,MATCH($Q660+1,$P$4:$P$2003,0))&lt;&gt;INDEX($M$4:$M$2003,MATCH($Q660,$P$4:$P$2003,0)),"B","S"))))</f>
        <v/>
      </c>
      <c r="S661">
        <f>IF(Q661="","",IFERROR(MATCH(Q661,$P$4:$P$2003,0),""))</f>
        <v/>
      </c>
    </row>
    <row r="662">
      <c r="A662" s="4">
        <f>IF($R662="","",IF($R662="T","Gesamtergebnis",IF($R662="B",INDEX($M$4:$M$2003,$S662),INDEX($L$4:$L$2003,$S662))))</f>
        <v/>
      </c>
      <c r="B662" s="4">
        <f>IF($R662="","",IF($R662="T",$K$3,IF($R662="B",COUNTIFS($M$4:$M$2003,INDEX($M$4:$M$2003,$S662),$N$4:$N$2003,1),1)))</f>
        <v/>
      </c>
      <c r="L662">
        <f>IF($K$1="","",IFERROR(INDEX(Lines!$A:$AA,ROW()-2,$K$1),""))</f>
        <v/>
      </c>
      <c r="M662">
        <f>IF($K$2="","",IFERROR(INDEX(Lines!$A:$AA,ROW()-2,$K$2),""))</f>
        <v/>
      </c>
      <c r="N662">
        <f>IF(AND(L662&lt;&gt;"",LEFT(L662,1)="N",M662&lt;&gt;"PICKING",M662&lt;&gt;""),1,0)</f>
        <v/>
      </c>
      <c r="O662">
        <f>IF(N662=1,M662&amp;"|"&amp;L662,REPT("z",40))</f>
        <v/>
      </c>
      <c r="P662">
        <f>IF(N662=1,COUNTIF($O$4:$O$2003,"&lt;"&amp;O662)+1,"")</f>
        <v/>
      </c>
      <c r="Q662">
        <f>IF(OR($R661="",$R661="T"),"",IF($R661="B",$Q661,IF($Q661+1&gt;$K$3,"",$Q661+1)))</f>
        <v/>
      </c>
      <c r="R662">
        <f>IF(OR($R661="",$R661="T"),"",IF($R661="B","S",IF($Q661+1&gt;$K$3,"T",IF(INDEX($M$4:$M$2003,MATCH($Q661+1,$P$4:$P$2003,0))&lt;&gt;INDEX($M$4:$M$2003,MATCH($Q661,$P$4:$P$2003,0)),"B","S"))))</f>
        <v/>
      </c>
      <c r="S662">
        <f>IF(Q662="","",IFERROR(MATCH(Q662,$P$4:$P$2003,0),""))</f>
        <v/>
      </c>
    </row>
    <row r="663">
      <c r="A663" s="4">
        <f>IF($R663="","",IF($R663="T","Gesamtergebnis",IF($R663="B",INDEX($M$4:$M$2003,$S663),INDEX($L$4:$L$2003,$S663))))</f>
        <v/>
      </c>
      <c r="B663" s="4">
        <f>IF($R663="","",IF($R663="T",$K$3,IF($R663="B",COUNTIFS($M$4:$M$2003,INDEX($M$4:$M$2003,$S663),$N$4:$N$2003,1),1)))</f>
        <v/>
      </c>
      <c r="L663">
        <f>IF($K$1="","",IFERROR(INDEX(Lines!$A:$AA,ROW()-2,$K$1),""))</f>
        <v/>
      </c>
      <c r="M663">
        <f>IF($K$2="","",IFERROR(INDEX(Lines!$A:$AA,ROW()-2,$K$2),""))</f>
        <v/>
      </c>
      <c r="N663">
        <f>IF(AND(L663&lt;&gt;"",LEFT(L663,1)="N",M663&lt;&gt;"PICKING",M663&lt;&gt;""),1,0)</f>
        <v/>
      </c>
      <c r="O663">
        <f>IF(N663=1,M663&amp;"|"&amp;L663,REPT("z",40))</f>
        <v/>
      </c>
      <c r="P663">
        <f>IF(N663=1,COUNTIF($O$4:$O$2003,"&lt;"&amp;O663)+1,"")</f>
        <v/>
      </c>
      <c r="Q663">
        <f>IF(OR($R662="",$R662="T"),"",IF($R662="B",$Q662,IF($Q662+1&gt;$K$3,"",$Q662+1)))</f>
        <v/>
      </c>
      <c r="R663">
        <f>IF(OR($R662="",$R662="T"),"",IF($R662="B","S",IF($Q662+1&gt;$K$3,"T",IF(INDEX($M$4:$M$2003,MATCH($Q662+1,$P$4:$P$2003,0))&lt;&gt;INDEX($M$4:$M$2003,MATCH($Q662,$P$4:$P$2003,0)),"B","S"))))</f>
        <v/>
      </c>
      <c r="S663">
        <f>IF(Q663="","",IFERROR(MATCH(Q663,$P$4:$P$2003,0),""))</f>
        <v/>
      </c>
    </row>
    <row r="664">
      <c r="A664" s="4">
        <f>IF($R664="","",IF($R664="T","Gesamtergebnis",IF($R664="B",INDEX($M$4:$M$2003,$S664),INDEX($L$4:$L$2003,$S664))))</f>
        <v/>
      </c>
      <c r="B664" s="4">
        <f>IF($R664="","",IF($R664="T",$K$3,IF($R664="B",COUNTIFS($M$4:$M$2003,INDEX($M$4:$M$2003,$S664),$N$4:$N$2003,1),1)))</f>
        <v/>
      </c>
      <c r="L664">
        <f>IF($K$1="","",IFERROR(INDEX(Lines!$A:$AA,ROW()-2,$K$1),""))</f>
        <v/>
      </c>
      <c r="M664">
        <f>IF($K$2="","",IFERROR(INDEX(Lines!$A:$AA,ROW()-2,$K$2),""))</f>
        <v/>
      </c>
      <c r="N664">
        <f>IF(AND(L664&lt;&gt;"",LEFT(L664,1)="N",M664&lt;&gt;"PICKING",M664&lt;&gt;""),1,0)</f>
        <v/>
      </c>
      <c r="O664">
        <f>IF(N664=1,M664&amp;"|"&amp;L664,REPT("z",40))</f>
        <v/>
      </c>
      <c r="P664">
        <f>IF(N664=1,COUNTIF($O$4:$O$2003,"&lt;"&amp;O664)+1,"")</f>
        <v/>
      </c>
      <c r="Q664">
        <f>IF(OR($R663="",$R663="T"),"",IF($R663="B",$Q663,IF($Q663+1&gt;$K$3,"",$Q663+1)))</f>
        <v/>
      </c>
      <c r="R664">
        <f>IF(OR($R663="",$R663="T"),"",IF($R663="B","S",IF($Q663+1&gt;$K$3,"T",IF(INDEX($M$4:$M$2003,MATCH($Q663+1,$P$4:$P$2003,0))&lt;&gt;INDEX($M$4:$M$2003,MATCH($Q663,$P$4:$P$2003,0)),"B","S"))))</f>
        <v/>
      </c>
      <c r="S664">
        <f>IF(Q664="","",IFERROR(MATCH(Q664,$P$4:$P$2003,0),""))</f>
        <v/>
      </c>
    </row>
    <row r="665">
      <c r="A665" s="4">
        <f>IF($R665="","",IF($R665="T","Gesamtergebnis",IF($R665="B",INDEX($M$4:$M$2003,$S665),INDEX($L$4:$L$2003,$S665))))</f>
        <v/>
      </c>
      <c r="B665" s="4">
        <f>IF($R665="","",IF($R665="T",$K$3,IF($R665="B",COUNTIFS($M$4:$M$2003,INDEX($M$4:$M$2003,$S665),$N$4:$N$2003,1),1)))</f>
        <v/>
      </c>
      <c r="L665">
        <f>IF($K$1="","",IFERROR(INDEX(Lines!$A:$AA,ROW()-2,$K$1),""))</f>
        <v/>
      </c>
      <c r="M665">
        <f>IF($K$2="","",IFERROR(INDEX(Lines!$A:$AA,ROW()-2,$K$2),""))</f>
        <v/>
      </c>
      <c r="N665">
        <f>IF(AND(L665&lt;&gt;"",LEFT(L665,1)="N",M665&lt;&gt;"PICKING",M665&lt;&gt;""),1,0)</f>
        <v/>
      </c>
      <c r="O665">
        <f>IF(N665=1,M665&amp;"|"&amp;L665,REPT("z",40))</f>
        <v/>
      </c>
      <c r="P665">
        <f>IF(N665=1,COUNTIF($O$4:$O$2003,"&lt;"&amp;O665)+1,"")</f>
        <v/>
      </c>
      <c r="Q665">
        <f>IF(OR($R664="",$R664="T"),"",IF($R664="B",$Q664,IF($Q664+1&gt;$K$3,"",$Q664+1)))</f>
        <v/>
      </c>
      <c r="R665">
        <f>IF(OR($R664="",$R664="T"),"",IF($R664="B","S",IF($Q664+1&gt;$K$3,"T",IF(INDEX($M$4:$M$2003,MATCH($Q664+1,$P$4:$P$2003,0))&lt;&gt;INDEX($M$4:$M$2003,MATCH($Q664,$P$4:$P$2003,0)),"B","S"))))</f>
        <v/>
      </c>
      <c r="S665">
        <f>IF(Q665="","",IFERROR(MATCH(Q665,$P$4:$P$2003,0),""))</f>
        <v/>
      </c>
    </row>
    <row r="666">
      <c r="A666" s="4">
        <f>IF($R666="","",IF($R666="T","Gesamtergebnis",IF($R666="B",INDEX($M$4:$M$2003,$S666),INDEX($L$4:$L$2003,$S666))))</f>
        <v/>
      </c>
      <c r="B666" s="4">
        <f>IF($R666="","",IF($R666="T",$K$3,IF($R666="B",COUNTIFS($M$4:$M$2003,INDEX($M$4:$M$2003,$S666),$N$4:$N$2003,1),1)))</f>
        <v/>
      </c>
      <c r="L666">
        <f>IF($K$1="","",IFERROR(INDEX(Lines!$A:$AA,ROW()-2,$K$1),""))</f>
        <v/>
      </c>
      <c r="M666">
        <f>IF($K$2="","",IFERROR(INDEX(Lines!$A:$AA,ROW()-2,$K$2),""))</f>
        <v/>
      </c>
      <c r="N666">
        <f>IF(AND(L666&lt;&gt;"",LEFT(L666,1)="N",M666&lt;&gt;"PICKING",M666&lt;&gt;""),1,0)</f>
        <v/>
      </c>
      <c r="O666">
        <f>IF(N666=1,M666&amp;"|"&amp;L666,REPT("z",40))</f>
        <v/>
      </c>
      <c r="P666">
        <f>IF(N666=1,COUNTIF($O$4:$O$2003,"&lt;"&amp;O666)+1,"")</f>
        <v/>
      </c>
      <c r="Q666">
        <f>IF(OR($R665="",$R665="T"),"",IF($R665="B",$Q665,IF($Q665+1&gt;$K$3,"",$Q665+1)))</f>
        <v/>
      </c>
      <c r="R666">
        <f>IF(OR($R665="",$R665="T"),"",IF($R665="B","S",IF($Q665+1&gt;$K$3,"T",IF(INDEX($M$4:$M$2003,MATCH($Q665+1,$P$4:$P$2003,0))&lt;&gt;INDEX($M$4:$M$2003,MATCH($Q665,$P$4:$P$2003,0)),"B","S"))))</f>
        <v/>
      </c>
      <c r="S666">
        <f>IF(Q666="","",IFERROR(MATCH(Q666,$P$4:$P$2003,0),""))</f>
        <v/>
      </c>
    </row>
    <row r="667">
      <c r="A667" s="4">
        <f>IF($R667="","",IF($R667="T","Gesamtergebnis",IF($R667="B",INDEX($M$4:$M$2003,$S667),INDEX($L$4:$L$2003,$S667))))</f>
        <v/>
      </c>
      <c r="B667" s="4">
        <f>IF($R667="","",IF($R667="T",$K$3,IF($R667="B",COUNTIFS($M$4:$M$2003,INDEX($M$4:$M$2003,$S667),$N$4:$N$2003,1),1)))</f>
        <v/>
      </c>
      <c r="L667">
        <f>IF($K$1="","",IFERROR(INDEX(Lines!$A:$AA,ROW()-2,$K$1),""))</f>
        <v/>
      </c>
      <c r="M667">
        <f>IF($K$2="","",IFERROR(INDEX(Lines!$A:$AA,ROW()-2,$K$2),""))</f>
        <v/>
      </c>
      <c r="N667">
        <f>IF(AND(L667&lt;&gt;"",LEFT(L667,1)="N",M667&lt;&gt;"PICKING",M667&lt;&gt;""),1,0)</f>
        <v/>
      </c>
      <c r="O667">
        <f>IF(N667=1,M667&amp;"|"&amp;L667,REPT("z",40))</f>
        <v/>
      </c>
      <c r="P667">
        <f>IF(N667=1,COUNTIF($O$4:$O$2003,"&lt;"&amp;O667)+1,"")</f>
        <v/>
      </c>
      <c r="Q667">
        <f>IF(OR($R666="",$R666="T"),"",IF($R666="B",$Q666,IF($Q666+1&gt;$K$3,"",$Q666+1)))</f>
        <v/>
      </c>
      <c r="R667">
        <f>IF(OR($R666="",$R666="T"),"",IF($R666="B","S",IF($Q666+1&gt;$K$3,"T",IF(INDEX($M$4:$M$2003,MATCH($Q666+1,$P$4:$P$2003,0))&lt;&gt;INDEX($M$4:$M$2003,MATCH($Q666,$P$4:$P$2003,0)),"B","S"))))</f>
        <v/>
      </c>
      <c r="S667">
        <f>IF(Q667="","",IFERROR(MATCH(Q667,$P$4:$P$2003,0),""))</f>
        <v/>
      </c>
    </row>
    <row r="668">
      <c r="A668" s="4">
        <f>IF($R668="","",IF($R668="T","Gesamtergebnis",IF($R668="B",INDEX($M$4:$M$2003,$S668),INDEX($L$4:$L$2003,$S668))))</f>
        <v/>
      </c>
      <c r="B668" s="4">
        <f>IF($R668="","",IF($R668="T",$K$3,IF($R668="B",COUNTIFS($M$4:$M$2003,INDEX($M$4:$M$2003,$S668),$N$4:$N$2003,1),1)))</f>
        <v/>
      </c>
      <c r="L668">
        <f>IF($K$1="","",IFERROR(INDEX(Lines!$A:$AA,ROW()-2,$K$1),""))</f>
        <v/>
      </c>
      <c r="M668">
        <f>IF($K$2="","",IFERROR(INDEX(Lines!$A:$AA,ROW()-2,$K$2),""))</f>
        <v/>
      </c>
      <c r="N668">
        <f>IF(AND(L668&lt;&gt;"",LEFT(L668,1)="N",M668&lt;&gt;"PICKING",M668&lt;&gt;""),1,0)</f>
        <v/>
      </c>
      <c r="O668">
        <f>IF(N668=1,M668&amp;"|"&amp;L668,REPT("z",40))</f>
        <v/>
      </c>
      <c r="P668">
        <f>IF(N668=1,COUNTIF($O$4:$O$2003,"&lt;"&amp;O668)+1,"")</f>
        <v/>
      </c>
      <c r="Q668">
        <f>IF(OR($R667="",$R667="T"),"",IF($R667="B",$Q667,IF($Q667+1&gt;$K$3,"",$Q667+1)))</f>
        <v/>
      </c>
      <c r="R668">
        <f>IF(OR($R667="",$R667="T"),"",IF($R667="B","S",IF($Q667+1&gt;$K$3,"T",IF(INDEX($M$4:$M$2003,MATCH($Q667+1,$P$4:$P$2003,0))&lt;&gt;INDEX($M$4:$M$2003,MATCH($Q667,$P$4:$P$2003,0)),"B","S"))))</f>
        <v/>
      </c>
      <c r="S668">
        <f>IF(Q668="","",IFERROR(MATCH(Q668,$P$4:$P$2003,0),""))</f>
        <v/>
      </c>
    </row>
    <row r="669">
      <c r="A669" s="4">
        <f>IF($R669="","",IF($R669="T","Gesamtergebnis",IF($R669="B",INDEX($M$4:$M$2003,$S669),INDEX($L$4:$L$2003,$S669))))</f>
        <v/>
      </c>
      <c r="B669" s="4">
        <f>IF($R669="","",IF($R669="T",$K$3,IF($R669="B",COUNTIFS($M$4:$M$2003,INDEX($M$4:$M$2003,$S669),$N$4:$N$2003,1),1)))</f>
        <v/>
      </c>
      <c r="L669">
        <f>IF($K$1="","",IFERROR(INDEX(Lines!$A:$AA,ROW()-2,$K$1),""))</f>
        <v/>
      </c>
      <c r="M669">
        <f>IF($K$2="","",IFERROR(INDEX(Lines!$A:$AA,ROW()-2,$K$2),""))</f>
        <v/>
      </c>
      <c r="N669">
        <f>IF(AND(L669&lt;&gt;"",LEFT(L669,1)="N",M669&lt;&gt;"PICKING",M669&lt;&gt;""),1,0)</f>
        <v/>
      </c>
      <c r="O669">
        <f>IF(N669=1,M669&amp;"|"&amp;L669,REPT("z",40))</f>
        <v/>
      </c>
      <c r="P669">
        <f>IF(N669=1,COUNTIF($O$4:$O$2003,"&lt;"&amp;O669)+1,"")</f>
        <v/>
      </c>
      <c r="Q669">
        <f>IF(OR($R668="",$R668="T"),"",IF($R668="B",$Q668,IF($Q668+1&gt;$K$3,"",$Q668+1)))</f>
        <v/>
      </c>
      <c r="R669">
        <f>IF(OR($R668="",$R668="T"),"",IF($R668="B","S",IF($Q668+1&gt;$K$3,"T",IF(INDEX($M$4:$M$2003,MATCH($Q668+1,$P$4:$P$2003,0))&lt;&gt;INDEX($M$4:$M$2003,MATCH($Q668,$P$4:$P$2003,0)),"B","S"))))</f>
        <v/>
      </c>
      <c r="S669">
        <f>IF(Q669="","",IFERROR(MATCH(Q669,$P$4:$P$2003,0),""))</f>
        <v/>
      </c>
    </row>
    <row r="670">
      <c r="A670" s="4">
        <f>IF($R670="","",IF($R670="T","Gesamtergebnis",IF($R670="B",INDEX($M$4:$M$2003,$S670),INDEX($L$4:$L$2003,$S670))))</f>
        <v/>
      </c>
      <c r="B670" s="4">
        <f>IF($R670="","",IF($R670="T",$K$3,IF($R670="B",COUNTIFS($M$4:$M$2003,INDEX($M$4:$M$2003,$S670),$N$4:$N$2003,1),1)))</f>
        <v/>
      </c>
      <c r="L670">
        <f>IF($K$1="","",IFERROR(INDEX(Lines!$A:$AA,ROW()-2,$K$1),""))</f>
        <v/>
      </c>
      <c r="M670">
        <f>IF($K$2="","",IFERROR(INDEX(Lines!$A:$AA,ROW()-2,$K$2),""))</f>
        <v/>
      </c>
      <c r="N670">
        <f>IF(AND(L670&lt;&gt;"",LEFT(L670,1)="N",M670&lt;&gt;"PICKING",M670&lt;&gt;""),1,0)</f>
        <v/>
      </c>
      <c r="O670">
        <f>IF(N670=1,M670&amp;"|"&amp;L670,REPT("z",40))</f>
        <v/>
      </c>
      <c r="P670">
        <f>IF(N670=1,COUNTIF($O$4:$O$2003,"&lt;"&amp;O670)+1,"")</f>
        <v/>
      </c>
      <c r="Q670">
        <f>IF(OR($R669="",$R669="T"),"",IF($R669="B",$Q669,IF($Q669+1&gt;$K$3,"",$Q669+1)))</f>
        <v/>
      </c>
      <c r="R670">
        <f>IF(OR($R669="",$R669="T"),"",IF($R669="B","S",IF($Q669+1&gt;$K$3,"T",IF(INDEX($M$4:$M$2003,MATCH($Q669+1,$P$4:$P$2003,0))&lt;&gt;INDEX($M$4:$M$2003,MATCH($Q669,$P$4:$P$2003,0)),"B","S"))))</f>
        <v/>
      </c>
      <c r="S670">
        <f>IF(Q670="","",IFERROR(MATCH(Q670,$P$4:$P$2003,0),""))</f>
        <v/>
      </c>
    </row>
    <row r="671">
      <c r="A671" s="4">
        <f>IF($R671="","",IF($R671="T","Gesamtergebnis",IF($R671="B",INDEX($M$4:$M$2003,$S671),INDEX($L$4:$L$2003,$S671))))</f>
        <v/>
      </c>
      <c r="B671" s="4">
        <f>IF($R671="","",IF($R671="T",$K$3,IF($R671="B",COUNTIFS($M$4:$M$2003,INDEX($M$4:$M$2003,$S671),$N$4:$N$2003,1),1)))</f>
        <v/>
      </c>
      <c r="L671">
        <f>IF($K$1="","",IFERROR(INDEX(Lines!$A:$AA,ROW()-2,$K$1),""))</f>
        <v/>
      </c>
      <c r="M671">
        <f>IF($K$2="","",IFERROR(INDEX(Lines!$A:$AA,ROW()-2,$K$2),""))</f>
        <v/>
      </c>
      <c r="N671">
        <f>IF(AND(L671&lt;&gt;"",LEFT(L671,1)="N",M671&lt;&gt;"PICKING",M671&lt;&gt;""),1,0)</f>
        <v/>
      </c>
      <c r="O671">
        <f>IF(N671=1,M671&amp;"|"&amp;L671,REPT("z",40))</f>
        <v/>
      </c>
      <c r="P671">
        <f>IF(N671=1,COUNTIF($O$4:$O$2003,"&lt;"&amp;O671)+1,"")</f>
        <v/>
      </c>
      <c r="Q671">
        <f>IF(OR($R670="",$R670="T"),"",IF($R670="B",$Q670,IF($Q670+1&gt;$K$3,"",$Q670+1)))</f>
        <v/>
      </c>
      <c r="R671">
        <f>IF(OR($R670="",$R670="T"),"",IF($R670="B","S",IF($Q670+1&gt;$K$3,"T",IF(INDEX($M$4:$M$2003,MATCH($Q670+1,$P$4:$P$2003,0))&lt;&gt;INDEX($M$4:$M$2003,MATCH($Q670,$P$4:$P$2003,0)),"B","S"))))</f>
        <v/>
      </c>
      <c r="S671">
        <f>IF(Q671="","",IFERROR(MATCH(Q671,$P$4:$P$2003,0),""))</f>
        <v/>
      </c>
    </row>
    <row r="672">
      <c r="A672" s="4">
        <f>IF($R672="","",IF($R672="T","Gesamtergebnis",IF($R672="B",INDEX($M$4:$M$2003,$S672),INDEX($L$4:$L$2003,$S672))))</f>
        <v/>
      </c>
      <c r="B672" s="4">
        <f>IF($R672="","",IF($R672="T",$K$3,IF($R672="B",COUNTIFS($M$4:$M$2003,INDEX($M$4:$M$2003,$S672),$N$4:$N$2003,1),1)))</f>
        <v/>
      </c>
      <c r="L672">
        <f>IF($K$1="","",IFERROR(INDEX(Lines!$A:$AA,ROW()-2,$K$1),""))</f>
        <v/>
      </c>
      <c r="M672">
        <f>IF($K$2="","",IFERROR(INDEX(Lines!$A:$AA,ROW()-2,$K$2),""))</f>
        <v/>
      </c>
      <c r="N672">
        <f>IF(AND(L672&lt;&gt;"",LEFT(L672,1)="N",M672&lt;&gt;"PICKING",M672&lt;&gt;""),1,0)</f>
        <v/>
      </c>
      <c r="O672">
        <f>IF(N672=1,M672&amp;"|"&amp;L672,REPT("z",40))</f>
        <v/>
      </c>
      <c r="P672">
        <f>IF(N672=1,COUNTIF($O$4:$O$2003,"&lt;"&amp;O672)+1,"")</f>
        <v/>
      </c>
      <c r="Q672">
        <f>IF(OR($R671="",$R671="T"),"",IF($R671="B",$Q671,IF($Q671+1&gt;$K$3,"",$Q671+1)))</f>
        <v/>
      </c>
      <c r="R672">
        <f>IF(OR($R671="",$R671="T"),"",IF($R671="B","S",IF($Q671+1&gt;$K$3,"T",IF(INDEX($M$4:$M$2003,MATCH($Q671+1,$P$4:$P$2003,0))&lt;&gt;INDEX($M$4:$M$2003,MATCH($Q671,$P$4:$P$2003,0)),"B","S"))))</f>
        <v/>
      </c>
      <c r="S672">
        <f>IF(Q672="","",IFERROR(MATCH(Q672,$P$4:$P$2003,0),""))</f>
        <v/>
      </c>
    </row>
    <row r="673">
      <c r="A673" s="4">
        <f>IF($R673="","",IF($R673="T","Gesamtergebnis",IF($R673="B",INDEX($M$4:$M$2003,$S673),INDEX($L$4:$L$2003,$S673))))</f>
        <v/>
      </c>
      <c r="B673" s="4">
        <f>IF($R673="","",IF($R673="T",$K$3,IF($R673="B",COUNTIFS($M$4:$M$2003,INDEX($M$4:$M$2003,$S673),$N$4:$N$2003,1),1)))</f>
        <v/>
      </c>
      <c r="L673">
        <f>IF($K$1="","",IFERROR(INDEX(Lines!$A:$AA,ROW()-2,$K$1),""))</f>
        <v/>
      </c>
      <c r="M673">
        <f>IF($K$2="","",IFERROR(INDEX(Lines!$A:$AA,ROW()-2,$K$2),""))</f>
        <v/>
      </c>
      <c r="N673">
        <f>IF(AND(L673&lt;&gt;"",LEFT(L673,1)="N",M673&lt;&gt;"PICKING",M673&lt;&gt;""),1,0)</f>
        <v/>
      </c>
      <c r="O673">
        <f>IF(N673=1,M673&amp;"|"&amp;L673,REPT("z",40))</f>
        <v/>
      </c>
      <c r="P673">
        <f>IF(N673=1,COUNTIF($O$4:$O$2003,"&lt;"&amp;O673)+1,"")</f>
        <v/>
      </c>
      <c r="Q673">
        <f>IF(OR($R672="",$R672="T"),"",IF($R672="B",$Q672,IF($Q672+1&gt;$K$3,"",$Q672+1)))</f>
        <v/>
      </c>
      <c r="R673">
        <f>IF(OR($R672="",$R672="T"),"",IF($R672="B","S",IF($Q672+1&gt;$K$3,"T",IF(INDEX($M$4:$M$2003,MATCH($Q672+1,$P$4:$P$2003,0))&lt;&gt;INDEX($M$4:$M$2003,MATCH($Q672,$P$4:$P$2003,0)),"B","S"))))</f>
        <v/>
      </c>
      <c r="S673">
        <f>IF(Q673="","",IFERROR(MATCH(Q673,$P$4:$P$2003,0),""))</f>
        <v/>
      </c>
    </row>
    <row r="674">
      <c r="A674" s="4">
        <f>IF($R674="","",IF($R674="T","Gesamtergebnis",IF($R674="B",INDEX($M$4:$M$2003,$S674),INDEX($L$4:$L$2003,$S674))))</f>
        <v/>
      </c>
      <c r="B674" s="4">
        <f>IF($R674="","",IF($R674="T",$K$3,IF($R674="B",COUNTIFS($M$4:$M$2003,INDEX($M$4:$M$2003,$S674),$N$4:$N$2003,1),1)))</f>
        <v/>
      </c>
      <c r="L674">
        <f>IF($K$1="","",IFERROR(INDEX(Lines!$A:$AA,ROW()-2,$K$1),""))</f>
        <v/>
      </c>
      <c r="M674">
        <f>IF($K$2="","",IFERROR(INDEX(Lines!$A:$AA,ROW()-2,$K$2),""))</f>
        <v/>
      </c>
      <c r="N674">
        <f>IF(AND(L674&lt;&gt;"",LEFT(L674,1)="N",M674&lt;&gt;"PICKING",M674&lt;&gt;""),1,0)</f>
        <v/>
      </c>
      <c r="O674">
        <f>IF(N674=1,M674&amp;"|"&amp;L674,REPT("z",40))</f>
        <v/>
      </c>
      <c r="P674">
        <f>IF(N674=1,COUNTIF($O$4:$O$2003,"&lt;"&amp;O674)+1,"")</f>
        <v/>
      </c>
      <c r="Q674">
        <f>IF(OR($R673="",$R673="T"),"",IF($R673="B",$Q673,IF($Q673+1&gt;$K$3,"",$Q673+1)))</f>
        <v/>
      </c>
      <c r="R674">
        <f>IF(OR($R673="",$R673="T"),"",IF($R673="B","S",IF($Q673+1&gt;$K$3,"T",IF(INDEX($M$4:$M$2003,MATCH($Q673+1,$P$4:$P$2003,0))&lt;&gt;INDEX($M$4:$M$2003,MATCH($Q673,$P$4:$P$2003,0)),"B","S"))))</f>
        <v/>
      </c>
      <c r="S674">
        <f>IF(Q674="","",IFERROR(MATCH(Q674,$P$4:$P$2003,0),""))</f>
        <v/>
      </c>
    </row>
    <row r="675">
      <c r="A675" s="4">
        <f>IF($R675="","",IF($R675="T","Gesamtergebnis",IF($R675="B",INDEX($M$4:$M$2003,$S675),INDEX($L$4:$L$2003,$S675))))</f>
        <v/>
      </c>
      <c r="B675" s="4">
        <f>IF($R675="","",IF($R675="T",$K$3,IF($R675="B",COUNTIFS($M$4:$M$2003,INDEX($M$4:$M$2003,$S675),$N$4:$N$2003,1),1)))</f>
        <v/>
      </c>
      <c r="L675">
        <f>IF($K$1="","",IFERROR(INDEX(Lines!$A:$AA,ROW()-2,$K$1),""))</f>
        <v/>
      </c>
      <c r="M675">
        <f>IF($K$2="","",IFERROR(INDEX(Lines!$A:$AA,ROW()-2,$K$2),""))</f>
        <v/>
      </c>
      <c r="N675">
        <f>IF(AND(L675&lt;&gt;"",LEFT(L675,1)="N",M675&lt;&gt;"PICKING",M675&lt;&gt;""),1,0)</f>
        <v/>
      </c>
      <c r="O675">
        <f>IF(N675=1,M675&amp;"|"&amp;L675,REPT("z",40))</f>
        <v/>
      </c>
      <c r="P675">
        <f>IF(N675=1,COUNTIF($O$4:$O$2003,"&lt;"&amp;O675)+1,"")</f>
        <v/>
      </c>
      <c r="Q675">
        <f>IF(OR($R674="",$R674="T"),"",IF($R674="B",$Q674,IF($Q674+1&gt;$K$3,"",$Q674+1)))</f>
        <v/>
      </c>
      <c r="R675">
        <f>IF(OR($R674="",$R674="T"),"",IF($R674="B","S",IF($Q674+1&gt;$K$3,"T",IF(INDEX($M$4:$M$2003,MATCH($Q674+1,$P$4:$P$2003,0))&lt;&gt;INDEX($M$4:$M$2003,MATCH($Q674,$P$4:$P$2003,0)),"B","S"))))</f>
        <v/>
      </c>
      <c r="S675">
        <f>IF(Q675="","",IFERROR(MATCH(Q675,$P$4:$P$2003,0),""))</f>
        <v/>
      </c>
    </row>
    <row r="676">
      <c r="A676" s="4">
        <f>IF($R676="","",IF($R676="T","Gesamtergebnis",IF($R676="B",INDEX($M$4:$M$2003,$S676),INDEX($L$4:$L$2003,$S676))))</f>
        <v/>
      </c>
      <c r="B676" s="4">
        <f>IF($R676="","",IF($R676="T",$K$3,IF($R676="B",COUNTIFS($M$4:$M$2003,INDEX($M$4:$M$2003,$S676),$N$4:$N$2003,1),1)))</f>
        <v/>
      </c>
      <c r="L676">
        <f>IF($K$1="","",IFERROR(INDEX(Lines!$A:$AA,ROW()-2,$K$1),""))</f>
        <v/>
      </c>
      <c r="M676">
        <f>IF($K$2="","",IFERROR(INDEX(Lines!$A:$AA,ROW()-2,$K$2),""))</f>
        <v/>
      </c>
      <c r="N676">
        <f>IF(AND(L676&lt;&gt;"",LEFT(L676,1)="N",M676&lt;&gt;"PICKING",M676&lt;&gt;""),1,0)</f>
        <v/>
      </c>
      <c r="O676">
        <f>IF(N676=1,M676&amp;"|"&amp;L676,REPT("z",40))</f>
        <v/>
      </c>
      <c r="P676">
        <f>IF(N676=1,COUNTIF($O$4:$O$2003,"&lt;"&amp;O676)+1,"")</f>
        <v/>
      </c>
      <c r="Q676">
        <f>IF(OR($R675="",$R675="T"),"",IF($R675="B",$Q675,IF($Q675+1&gt;$K$3,"",$Q675+1)))</f>
        <v/>
      </c>
      <c r="R676">
        <f>IF(OR($R675="",$R675="T"),"",IF($R675="B","S",IF($Q675+1&gt;$K$3,"T",IF(INDEX($M$4:$M$2003,MATCH($Q675+1,$P$4:$P$2003,0))&lt;&gt;INDEX($M$4:$M$2003,MATCH($Q675,$P$4:$P$2003,0)),"B","S"))))</f>
        <v/>
      </c>
      <c r="S676">
        <f>IF(Q676="","",IFERROR(MATCH(Q676,$P$4:$P$2003,0),""))</f>
        <v/>
      </c>
    </row>
    <row r="677">
      <c r="A677" s="4">
        <f>IF($R677="","",IF($R677="T","Gesamtergebnis",IF($R677="B",INDEX($M$4:$M$2003,$S677),INDEX($L$4:$L$2003,$S677))))</f>
        <v/>
      </c>
      <c r="B677" s="4">
        <f>IF($R677="","",IF($R677="T",$K$3,IF($R677="B",COUNTIFS($M$4:$M$2003,INDEX($M$4:$M$2003,$S677),$N$4:$N$2003,1),1)))</f>
        <v/>
      </c>
      <c r="L677">
        <f>IF($K$1="","",IFERROR(INDEX(Lines!$A:$AA,ROW()-2,$K$1),""))</f>
        <v/>
      </c>
      <c r="M677">
        <f>IF($K$2="","",IFERROR(INDEX(Lines!$A:$AA,ROW()-2,$K$2),""))</f>
        <v/>
      </c>
      <c r="N677">
        <f>IF(AND(L677&lt;&gt;"",LEFT(L677,1)="N",M677&lt;&gt;"PICKING",M677&lt;&gt;""),1,0)</f>
        <v/>
      </c>
      <c r="O677">
        <f>IF(N677=1,M677&amp;"|"&amp;L677,REPT("z",40))</f>
        <v/>
      </c>
      <c r="P677">
        <f>IF(N677=1,COUNTIF($O$4:$O$2003,"&lt;"&amp;O677)+1,"")</f>
        <v/>
      </c>
      <c r="Q677">
        <f>IF(OR($R676="",$R676="T"),"",IF($R676="B",$Q676,IF($Q676+1&gt;$K$3,"",$Q676+1)))</f>
        <v/>
      </c>
      <c r="R677">
        <f>IF(OR($R676="",$R676="T"),"",IF($R676="B","S",IF($Q676+1&gt;$K$3,"T",IF(INDEX($M$4:$M$2003,MATCH($Q676+1,$P$4:$P$2003,0))&lt;&gt;INDEX($M$4:$M$2003,MATCH($Q676,$P$4:$P$2003,0)),"B","S"))))</f>
        <v/>
      </c>
      <c r="S677">
        <f>IF(Q677="","",IFERROR(MATCH(Q677,$P$4:$P$2003,0),""))</f>
        <v/>
      </c>
    </row>
    <row r="678">
      <c r="A678" s="4">
        <f>IF($R678="","",IF($R678="T","Gesamtergebnis",IF($R678="B",INDEX($M$4:$M$2003,$S678),INDEX($L$4:$L$2003,$S678))))</f>
        <v/>
      </c>
      <c r="B678" s="4">
        <f>IF($R678="","",IF($R678="T",$K$3,IF($R678="B",COUNTIFS($M$4:$M$2003,INDEX($M$4:$M$2003,$S678),$N$4:$N$2003,1),1)))</f>
        <v/>
      </c>
      <c r="L678">
        <f>IF($K$1="","",IFERROR(INDEX(Lines!$A:$AA,ROW()-2,$K$1),""))</f>
        <v/>
      </c>
      <c r="M678">
        <f>IF($K$2="","",IFERROR(INDEX(Lines!$A:$AA,ROW()-2,$K$2),""))</f>
        <v/>
      </c>
      <c r="N678">
        <f>IF(AND(L678&lt;&gt;"",LEFT(L678,1)="N",M678&lt;&gt;"PICKING",M678&lt;&gt;""),1,0)</f>
        <v/>
      </c>
      <c r="O678">
        <f>IF(N678=1,M678&amp;"|"&amp;L678,REPT("z",40))</f>
        <v/>
      </c>
      <c r="P678">
        <f>IF(N678=1,COUNTIF($O$4:$O$2003,"&lt;"&amp;O678)+1,"")</f>
        <v/>
      </c>
      <c r="Q678">
        <f>IF(OR($R677="",$R677="T"),"",IF($R677="B",$Q677,IF($Q677+1&gt;$K$3,"",$Q677+1)))</f>
        <v/>
      </c>
      <c r="R678">
        <f>IF(OR($R677="",$R677="T"),"",IF($R677="B","S",IF($Q677+1&gt;$K$3,"T",IF(INDEX($M$4:$M$2003,MATCH($Q677+1,$P$4:$P$2003,0))&lt;&gt;INDEX($M$4:$M$2003,MATCH($Q677,$P$4:$P$2003,0)),"B","S"))))</f>
        <v/>
      </c>
      <c r="S678">
        <f>IF(Q678="","",IFERROR(MATCH(Q678,$P$4:$P$2003,0),""))</f>
        <v/>
      </c>
    </row>
    <row r="679">
      <c r="A679" s="4">
        <f>IF($R679="","",IF($R679="T","Gesamtergebnis",IF($R679="B",INDEX($M$4:$M$2003,$S679),INDEX($L$4:$L$2003,$S679))))</f>
        <v/>
      </c>
      <c r="B679" s="4">
        <f>IF($R679="","",IF($R679="T",$K$3,IF($R679="B",COUNTIFS($M$4:$M$2003,INDEX($M$4:$M$2003,$S679),$N$4:$N$2003,1),1)))</f>
        <v/>
      </c>
      <c r="L679">
        <f>IF($K$1="","",IFERROR(INDEX(Lines!$A:$AA,ROW()-2,$K$1),""))</f>
        <v/>
      </c>
      <c r="M679">
        <f>IF($K$2="","",IFERROR(INDEX(Lines!$A:$AA,ROW()-2,$K$2),""))</f>
        <v/>
      </c>
      <c r="N679">
        <f>IF(AND(L679&lt;&gt;"",LEFT(L679,1)="N",M679&lt;&gt;"PICKING",M679&lt;&gt;""),1,0)</f>
        <v/>
      </c>
      <c r="O679">
        <f>IF(N679=1,M679&amp;"|"&amp;L679,REPT("z",40))</f>
        <v/>
      </c>
      <c r="P679">
        <f>IF(N679=1,COUNTIF($O$4:$O$2003,"&lt;"&amp;O679)+1,"")</f>
        <v/>
      </c>
      <c r="Q679">
        <f>IF(OR($R678="",$R678="T"),"",IF($R678="B",$Q678,IF($Q678+1&gt;$K$3,"",$Q678+1)))</f>
        <v/>
      </c>
      <c r="R679">
        <f>IF(OR($R678="",$R678="T"),"",IF($R678="B","S",IF($Q678+1&gt;$K$3,"T",IF(INDEX($M$4:$M$2003,MATCH($Q678+1,$P$4:$P$2003,0))&lt;&gt;INDEX($M$4:$M$2003,MATCH($Q678,$P$4:$P$2003,0)),"B","S"))))</f>
        <v/>
      </c>
      <c r="S679">
        <f>IF(Q679="","",IFERROR(MATCH(Q679,$P$4:$P$2003,0),""))</f>
        <v/>
      </c>
    </row>
    <row r="680">
      <c r="A680" s="4">
        <f>IF($R680="","",IF($R680="T","Gesamtergebnis",IF($R680="B",INDEX($M$4:$M$2003,$S680),INDEX($L$4:$L$2003,$S680))))</f>
        <v/>
      </c>
      <c r="B680" s="4">
        <f>IF($R680="","",IF($R680="T",$K$3,IF($R680="B",COUNTIFS($M$4:$M$2003,INDEX($M$4:$M$2003,$S680),$N$4:$N$2003,1),1)))</f>
        <v/>
      </c>
      <c r="L680">
        <f>IF($K$1="","",IFERROR(INDEX(Lines!$A:$AA,ROW()-2,$K$1),""))</f>
        <v/>
      </c>
      <c r="M680">
        <f>IF($K$2="","",IFERROR(INDEX(Lines!$A:$AA,ROW()-2,$K$2),""))</f>
        <v/>
      </c>
      <c r="N680">
        <f>IF(AND(L680&lt;&gt;"",LEFT(L680,1)="N",M680&lt;&gt;"PICKING",M680&lt;&gt;""),1,0)</f>
        <v/>
      </c>
      <c r="O680">
        <f>IF(N680=1,M680&amp;"|"&amp;L680,REPT("z",40))</f>
        <v/>
      </c>
      <c r="P680">
        <f>IF(N680=1,COUNTIF($O$4:$O$2003,"&lt;"&amp;O680)+1,"")</f>
        <v/>
      </c>
      <c r="Q680">
        <f>IF(OR($R679="",$R679="T"),"",IF($R679="B",$Q679,IF($Q679+1&gt;$K$3,"",$Q679+1)))</f>
        <v/>
      </c>
      <c r="R680">
        <f>IF(OR($R679="",$R679="T"),"",IF($R679="B","S",IF($Q679+1&gt;$K$3,"T",IF(INDEX($M$4:$M$2003,MATCH($Q679+1,$P$4:$P$2003,0))&lt;&gt;INDEX($M$4:$M$2003,MATCH($Q679,$P$4:$P$2003,0)),"B","S"))))</f>
        <v/>
      </c>
      <c r="S680">
        <f>IF(Q680="","",IFERROR(MATCH(Q680,$P$4:$P$2003,0),""))</f>
        <v/>
      </c>
    </row>
    <row r="681">
      <c r="A681" s="4">
        <f>IF($R681="","",IF($R681="T","Gesamtergebnis",IF($R681="B",INDEX($M$4:$M$2003,$S681),INDEX($L$4:$L$2003,$S681))))</f>
        <v/>
      </c>
      <c r="B681" s="4">
        <f>IF($R681="","",IF($R681="T",$K$3,IF($R681="B",COUNTIFS($M$4:$M$2003,INDEX($M$4:$M$2003,$S681),$N$4:$N$2003,1),1)))</f>
        <v/>
      </c>
      <c r="L681">
        <f>IF($K$1="","",IFERROR(INDEX(Lines!$A:$AA,ROW()-2,$K$1),""))</f>
        <v/>
      </c>
      <c r="M681">
        <f>IF($K$2="","",IFERROR(INDEX(Lines!$A:$AA,ROW()-2,$K$2),""))</f>
        <v/>
      </c>
      <c r="N681">
        <f>IF(AND(L681&lt;&gt;"",LEFT(L681,1)="N",M681&lt;&gt;"PICKING",M681&lt;&gt;""),1,0)</f>
        <v/>
      </c>
      <c r="O681">
        <f>IF(N681=1,M681&amp;"|"&amp;L681,REPT("z",40))</f>
        <v/>
      </c>
      <c r="P681">
        <f>IF(N681=1,COUNTIF($O$4:$O$2003,"&lt;"&amp;O681)+1,"")</f>
        <v/>
      </c>
      <c r="Q681">
        <f>IF(OR($R680="",$R680="T"),"",IF($R680="B",$Q680,IF($Q680+1&gt;$K$3,"",$Q680+1)))</f>
        <v/>
      </c>
      <c r="R681">
        <f>IF(OR($R680="",$R680="T"),"",IF($R680="B","S",IF($Q680+1&gt;$K$3,"T",IF(INDEX($M$4:$M$2003,MATCH($Q680+1,$P$4:$P$2003,0))&lt;&gt;INDEX($M$4:$M$2003,MATCH($Q680,$P$4:$P$2003,0)),"B","S"))))</f>
        <v/>
      </c>
      <c r="S681">
        <f>IF(Q681="","",IFERROR(MATCH(Q681,$P$4:$P$2003,0),""))</f>
        <v/>
      </c>
    </row>
    <row r="682">
      <c r="A682" s="4">
        <f>IF($R682="","",IF($R682="T","Gesamtergebnis",IF($R682="B",INDEX($M$4:$M$2003,$S682),INDEX($L$4:$L$2003,$S682))))</f>
        <v/>
      </c>
      <c r="B682" s="4">
        <f>IF($R682="","",IF($R682="T",$K$3,IF($R682="B",COUNTIFS($M$4:$M$2003,INDEX($M$4:$M$2003,$S682),$N$4:$N$2003,1),1)))</f>
        <v/>
      </c>
      <c r="L682">
        <f>IF($K$1="","",IFERROR(INDEX(Lines!$A:$AA,ROW()-2,$K$1),""))</f>
        <v/>
      </c>
      <c r="M682">
        <f>IF($K$2="","",IFERROR(INDEX(Lines!$A:$AA,ROW()-2,$K$2),""))</f>
        <v/>
      </c>
      <c r="N682">
        <f>IF(AND(L682&lt;&gt;"",LEFT(L682,1)="N",M682&lt;&gt;"PICKING",M682&lt;&gt;""),1,0)</f>
        <v/>
      </c>
      <c r="O682">
        <f>IF(N682=1,M682&amp;"|"&amp;L682,REPT("z",40))</f>
        <v/>
      </c>
      <c r="P682">
        <f>IF(N682=1,COUNTIF($O$4:$O$2003,"&lt;"&amp;O682)+1,"")</f>
        <v/>
      </c>
      <c r="Q682">
        <f>IF(OR($R681="",$R681="T"),"",IF($R681="B",$Q681,IF($Q681+1&gt;$K$3,"",$Q681+1)))</f>
        <v/>
      </c>
      <c r="R682">
        <f>IF(OR($R681="",$R681="T"),"",IF($R681="B","S",IF($Q681+1&gt;$K$3,"T",IF(INDEX($M$4:$M$2003,MATCH($Q681+1,$P$4:$P$2003,0))&lt;&gt;INDEX($M$4:$M$2003,MATCH($Q681,$P$4:$P$2003,0)),"B","S"))))</f>
        <v/>
      </c>
      <c r="S682">
        <f>IF(Q682="","",IFERROR(MATCH(Q682,$P$4:$P$2003,0),""))</f>
        <v/>
      </c>
    </row>
    <row r="683">
      <c r="A683" s="4">
        <f>IF($R683="","",IF($R683="T","Gesamtergebnis",IF($R683="B",INDEX($M$4:$M$2003,$S683),INDEX($L$4:$L$2003,$S683))))</f>
        <v/>
      </c>
      <c r="B683" s="4">
        <f>IF($R683="","",IF($R683="T",$K$3,IF($R683="B",COUNTIFS($M$4:$M$2003,INDEX($M$4:$M$2003,$S683),$N$4:$N$2003,1),1)))</f>
        <v/>
      </c>
      <c r="L683">
        <f>IF($K$1="","",IFERROR(INDEX(Lines!$A:$AA,ROW()-2,$K$1),""))</f>
        <v/>
      </c>
      <c r="M683">
        <f>IF($K$2="","",IFERROR(INDEX(Lines!$A:$AA,ROW()-2,$K$2),""))</f>
        <v/>
      </c>
      <c r="N683">
        <f>IF(AND(L683&lt;&gt;"",LEFT(L683,1)="N",M683&lt;&gt;"PICKING",M683&lt;&gt;""),1,0)</f>
        <v/>
      </c>
      <c r="O683">
        <f>IF(N683=1,M683&amp;"|"&amp;L683,REPT("z",40))</f>
        <v/>
      </c>
      <c r="P683">
        <f>IF(N683=1,COUNTIF($O$4:$O$2003,"&lt;"&amp;O683)+1,"")</f>
        <v/>
      </c>
      <c r="Q683">
        <f>IF(OR($R682="",$R682="T"),"",IF($R682="B",$Q682,IF($Q682+1&gt;$K$3,"",$Q682+1)))</f>
        <v/>
      </c>
      <c r="R683">
        <f>IF(OR($R682="",$R682="T"),"",IF($R682="B","S",IF($Q682+1&gt;$K$3,"T",IF(INDEX($M$4:$M$2003,MATCH($Q682+1,$P$4:$P$2003,0))&lt;&gt;INDEX($M$4:$M$2003,MATCH($Q682,$P$4:$P$2003,0)),"B","S"))))</f>
        <v/>
      </c>
      <c r="S683">
        <f>IF(Q683="","",IFERROR(MATCH(Q683,$P$4:$P$2003,0),""))</f>
        <v/>
      </c>
    </row>
    <row r="684">
      <c r="A684" s="4">
        <f>IF($R684="","",IF($R684="T","Gesamtergebnis",IF($R684="B",INDEX($M$4:$M$2003,$S684),INDEX($L$4:$L$2003,$S684))))</f>
        <v/>
      </c>
      <c r="B684" s="4">
        <f>IF($R684="","",IF($R684="T",$K$3,IF($R684="B",COUNTIFS($M$4:$M$2003,INDEX($M$4:$M$2003,$S684),$N$4:$N$2003,1),1)))</f>
        <v/>
      </c>
      <c r="L684">
        <f>IF($K$1="","",IFERROR(INDEX(Lines!$A:$AA,ROW()-2,$K$1),""))</f>
        <v/>
      </c>
      <c r="M684">
        <f>IF($K$2="","",IFERROR(INDEX(Lines!$A:$AA,ROW()-2,$K$2),""))</f>
        <v/>
      </c>
      <c r="N684">
        <f>IF(AND(L684&lt;&gt;"",LEFT(L684,1)="N",M684&lt;&gt;"PICKING",M684&lt;&gt;""),1,0)</f>
        <v/>
      </c>
      <c r="O684">
        <f>IF(N684=1,M684&amp;"|"&amp;L684,REPT("z",40))</f>
        <v/>
      </c>
      <c r="P684">
        <f>IF(N684=1,COUNTIF($O$4:$O$2003,"&lt;"&amp;O684)+1,"")</f>
        <v/>
      </c>
      <c r="Q684">
        <f>IF(OR($R683="",$R683="T"),"",IF($R683="B",$Q683,IF($Q683+1&gt;$K$3,"",$Q683+1)))</f>
        <v/>
      </c>
      <c r="R684">
        <f>IF(OR($R683="",$R683="T"),"",IF($R683="B","S",IF($Q683+1&gt;$K$3,"T",IF(INDEX($M$4:$M$2003,MATCH($Q683+1,$P$4:$P$2003,0))&lt;&gt;INDEX($M$4:$M$2003,MATCH($Q683,$P$4:$P$2003,0)),"B","S"))))</f>
        <v/>
      </c>
      <c r="S684">
        <f>IF(Q684="","",IFERROR(MATCH(Q684,$P$4:$P$2003,0),""))</f>
        <v/>
      </c>
    </row>
    <row r="685">
      <c r="A685" s="4">
        <f>IF($R685="","",IF($R685="T","Gesamtergebnis",IF($R685="B",INDEX($M$4:$M$2003,$S685),INDEX($L$4:$L$2003,$S685))))</f>
        <v/>
      </c>
      <c r="B685" s="4">
        <f>IF($R685="","",IF($R685="T",$K$3,IF($R685="B",COUNTIFS($M$4:$M$2003,INDEX($M$4:$M$2003,$S685),$N$4:$N$2003,1),1)))</f>
        <v/>
      </c>
      <c r="L685">
        <f>IF($K$1="","",IFERROR(INDEX(Lines!$A:$AA,ROW()-2,$K$1),""))</f>
        <v/>
      </c>
      <c r="M685">
        <f>IF($K$2="","",IFERROR(INDEX(Lines!$A:$AA,ROW()-2,$K$2),""))</f>
        <v/>
      </c>
      <c r="N685">
        <f>IF(AND(L685&lt;&gt;"",LEFT(L685,1)="N",M685&lt;&gt;"PICKING",M685&lt;&gt;""),1,0)</f>
        <v/>
      </c>
      <c r="O685">
        <f>IF(N685=1,M685&amp;"|"&amp;L685,REPT("z",40))</f>
        <v/>
      </c>
      <c r="P685">
        <f>IF(N685=1,COUNTIF($O$4:$O$2003,"&lt;"&amp;O685)+1,"")</f>
        <v/>
      </c>
      <c r="Q685">
        <f>IF(OR($R684="",$R684="T"),"",IF($R684="B",$Q684,IF($Q684+1&gt;$K$3,"",$Q684+1)))</f>
        <v/>
      </c>
      <c r="R685">
        <f>IF(OR($R684="",$R684="T"),"",IF($R684="B","S",IF($Q684+1&gt;$K$3,"T",IF(INDEX($M$4:$M$2003,MATCH($Q684+1,$P$4:$P$2003,0))&lt;&gt;INDEX($M$4:$M$2003,MATCH($Q684,$P$4:$P$2003,0)),"B","S"))))</f>
        <v/>
      </c>
      <c r="S685">
        <f>IF(Q685="","",IFERROR(MATCH(Q685,$P$4:$P$2003,0),""))</f>
        <v/>
      </c>
    </row>
    <row r="686">
      <c r="A686" s="4">
        <f>IF($R686="","",IF($R686="T","Gesamtergebnis",IF($R686="B",INDEX($M$4:$M$2003,$S686),INDEX($L$4:$L$2003,$S686))))</f>
        <v/>
      </c>
      <c r="B686" s="4">
        <f>IF($R686="","",IF($R686="T",$K$3,IF($R686="B",COUNTIFS($M$4:$M$2003,INDEX($M$4:$M$2003,$S686),$N$4:$N$2003,1),1)))</f>
        <v/>
      </c>
      <c r="L686">
        <f>IF($K$1="","",IFERROR(INDEX(Lines!$A:$AA,ROW()-2,$K$1),""))</f>
        <v/>
      </c>
      <c r="M686">
        <f>IF($K$2="","",IFERROR(INDEX(Lines!$A:$AA,ROW()-2,$K$2),""))</f>
        <v/>
      </c>
      <c r="N686">
        <f>IF(AND(L686&lt;&gt;"",LEFT(L686,1)="N",M686&lt;&gt;"PICKING",M686&lt;&gt;""),1,0)</f>
        <v/>
      </c>
      <c r="O686">
        <f>IF(N686=1,M686&amp;"|"&amp;L686,REPT("z",40))</f>
        <v/>
      </c>
      <c r="P686">
        <f>IF(N686=1,COUNTIF($O$4:$O$2003,"&lt;"&amp;O686)+1,"")</f>
        <v/>
      </c>
      <c r="Q686">
        <f>IF(OR($R685="",$R685="T"),"",IF($R685="B",$Q685,IF($Q685+1&gt;$K$3,"",$Q685+1)))</f>
        <v/>
      </c>
      <c r="R686">
        <f>IF(OR($R685="",$R685="T"),"",IF($R685="B","S",IF($Q685+1&gt;$K$3,"T",IF(INDEX($M$4:$M$2003,MATCH($Q685+1,$P$4:$P$2003,0))&lt;&gt;INDEX($M$4:$M$2003,MATCH($Q685,$P$4:$P$2003,0)),"B","S"))))</f>
        <v/>
      </c>
      <c r="S686">
        <f>IF(Q686="","",IFERROR(MATCH(Q686,$P$4:$P$2003,0),""))</f>
        <v/>
      </c>
    </row>
    <row r="687">
      <c r="A687" s="4">
        <f>IF($R687="","",IF($R687="T","Gesamtergebnis",IF($R687="B",INDEX($M$4:$M$2003,$S687),INDEX($L$4:$L$2003,$S687))))</f>
        <v/>
      </c>
      <c r="B687" s="4">
        <f>IF($R687="","",IF($R687="T",$K$3,IF($R687="B",COUNTIFS($M$4:$M$2003,INDEX($M$4:$M$2003,$S687),$N$4:$N$2003,1),1)))</f>
        <v/>
      </c>
      <c r="L687">
        <f>IF($K$1="","",IFERROR(INDEX(Lines!$A:$AA,ROW()-2,$K$1),""))</f>
        <v/>
      </c>
      <c r="M687">
        <f>IF($K$2="","",IFERROR(INDEX(Lines!$A:$AA,ROW()-2,$K$2),""))</f>
        <v/>
      </c>
      <c r="N687">
        <f>IF(AND(L687&lt;&gt;"",LEFT(L687,1)="N",M687&lt;&gt;"PICKING",M687&lt;&gt;""),1,0)</f>
        <v/>
      </c>
      <c r="O687">
        <f>IF(N687=1,M687&amp;"|"&amp;L687,REPT("z",40))</f>
        <v/>
      </c>
      <c r="P687">
        <f>IF(N687=1,COUNTIF($O$4:$O$2003,"&lt;"&amp;O687)+1,"")</f>
        <v/>
      </c>
      <c r="Q687">
        <f>IF(OR($R686="",$R686="T"),"",IF($R686="B",$Q686,IF($Q686+1&gt;$K$3,"",$Q686+1)))</f>
        <v/>
      </c>
      <c r="R687">
        <f>IF(OR($R686="",$R686="T"),"",IF($R686="B","S",IF($Q686+1&gt;$K$3,"T",IF(INDEX($M$4:$M$2003,MATCH($Q686+1,$P$4:$P$2003,0))&lt;&gt;INDEX($M$4:$M$2003,MATCH($Q686,$P$4:$P$2003,0)),"B","S"))))</f>
        <v/>
      </c>
      <c r="S687">
        <f>IF(Q687="","",IFERROR(MATCH(Q687,$P$4:$P$2003,0),""))</f>
        <v/>
      </c>
    </row>
    <row r="688">
      <c r="A688" s="4">
        <f>IF($R688="","",IF($R688="T","Gesamtergebnis",IF($R688="B",INDEX($M$4:$M$2003,$S688),INDEX($L$4:$L$2003,$S688))))</f>
        <v/>
      </c>
      <c r="B688" s="4">
        <f>IF($R688="","",IF($R688="T",$K$3,IF($R688="B",COUNTIFS($M$4:$M$2003,INDEX($M$4:$M$2003,$S688),$N$4:$N$2003,1),1)))</f>
        <v/>
      </c>
      <c r="L688">
        <f>IF($K$1="","",IFERROR(INDEX(Lines!$A:$AA,ROW()-2,$K$1),""))</f>
        <v/>
      </c>
      <c r="M688">
        <f>IF($K$2="","",IFERROR(INDEX(Lines!$A:$AA,ROW()-2,$K$2),""))</f>
        <v/>
      </c>
      <c r="N688">
        <f>IF(AND(L688&lt;&gt;"",LEFT(L688,1)="N",M688&lt;&gt;"PICKING",M688&lt;&gt;""),1,0)</f>
        <v/>
      </c>
      <c r="O688">
        <f>IF(N688=1,M688&amp;"|"&amp;L688,REPT("z",40))</f>
        <v/>
      </c>
      <c r="P688">
        <f>IF(N688=1,COUNTIF($O$4:$O$2003,"&lt;"&amp;O688)+1,"")</f>
        <v/>
      </c>
      <c r="Q688">
        <f>IF(OR($R687="",$R687="T"),"",IF($R687="B",$Q687,IF($Q687+1&gt;$K$3,"",$Q687+1)))</f>
        <v/>
      </c>
      <c r="R688">
        <f>IF(OR($R687="",$R687="T"),"",IF($R687="B","S",IF($Q687+1&gt;$K$3,"T",IF(INDEX($M$4:$M$2003,MATCH($Q687+1,$P$4:$P$2003,0))&lt;&gt;INDEX($M$4:$M$2003,MATCH($Q687,$P$4:$P$2003,0)),"B","S"))))</f>
        <v/>
      </c>
      <c r="S688">
        <f>IF(Q688="","",IFERROR(MATCH(Q688,$P$4:$P$2003,0),""))</f>
        <v/>
      </c>
    </row>
    <row r="689">
      <c r="A689" s="4">
        <f>IF($R689="","",IF($R689="T","Gesamtergebnis",IF($R689="B",INDEX($M$4:$M$2003,$S689),INDEX($L$4:$L$2003,$S689))))</f>
        <v/>
      </c>
      <c r="B689" s="4">
        <f>IF($R689="","",IF($R689="T",$K$3,IF($R689="B",COUNTIFS($M$4:$M$2003,INDEX($M$4:$M$2003,$S689),$N$4:$N$2003,1),1)))</f>
        <v/>
      </c>
      <c r="L689">
        <f>IF($K$1="","",IFERROR(INDEX(Lines!$A:$AA,ROW()-2,$K$1),""))</f>
        <v/>
      </c>
      <c r="M689">
        <f>IF($K$2="","",IFERROR(INDEX(Lines!$A:$AA,ROW()-2,$K$2),""))</f>
        <v/>
      </c>
      <c r="N689">
        <f>IF(AND(L689&lt;&gt;"",LEFT(L689,1)="N",M689&lt;&gt;"PICKING",M689&lt;&gt;""),1,0)</f>
        <v/>
      </c>
      <c r="O689">
        <f>IF(N689=1,M689&amp;"|"&amp;L689,REPT("z",40))</f>
        <v/>
      </c>
      <c r="P689">
        <f>IF(N689=1,COUNTIF($O$4:$O$2003,"&lt;"&amp;O689)+1,"")</f>
        <v/>
      </c>
      <c r="Q689">
        <f>IF(OR($R688="",$R688="T"),"",IF($R688="B",$Q688,IF($Q688+1&gt;$K$3,"",$Q688+1)))</f>
        <v/>
      </c>
      <c r="R689">
        <f>IF(OR($R688="",$R688="T"),"",IF($R688="B","S",IF($Q688+1&gt;$K$3,"T",IF(INDEX($M$4:$M$2003,MATCH($Q688+1,$P$4:$P$2003,0))&lt;&gt;INDEX($M$4:$M$2003,MATCH($Q688,$P$4:$P$2003,0)),"B","S"))))</f>
        <v/>
      </c>
      <c r="S689">
        <f>IF(Q689="","",IFERROR(MATCH(Q689,$P$4:$P$2003,0),""))</f>
        <v/>
      </c>
    </row>
    <row r="690">
      <c r="A690" s="4">
        <f>IF($R690="","",IF($R690="T","Gesamtergebnis",IF($R690="B",INDEX($M$4:$M$2003,$S690),INDEX($L$4:$L$2003,$S690))))</f>
        <v/>
      </c>
      <c r="B690" s="4">
        <f>IF($R690="","",IF($R690="T",$K$3,IF($R690="B",COUNTIFS($M$4:$M$2003,INDEX($M$4:$M$2003,$S690),$N$4:$N$2003,1),1)))</f>
        <v/>
      </c>
      <c r="L690">
        <f>IF($K$1="","",IFERROR(INDEX(Lines!$A:$AA,ROW()-2,$K$1),""))</f>
        <v/>
      </c>
      <c r="M690">
        <f>IF($K$2="","",IFERROR(INDEX(Lines!$A:$AA,ROW()-2,$K$2),""))</f>
        <v/>
      </c>
      <c r="N690">
        <f>IF(AND(L690&lt;&gt;"",LEFT(L690,1)="N",M690&lt;&gt;"PICKING",M690&lt;&gt;""),1,0)</f>
        <v/>
      </c>
      <c r="O690">
        <f>IF(N690=1,M690&amp;"|"&amp;L690,REPT("z",40))</f>
        <v/>
      </c>
      <c r="P690">
        <f>IF(N690=1,COUNTIF($O$4:$O$2003,"&lt;"&amp;O690)+1,"")</f>
        <v/>
      </c>
      <c r="Q690">
        <f>IF(OR($R689="",$R689="T"),"",IF($R689="B",$Q689,IF($Q689+1&gt;$K$3,"",$Q689+1)))</f>
        <v/>
      </c>
      <c r="R690">
        <f>IF(OR($R689="",$R689="T"),"",IF($R689="B","S",IF($Q689+1&gt;$K$3,"T",IF(INDEX($M$4:$M$2003,MATCH($Q689+1,$P$4:$P$2003,0))&lt;&gt;INDEX($M$4:$M$2003,MATCH($Q689,$P$4:$P$2003,0)),"B","S"))))</f>
        <v/>
      </c>
      <c r="S690">
        <f>IF(Q690="","",IFERROR(MATCH(Q690,$P$4:$P$2003,0),""))</f>
        <v/>
      </c>
    </row>
    <row r="691">
      <c r="A691" s="4">
        <f>IF($R691="","",IF($R691="T","Gesamtergebnis",IF($R691="B",INDEX($M$4:$M$2003,$S691),INDEX($L$4:$L$2003,$S691))))</f>
        <v/>
      </c>
      <c r="B691" s="4">
        <f>IF($R691="","",IF($R691="T",$K$3,IF($R691="B",COUNTIFS($M$4:$M$2003,INDEX($M$4:$M$2003,$S691),$N$4:$N$2003,1),1)))</f>
        <v/>
      </c>
      <c r="L691">
        <f>IF($K$1="","",IFERROR(INDEX(Lines!$A:$AA,ROW()-2,$K$1),""))</f>
        <v/>
      </c>
      <c r="M691">
        <f>IF($K$2="","",IFERROR(INDEX(Lines!$A:$AA,ROW()-2,$K$2),""))</f>
        <v/>
      </c>
      <c r="N691">
        <f>IF(AND(L691&lt;&gt;"",LEFT(L691,1)="N",M691&lt;&gt;"PICKING",M691&lt;&gt;""),1,0)</f>
        <v/>
      </c>
      <c r="O691">
        <f>IF(N691=1,M691&amp;"|"&amp;L691,REPT("z",40))</f>
        <v/>
      </c>
      <c r="P691">
        <f>IF(N691=1,COUNTIF($O$4:$O$2003,"&lt;"&amp;O691)+1,"")</f>
        <v/>
      </c>
      <c r="Q691">
        <f>IF(OR($R690="",$R690="T"),"",IF($R690="B",$Q690,IF($Q690+1&gt;$K$3,"",$Q690+1)))</f>
        <v/>
      </c>
      <c r="R691">
        <f>IF(OR($R690="",$R690="T"),"",IF($R690="B","S",IF($Q690+1&gt;$K$3,"T",IF(INDEX($M$4:$M$2003,MATCH($Q690+1,$P$4:$P$2003,0))&lt;&gt;INDEX($M$4:$M$2003,MATCH($Q690,$P$4:$P$2003,0)),"B","S"))))</f>
        <v/>
      </c>
      <c r="S691">
        <f>IF(Q691="","",IFERROR(MATCH(Q691,$P$4:$P$2003,0),""))</f>
        <v/>
      </c>
    </row>
    <row r="692">
      <c r="A692" s="4">
        <f>IF($R692="","",IF($R692="T","Gesamtergebnis",IF($R692="B",INDEX($M$4:$M$2003,$S692),INDEX($L$4:$L$2003,$S692))))</f>
        <v/>
      </c>
      <c r="B692" s="4">
        <f>IF($R692="","",IF($R692="T",$K$3,IF($R692="B",COUNTIFS($M$4:$M$2003,INDEX($M$4:$M$2003,$S692),$N$4:$N$2003,1),1)))</f>
        <v/>
      </c>
      <c r="L692">
        <f>IF($K$1="","",IFERROR(INDEX(Lines!$A:$AA,ROW()-2,$K$1),""))</f>
        <v/>
      </c>
      <c r="M692">
        <f>IF($K$2="","",IFERROR(INDEX(Lines!$A:$AA,ROW()-2,$K$2),""))</f>
        <v/>
      </c>
      <c r="N692">
        <f>IF(AND(L692&lt;&gt;"",LEFT(L692,1)="N",M692&lt;&gt;"PICKING",M692&lt;&gt;""),1,0)</f>
        <v/>
      </c>
      <c r="O692">
        <f>IF(N692=1,M692&amp;"|"&amp;L692,REPT("z",40))</f>
        <v/>
      </c>
      <c r="P692">
        <f>IF(N692=1,COUNTIF($O$4:$O$2003,"&lt;"&amp;O692)+1,"")</f>
        <v/>
      </c>
      <c r="Q692">
        <f>IF(OR($R691="",$R691="T"),"",IF($R691="B",$Q691,IF($Q691+1&gt;$K$3,"",$Q691+1)))</f>
        <v/>
      </c>
      <c r="R692">
        <f>IF(OR($R691="",$R691="T"),"",IF($R691="B","S",IF($Q691+1&gt;$K$3,"T",IF(INDEX($M$4:$M$2003,MATCH($Q691+1,$P$4:$P$2003,0))&lt;&gt;INDEX($M$4:$M$2003,MATCH($Q691,$P$4:$P$2003,0)),"B","S"))))</f>
        <v/>
      </c>
      <c r="S692">
        <f>IF(Q692="","",IFERROR(MATCH(Q692,$P$4:$P$2003,0),""))</f>
        <v/>
      </c>
    </row>
    <row r="693">
      <c r="A693" s="4">
        <f>IF($R693="","",IF($R693="T","Gesamtergebnis",IF($R693="B",INDEX($M$4:$M$2003,$S693),INDEX($L$4:$L$2003,$S693))))</f>
        <v/>
      </c>
      <c r="B693" s="4">
        <f>IF($R693="","",IF($R693="T",$K$3,IF($R693="B",COUNTIFS($M$4:$M$2003,INDEX($M$4:$M$2003,$S693),$N$4:$N$2003,1),1)))</f>
        <v/>
      </c>
      <c r="L693">
        <f>IF($K$1="","",IFERROR(INDEX(Lines!$A:$AA,ROW()-2,$K$1),""))</f>
        <v/>
      </c>
      <c r="M693">
        <f>IF($K$2="","",IFERROR(INDEX(Lines!$A:$AA,ROW()-2,$K$2),""))</f>
        <v/>
      </c>
      <c r="N693">
        <f>IF(AND(L693&lt;&gt;"",LEFT(L693,1)="N",M693&lt;&gt;"PICKING",M693&lt;&gt;""),1,0)</f>
        <v/>
      </c>
      <c r="O693">
        <f>IF(N693=1,M693&amp;"|"&amp;L693,REPT("z",40))</f>
        <v/>
      </c>
      <c r="P693">
        <f>IF(N693=1,COUNTIF($O$4:$O$2003,"&lt;"&amp;O693)+1,"")</f>
        <v/>
      </c>
      <c r="Q693">
        <f>IF(OR($R692="",$R692="T"),"",IF($R692="B",$Q692,IF($Q692+1&gt;$K$3,"",$Q692+1)))</f>
        <v/>
      </c>
      <c r="R693">
        <f>IF(OR($R692="",$R692="T"),"",IF($R692="B","S",IF($Q692+1&gt;$K$3,"T",IF(INDEX($M$4:$M$2003,MATCH($Q692+1,$P$4:$P$2003,0))&lt;&gt;INDEX($M$4:$M$2003,MATCH($Q692,$P$4:$P$2003,0)),"B","S"))))</f>
        <v/>
      </c>
      <c r="S693">
        <f>IF(Q693="","",IFERROR(MATCH(Q693,$P$4:$P$2003,0),""))</f>
        <v/>
      </c>
    </row>
    <row r="694">
      <c r="A694" s="4">
        <f>IF($R694="","",IF($R694="T","Gesamtergebnis",IF($R694="B",INDEX($M$4:$M$2003,$S694),INDEX($L$4:$L$2003,$S694))))</f>
        <v/>
      </c>
      <c r="B694" s="4">
        <f>IF($R694="","",IF($R694="T",$K$3,IF($R694="B",COUNTIFS($M$4:$M$2003,INDEX($M$4:$M$2003,$S694),$N$4:$N$2003,1),1)))</f>
        <v/>
      </c>
      <c r="L694">
        <f>IF($K$1="","",IFERROR(INDEX(Lines!$A:$AA,ROW()-2,$K$1),""))</f>
        <v/>
      </c>
      <c r="M694">
        <f>IF($K$2="","",IFERROR(INDEX(Lines!$A:$AA,ROW()-2,$K$2),""))</f>
        <v/>
      </c>
      <c r="N694">
        <f>IF(AND(L694&lt;&gt;"",LEFT(L694,1)="N",M694&lt;&gt;"PICKING",M694&lt;&gt;""),1,0)</f>
        <v/>
      </c>
      <c r="O694">
        <f>IF(N694=1,M694&amp;"|"&amp;L694,REPT("z",40))</f>
        <v/>
      </c>
      <c r="P694">
        <f>IF(N694=1,COUNTIF($O$4:$O$2003,"&lt;"&amp;O694)+1,"")</f>
        <v/>
      </c>
      <c r="Q694">
        <f>IF(OR($R693="",$R693="T"),"",IF($R693="B",$Q693,IF($Q693+1&gt;$K$3,"",$Q693+1)))</f>
        <v/>
      </c>
      <c r="R694">
        <f>IF(OR($R693="",$R693="T"),"",IF($R693="B","S",IF($Q693+1&gt;$K$3,"T",IF(INDEX($M$4:$M$2003,MATCH($Q693+1,$P$4:$P$2003,0))&lt;&gt;INDEX($M$4:$M$2003,MATCH($Q693,$P$4:$P$2003,0)),"B","S"))))</f>
        <v/>
      </c>
      <c r="S694">
        <f>IF(Q694="","",IFERROR(MATCH(Q694,$P$4:$P$2003,0),""))</f>
        <v/>
      </c>
    </row>
    <row r="695">
      <c r="A695" s="4">
        <f>IF($R695="","",IF($R695="T","Gesamtergebnis",IF($R695="B",INDEX($M$4:$M$2003,$S695),INDEX($L$4:$L$2003,$S695))))</f>
        <v/>
      </c>
      <c r="B695" s="4">
        <f>IF($R695="","",IF($R695="T",$K$3,IF($R695="B",COUNTIFS($M$4:$M$2003,INDEX($M$4:$M$2003,$S695),$N$4:$N$2003,1),1)))</f>
        <v/>
      </c>
      <c r="L695">
        <f>IF($K$1="","",IFERROR(INDEX(Lines!$A:$AA,ROW()-2,$K$1),""))</f>
        <v/>
      </c>
      <c r="M695">
        <f>IF($K$2="","",IFERROR(INDEX(Lines!$A:$AA,ROW()-2,$K$2),""))</f>
        <v/>
      </c>
      <c r="N695">
        <f>IF(AND(L695&lt;&gt;"",LEFT(L695,1)="N",M695&lt;&gt;"PICKING",M695&lt;&gt;""),1,0)</f>
        <v/>
      </c>
      <c r="O695">
        <f>IF(N695=1,M695&amp;"|"&amp;L695,REPT("z",40))</f>
        <v/>
      </c>
      <c r="P695">
        <f>IF(N695=1,COUNTIF($O$4:$O$2003,"&lt;"&amp;O695)+1,"")</f>
        <v/>
      </c>
      <c r="Q695">
        <f>IF(OR($R694="",$R694="T"),"",IF($R694="B",$Q694,IF($Q694+1&gt;$K$3,"",$Q694+1)))</f>
        <v/>
      </c>
      <c r="R695">
        <f>IF(OR($R694="",$R694="T"),"",IF($R694="B","S",IF($Q694+1&gt;$K$3,"T",IF(INDEX($M$4:$M$2003,MATCH($Q694+1,$P$4:$P$2003,0))&lt;&gt;INDEX($M$4:$M$2003,MATCH($Q694,$P$4:$P$2003,0)),"B","S"))))</f>
        <v/>
      </c>
      <c r="S695">
        <f>IF(Q695="","",IFERROR(MATCH(Q695,$P$4:$P$2003,0),""))</f>
        <v/>
      </c>
    </row>
    <row r="696">
      <c r="A696" s="4">
        <f>IF($R696="","",IF($R696="T","Gesamtergebnis",IF($R696="B",INDEX($M$4:$M$2003,$S696),INDEX($L$4:$L$2003,$S696))))</f>
        <v/>
      </c>
      <c r="B696" s="4">
        <f>IF($R696="","",IF($R696="T",$K$3,IF($R696="B",COUNTIFS($M$4:$M$2003,INDEX($M$4:$M$2003,$S696),$N$4:$N$2003,1),1)))</f>
        <v/>
      </c>
      <c r="L696">
        <f>IF($K$1="","",IFERROR(INDEX(Lines!$A:$AA,ROW()-2,$K$1),""))</f>
        <v/>
      </c>
      <c r="M696">
        <f>IF($K$2="","",IFERROR(INDEX(Lines!$A:$AA,ROW()-2,$K$2),""))</f>
        <v/>
      </c>
      <c r="N696">
        <f>IF(AND(L696&lt;&gt;"",LEFT(L696,1)="N",M696&lt;&gt;"PICKING",M696&lt;&gt;""),1,0)</f>
        <v/>
      </c>
      <c r="O696">
        <f>IF(N696=1,M696&amp;"|"&amp;L696,REPT("z",40))</f>
        <v/>
      </c>
      <c r="P696">
        <f>IF(N696=1,COUNTIF($O$4:$O$2003,"&lt;"&amp;O696)+1,"")</f>
        <v/>
      </c>
      <c r="Q696">
        <f>IF(OR($R695="",$R695="T"),"",IF($R695="B",$Q695,IF($Q695+1&gt;$K$3,"",$Q695+1)))</f>
        <v/>
      </c>
      <c r="R696">
        <f>IF(OR($R695="",$R695="T"),"",IF($R695="B","S",IF($Q695+1&gt;$K$3,"T",IF(INDEX($M$4:$M$2003,MATCH($Q695+1,$P$4:$P$2003,0))&lt;&gt;INDEX($M$4:$M$2003,MATCH($Q695,$P$4:$P$2003,0)),"B","S"))))</f>
        <v/>
      </c>
      <c r="S696">
        <f>IF(Q696="","",IFERROR(MATCH(Q696,$P$4:$P$2003,0),""))</f>
        <v/>
      </c>
    </row>
    <row r="697">
      <c r="A697" s="4">
        <f>IF($R697="","",IF($R697="T","Gesamtergebnis",IF($R697="B",INDEX($M$4:$M$2003,$S697),INDEX($L$4:$L$2003,$S697))))</f>
        <v/>
      </c>
      <c r="B697" s="4">
        <f>IF($R697="","",IF($R697="T",$K$3,IF($R697="B",COUNTIFS($M$4:$M$2003,INDEX($M$4:$M$2003,$S697),$N$4:$N$2003,1),1)))</f>
        <v/>
      </c>
      <c r="L697">
        <f>IF($K$1="","",IFERROR(INDEX(Lines!$A:$AA,ROW()-2,$K$1),""))</f>
        <v/>
      </c>
      <c r="M697">
        <f>IF($K$2="","",IFERROR(INDEX(Lines!$A:$AA,ROW()-2,$K$2),""))</f>
        <v/>
      </c>
      <c r="N697">
        <f>IF(AND(L697&lt;&gt;"",LEFT(L697,1)="N",M697&lt;&gt;"PICKING",M697&lt;&gt;""),1,0)</f>
        <v/>
      </c>
      <c r="O697">
        <f>IF(N697=1,M697&amp;"|"&amp;L697,REPT("z",40))</f>
        <v/>
      </c>
      <c r="P697">
        <f>IF(N697=1,COUNTIF($O$4:$O$2003,"&lt;"&amp;O697)+1,"")</f>
        <v/>
      </c>
      <c r="Q697">
        <f>IF(OR($R696="",$R696="T"),"",IF($R696="B",$Q696,IF($Q696+1&gt;$K$3,"",$Q696+1)))</f>
        <v/>
      </c>
      <c r="R697">
        <f>IF(OR($R696="",$R696="T"),"",IF($R696="B","S",IF($Q696+1&gt;$K$3,"T",IF(INDEX($M$4:$M$2003,MATCH($Q696+1,$P$4:$P$2003,0))&lt;&gt;INDEX($M$4:$M$2003,MATCH($Q696,$P$4:$P$2003,0)),"B","S"))))</f>
        <v/>
      </c>
      <c r="S697">
        <f>IF(Q697="","",IFERROR(MATCH(Q697,$P$4:$P$2003,0),""))</f>
        <v/>
      </c>
    </row>
    <row r="698">
      <c r="A698" s="4">
        <f>IF($R698="","",IF($R698="T","Gesamtergebnis",IF($R698="B",INDEX($M$4:$M$2003,$S698),INDEX($L$4:$L$2003,$S698))))</f>
        <v/>
      </c>
      <c r="B698" s="4">
        <f>IF($R698="","",IF($R698="T",$K$3,IF($R698="B",COUNTIFS($M$4:$M$2003,INDEX($M$4:$M$2003,$S698),$N$4:$N$2003,1),1)))</f>
        <v/>
      </c>
      <c r="L698">
        <f>IF($K$1="","",IFERROR(INDEX(Lines!$A:$AA,ROW()-2,$K$1),""))</f>
        <v/>
      </c>
      <c r="M698">
        <f>IF($K$2="","",IFERROR(INDEX(Lines!$A:$AA,ROW()-2,$K$2),""))</f>
        <v/>
      </c>
      <c r="N698">
        <f>IF(AND(L698&lt;&gt;"",LEFT(L698,1)="N",M698&lt;&gt;"PICKING",M698&lt;&gt;""),1,0)</f>
        <v/>
      </c>
      <c r="O698">
        <f>IF(N698=1,M698&amp;"|"&amp;L698,REPT("z",40))</f>
        <v/>
      </c>
      <c r="P698">
        <f>IF(N698=1,COUNTIF($O$4:$O$2003,"&lt;"&amp;O698)+1,"")</f>
        <v/>
      </c>
      <c r="Q698">
        <f>IF(OR($R697="",$R697="T"),"",IF($R697="B",$Q697,IF($Q697+1&gt;$K$3,"",$Q697+1)))</f>
        <v/>
      </c>
      <c r="R698">
        <f>IF(OR($R697="",$R697="T"),"",IF($R697="B","S",IF($Q697+1&gt;$K$3,"T",IF(INDEX($M$4:$M$2003,MATCH($Q697+1,$P$4:$P$2003,0))&lt;&gt;INDEX($M$4:$M$2003,MATCH($Q697,$P$4:$P$2003,0)),"B","S"))))</f>
        <v/>
      </c>
      <c r="S698">
        <f>IF(Q698="","",IFERROR(MATCH(Q698,$P$4:$P$2003,0),""))</f>
        <v/>
      </c>
    </row>
    <row r="699">
      <c r="A699" s="4">
        <f>IF($R699="","",IF($R699="T","Gesamtergebnis",IF($R699="B",INDEX($M$4:$M$2003,$S699),INDEX($L$4:$L$2003,$S699))))</f>
        <v/>
      </c>
      <c r="B699" s="4">
        <f>IF($R699="","",IF($R699="T",$K$3,IF($R699="B",COUNTIFS($M$4:$M$2003,INDEX($M$4:$M$2003,$S699),$N$4:$N$2003,1),1)))</f>
        <v/>
      </c>
      <c r="L699">
        <f>IF($K$1="","",IFERROR(INDEX(Lines!$A:$AA,ROW()-2,$K$1),""))</f>
        <v/>
      </c>
      <c r="M699">
        <f>IF($K$2="","",IFERROR(INDEX(Lines!$A:$AA,ROW()-2,$K$2),""))</f>
        <v/>
      </c>
      <c r="N699">
        <f>IF(AND(L699&lt;&gt;"",LEFT(L699,1)="N",M699&lt;&gt;"PICKING",M699&lt;&gt;""),1,0)</f>
        <v/>
      </c>
      <c r="O699">
        <f>IF(N699=1,M699&amp;"|"&amp;L699,REPT("z",40))</f>
        <v/>
      </c>
      <c r="P699">
        <f>IF(N699=1,COUNTIF($O$4:$O$2003,"&lt;"&amp;O699)+1,"")</f>
        <v/>
      </c>
      <c r="Q699">
        <f>IF(OR($R698="",$R698="T"),"",IF($R698="B",$Q698,IF($Q698+1&gt;$K$3,"",$Q698+1)))</f>
        <v/>
      </c>
      <c r="R699">
        <f>IF(OR($R698="",$R698="T"),"",IF($R698="B","S",IF($Q698+1&gt;$K$3,"T",IF(INDEX($M$4:$M$2003,MATCH($Q698+1,$P$4:$P$2003,0))&lt;&gt;INDEX($M$4:$M$2003,MATCH($Q698,$P$4:$P$2003,0)),"B","S"))))</f>
        <v/>
      </c>
      <c r="S699">
        <f>IF(Q699="","",IFERROR(MATCH(Q699,$P$4:$P$2003,0),""))</f>
        <v/>
      </c>
    </row>
    <row r="700">
      <c r="A700" s="4">
        <f>IF($R700="","",IF($R700="T","Gesamtergebnis",IF($R700="B",INDEX($M$4:$M$2003,$S700),INDEX($L$4:$L$2003,$S700))))</f>
        <v/>
      </c>
      <c r="B700" s="4">
        <f>IF($R700="","",IF($R700="T",$K$3,IF($R700="B",COUNTIFS($M$4:$M$2003,INDEX($M$4:$M$2003,$S700),$N$4:$N$2003,1),1)))</f>
        <v/>
      </c>
      <c r="L700">
        <f>IF($K$1="","",IFERROR(INDEX(Lines!$A:$AA,ROW()-2,$K$1),""))</f>
        <v/>
      </c>
      <c r="M700">
        <f>IF($K$2="","",IFERROR(INDEX(Lines!$A:$AA,ROW()-2,$K$2),""))</f>
        <v/>
      </c>
      <c r="N700">
        <f>IF(AND(L700&lt;&gt;"",LEFT(L700,1)="N",M700&lt;&gt;"PICKING",M700&lt;&gt;""),1,0)</f>
        <v/>
      </c>
      <c r="O700">
        <f>IF(N700=1,M700&amp;"|"&amp;L700,REPT("z",40))</f>
        <v/>
      </c>
      <c r="P700">
        <f>IF(N700=1,COUNTIF($O$4:$O$2003,"&lt;"&amp;O700)+1,"")</f>
        <v/>
      </c>
      <c r="Q700">
        <f>IF(OR($R699="",$R699="T"),"",IF($R699="B",$Q699,IF($Q699+1&gt;$K$3,"",$Q699+1)))</f>
        <v/>
      </c>
      <c r="R700">
        <f>IF(OR($R699="",$R699="T"),"",IF($R699="B","S",IF($Q699+1&gt;$K$3,"T",IF(INDEX($M$4:$M$2003,MATCH($Q699+1,$P$4:$P$2003,0))&lt;&gt;INDEX($M$4:$M$2003,MATCH($Q699,$P$4:$P$2003,0)),"B","S"))))</f>
        <v/>
      </c>
      <c r="S700">
        <f>IF(Q700="","",IFERROR(MATCH(Q700,$P$4:$P$2003,0),""))</f>
        <v/>
      </c>
    </row>
    <row r="701">
      <c r="A701" s="4">
        <f>IF($R701="","",IF($R701="T","Gesamtergebnis",IF($R701="B",INDEX($M$4:$M$2003,$S701),INDEX($L$4:$L$2003,$S701))))</f>
        <v/>
      </c>
      <c r="B701" s="4">
        <f>IF($R701="","",IF($R701="T",$K$3,IF($R701="B",COUNTIFS($M$4:$M$2003,INDEX($M$4:$M$2003,$S701),$N$4:$N$2003,1),1)))</f>
        <v/>
      </c>
      <c r="L701">
        <f>IF($K$1="","",IFERROR(INDEX(Lines!$A:$AA,ROW()-2,$K$1),""))</f>
        <v/>
      </c>
      <c r="M701">
        <f>IF($K$2="","",IFERROR(INDEX(Lines!$A:$AA,ROW()-2,$K$2),""))</f>
        <v/>
      </c>
      <c r="N701">
        <f>IF(AND(L701&lt;&gt;"",LEFT(L701,1)="N",M701&lt;&gt;"PICKING",M701&lt;&gt;""),1,0)</f>
        <v/>
      </c>
      <c r="O701">
        <f>IF(N701=1,M701&amp;"|"&amp;L701,REPT("z",40))</f>
        <v/>
      </c>
      <c r="P701">
        <f>IF(N701=1,COUNTIF($O$4:$O$2003,"&lt;"&amp;O701)+1,"")</f>
        <v/>
      </c>
      <c r="Q701">
        <f>IF(OR($R700="",$R700="T"),"",IF($R700="B",$Q700,IF($Q700+1&gt;$K$3,"",$Q700+1)))</f>
        <v/>
      </c>
      <c r="R701">
        <f>IF(OR($R700="",$R700="T"),"",IF($R700="B","S",IF($Q700+1&gt;$K$3,"T",IF(INDEX($M$4:$M$2003,MATCH($Q700+1,$P$4:$P$2003,0))&lt;&gt;INDEX($M$4:$M$2003,MATCH($Q700,$P$4:$P$2003,0)),"B","S"))))</f>
        <v/>
      </c>
      <c r="S701">
        <f>IF(Q701="","",IFERROR(MATCH(Q701,$P$4:$P$2003,0),""))</f>
        <v/>
      </c>
    </row>
    <row r="702">
      <c r="A702" s="4">
        <f>IF($R702="","",IF($R702="T","Gesamtergebnis",IF($R702="B",INDEX($M$4:$M$2003,$S702),INDEX($L$4:$L$2003,$S702))))</f>
        <v/>
      </c>
      <c r="B702" s="4">
        <f>IF($R702="","",IF($R702="T",$K$3,IF($R702="B",COUNTIFS($M$4:$M$2003,INDEX($M$4:$M$2003,$S702),$N$4:$N$2003,1),1)))</f>
        <v/>
      </c>
      <c r="L702">
        <f>IF($K$1="","",IFERROR(INDEX(Lines!$A:$AA,ROW()-2,$K$1),""))</f>
        <v/>
      </c>
      <c r="M702">
        <f>IF($K$2="","",IFERROR(INDEX(Lines!$A:$AA,ROW()-2,$K$2),""))</f>
        <v/>
      </c>
      <c r="N702">
        <f>IF(AND(L702&lt;&gt;"",LEFT(L702,1)="N",M702&lt;&gt;"PICKING",M702&lt;&gt;""),1,0)</f>
        <v/>
      </c>
      <c r="O702">
        <f>IF(N702=1,M702&amp;"|"&amp;L702,REPT("z",40))</f>
        <v/>
      </c>
      <c r="P702">
        <f>IF(N702=1,COUNTIF($O$4:$O$2003,"&lt;"&amp;O702)+1,"")</f>
        <v/>
      </c>
      <c r="Q702">
        <f>IF(OR($R701="",$R701="T"),"",IF($R701="B",$Q701,IF($Q701+1&gt;$K$3,"",$Q701+1)))</f>
        <v/>
      </c>
      <c r="R702">
        <f>IF(OR($R701="",$R701="T"),"",IF($R701="B","S",IF($Q701+1&gt;$K$3,"T",IF(INDEX($M$4:$M$2003,MATCH($Q701+1,$P$4:$P$2003,0))&lt;&gt;INDEX($M$4:$M$2003,MATCH($Q701,$P$4:$P$2003,0)),"B","S"))))</f>
        <v/>
      </c>
      <c r="S702">
        <f>IF(Q702="","",IFERROR(MATCH(Q702,$P$4:$P$2003,0),""))</f>
        <v/>
      </c>
    </row>
    <row r="703">
      <c r="A703" s="4">
        <f>IF($R703="","",IF($R703="T","Gesamtergebnis",IF($R703="B",INDEX($M$4:$M$2003,$S703),INDEX($L$4:$L$2003,$S703))))</f>
        <v/>
      </c>
      <c r="B703" s="4">
        <f>IF($R703="","",IF($R703="T",$K$3,IF($R703="B",COUNTIFS($M$4:$M$2003,INDEX($M$4:$M$2003,$S703),$N$4:$N$2003,1),1)))</f>
        <v/>
      </c>
      <c r="L703">
        <f>IF($K$1="","",IFERROR(INDEX(Lines!$A:$AA,ROW()-2,$K$1),""))</f>
        <v/>
      </c>
      <c r="M703">
        <f>IF($K$2="","",IFERROR(INDEX(Lines!$A:$AA,ROW()-2,$K$2),""))</f>
        <v/>
      </c>
      <c r="N703">
        <f>IF(AND(L703&lt;&gt;"",LEFT(L703,1)="N",M703&lt;&gt;"PICKING",M703&lt;&gt;""),1,0)</f>
        <v/>
      </c>
      <c r="O703">
        <f>IF(N703=1,M703&amp;"|"&amp;L703,REPT("z",40))</f>
        <v/>
      </c>
      <c r="P703">
        <f>IF(N703=1,COUNTIF($O$4:$O$2003,"&lt;"&amp;O703)+1,"")</f>
        <v/>
      </c>
      <c r="Q703">
        <f>IF(OR($R702="",$R702="T"),"",IF($R702="B",$Q702,IF($Q702+1&gt;$K$3,"",$Q702+1)))</f>
        <v/>
      </c>
      <c r="R703">
        <f>IF(OR($R702="",$R702="T"),"",IF($R702="B","S",IF($Q702+1&gt;$K$3,"T",IF(INDEX($M$4:$M$2003,MATCH($Q702+1,$P$4:$P$2003,0))&lt;&gt;INDEX($M$4:$M$2003,MATCH($Q702,$P$4:$P$2003,0)),"B","S"))))</f>
        <v/>
      </c>
      <c r="S703">
        <f>IF(Q703="","",IFERROR(MATCH(Q703,$P$4:$P$2003,0),""))</f>
        <v/>
      </c>
    </row>
    <row r="704">
      <c r="A704" s="4">
        <f>IF($R704="","",IF($R704="T","Gesamtergebnis",IF($R704="B",INDEX($M$4:$M$2003,$S704),INDEX($L$4:$L$2003,$S704))))</f>
        <v/>
      </c>
      <c r="B704" s="4">
        <f>IF($R704="","",IF($R704="T",$K$3,IF($R704="B",COUNTIFS($M$4:$M$2003,INDEX($M$4:$M$2003,$S704),$N$4:$N$2003,1),1)))</f>
        <v/>
      </c>
      <c r="L704">
        <f>IF($K$1="","",IFERROR(INDEX(Lines!$A:$AA,ROW()-2,$K$1),""))</f>
        <v/>
      </c>
      <c r="M704">
        <f>IF($K$2="","",IFERROR(INDEX(Lines!$A:$AA,ROW()-2,$K$2),""))</f>
        <v/>
      </c>
      <c r="N704">
        <f>IF(AND(L704&lt;&gt;"",LEFT(L704,1)="N",M704&lt;&gt;"PICKING",M704&lt;&gt;""),1,0)</f>
        <v/>
      </c>
      <c r="O704">
        <f>IF(N704=1,M704&amp;"|"&amp;L704,REPT("z",40))</f>
        <v/>
      </c>
      <c r="P704">
        <f>IF(N704=1,COUNTIF($O$4:$O$2003,"&lt;"&amp;O704)+1,"")</f>
        <v/>
      </c>
      <c r="Q704">
        <f>IF(OR($R703="",$R703="T"),"",IF($R703="B",$Q703,IF($Q703+1&gt;$K$3,"",$Q703+1)))</f>
        <v/>
      </c>
      <c r="R704">
        <f>IF(OR($R703="",$R703="T"),"",IF($R703="B","S",IF($Q703+1&gt;$K$3,"T",IF(INDEX($M$4:$M$2003,MATCH($Q703+1,$P$4:$P$2003,0))&lt;&gt;INDEX($M$4:$M$2003,MATCH($Q703,$P$4:$P$2003,0)),"B","S"))))</f>
        <v/>
      </c>
      <c r="S704">
        <f>IF(Q704="","",IFERROR(MATCH(Q704,$P$4:$P$2003,0),""))</f>
        <v/>
      </c>
    </row>
    <row r="705">
      <c r="A705" s="4">
        <f>IF($R705="","",IF($R705="T","Gesamtergebnis",IF($R705="B",INDEX($M$4:$M$2003,$S705),INDEX($L$4:$L$2003,$S705))))</f>
        <v/>
      </c>
      <c r="B705" s="4">
        <f>IF($R705="","",IF($R705="T",$K$3,IF($R705="B",COUNTIFS($M$4:$M$2003,INDEX($M$4:$M$2003,$S705),$N$4:$N$2003,1),1)))</f>
        <v/>
      </c>
      <c r="L705">
        <f>IF($K$1="","",IFERROR(INDEX(Lines!$A:$AA,ROW()-2,$K$1),""))</f>
        <v/>
      </c>
      <c r="M705">
        <f>IF($K$2="","",IFERROR(INDEX(Lines!$A:$AA,ROW()-2,$K$2),""))</f>
        <v/>
      </c>
      <c r="N705">
        <f>IF(AND(L705&lt;&gt;"",LEFT(L705,1)="N",M705&lt;&gt;"PICKING",M705&lt;&gt;""),1,0)</f>
        <v/>
      </c>
      <c r="O705">
        <f>IF(N705=1,M705&amp;"|"&amp;L705,REPT("z",40))</f>
        <v/>
      </c>
      <c r="P705">
        <f>IF(N705=1,COUNTIF($O$4:$O$2003,"&lt;"&amp;O705)+1,"")</f>
        <v/>
      </c>
      <c r="Q705">
        <f>IF(OR($R704="",$R704="T"),"",IF($R704="B",$Q704,IF($Q704+1&gt;$K$3,"",$Q704+1)))</f>
        <v/>
      </c>
      <c r="R705">
        <f>IF(OR($R704="",$R704="T"),"",IF($R704="B","S",IF($Q704+1&gt;$K$3,"T",IF(INDEX($M$4:$M$2003,MATCH($Q704+1,$P$4:$P$2003,0))&lt;&gt;INDEX($M$4:$M$2003,MATCH($Q704,$P$4:$P$2003,0)),"B","S"))))</f>
        <v/>
      </c>
      <c r="S705">
        <f>IF(Q705="","",IFERROR(MATCH(Q705,$P$4:$P$2003,0),""))</f>
        <v/>
      </c>
    </row>
    <row r="706">
      <c r="A706" s="4">
        <f>IF($R706="","",IF($R706="T","Gesamtergebnis",IF($R706="B",INDEX($M$4:$M$2003,$S706),INDEX($L$4:$L$2003,$S706))))</f>
        <v/>
      </c>
      <c r="B706" s="4">
        <f>IF($R706="","",IF($R706="T",$K$3,IF($R706="B",COUNTIFS($M$4:$M$2003,INDEX($M$4:$M$2003,$S706),$N$4:$N$2003,1),1)))</f>
        <v/>
      </c>
      <c r="L706">
        <f>IF($K$1="","",IFERROR(INDEX(Lines!$A:$AA,ROW()-2,$K$1),""))</f>
        <v/>
      </c>
      <c r="M706">
        <f>IF($K$2="","",IFERROR(INDEX(Lines!$A:$AA,ROW()-2,$K$2),""))</f>
        <v/>
      </c>
      <c r="N706">
        <f>IF(AND(L706&lt;&gt;"",LEFT(L706,1)="N",M706&lt;&gt;"PICKING",M706&lt;&gt;""),1,0)</f>
        <v/>
      </c>
      <c r="O706">
        <f>IF(N706=1,M706&amp;"|"&amp;L706,REPT("z",40))</f>
        <v/>
      </c>
      <c r="P706">
        <f>IF(N706=1,COUNTIF($O$4:$O$2003,"&lt;"&amp;O706)+1,"")</f>
        <v/>
      </c>
      <c r="Q706">
        <f>IF(OR($R705="",$R705="T"),"",IF($R705="B",$Q705,IF($Q705+1&gt;$K$3,"",$Q705+1)))</f>
        <v/>
      </c>
      <c r="R706">
        <f>IF(OR($R705="",$R705="T"),"",IF($R705="B","S",IF($Q705+1&gt;$K$3,"T",IF(INDEX($M$4:$M$2003,MATCH($Q705+1,$P$4:$P$2003,0))&lt;&gt;INDEX($M$4:$M$2003,MATCH($Q705,$P$4:$P$2003,0)),"B","S"))))</f>
        <v/>
      </c>
      <c r="S706">
        <f>IF(Q706="","",IFERROR(MATCH(Q706,$P$4:$P$2003,0),""))</f>
        <v/>
      </c>
    </row>
    <row r="707">
      <c r="A707" s="4">
        <f>IF($R707="","",IF($R707="T","Gesamtergebnis",IF($R707="B",INDEX($M$4:$M$2003,$S707),INDEX($L$4:$L$2003,$S707))))</f>
        <v/>
      </c>
      <c r="B707" s="4">
        <f>IF($R707="","",IF($R707="T",$K$3,IF($R707="B",COUNTIFS($M$4:$M$2003,INDEX($M$4:$M$2003,$S707),$N$4:$N$2003,1),1)))</f>
        <v/>
      </c>
      <c r="L707">
        <f>IF($K$1="","",IFERROR(INDEX(Lines!$A:$AA,ROW()-2,$K$1),""))</f>
        <v/>
      </c>
      <c r="M707">
        <f>IF($K$2="","",IFERROR(INDEX(Lines!$A:$AA,ROW()-2,$K$2),""))</f>
        <v/>
      </c>
      <c r="N707">
        <f>IF(AND(L707&lt;&gt;"",LEFT(L707,1)="N",M707&lt;&gt;"PICKING",M707&lt;&gt;""),1,0)</f>
        <v/>
      </c>
      <c r="O707">
        <f>IF(N707=1,M707&amp;"|"&amp;L707,REPT("z",40))</f>
        <v/>
      </c>
      <c r="P707">
        <f>IF(N707=1,COUNTIF($O$4:$O$2003,"&lt;"&amp;O707)+1,"")</f>
        <v/>
      </c>
      <c r="Q707">
        <f>IF(OR($R706="",$R706="T"),"",IF($R706="B",$Q706,IF($Q706+1&gt;$K$3,"",$Q706+1)))</f>
        <v/>
      </c>
      <c r="R707">
        <f>IF(OR($R706="",$R706="T"),"",IF($R706="B","S",IF($Q706+1&gt;$K$3,"T",IF(INDEX($M$4:$M$2003,MATCH($Q706+1,$P$4:$P$2003,0))&lt;&gt;INDEX($M$4:$M$2003,MATCH($Q706,$P$4:$P$2003,0)),"B","S"))))</f>
        <v/>
      </c>
      <c r="S707">
        <f>IF(Q707="","",IFERROR(MATCH(Q707,$P$4:$P$2003,0),""))</f>
        <v/>
      </c>
    </row>
    <row r="708">
      <c r="A708" s="4">
        <f>IF($R708="","",IF($R708="T","Gesamtergebnis",IF($R708="B",INDEX($M$4:$M$2003,$S708),INDEX($L$4:$L$2003,$S708))))</f>
        <v/>
      </c>
      <c r="B708" s="4">
        <f>IF($R708="","",IF($R708="T",$K$3,IF($R708="B",COUNTIFS($M$4:$M$2003,INDEX($M$4:$M$2003,$S708),$N$4:$N$2003,1),1)))</f>
        <v/>
      </c>
      <c r="L708">
        <f>IF($K$1="","",IFERROR(INDEX(Lines!$A:$AA,ROW()-2,$K$1),""))</f>
        <v/>
      </c>
      <c r="M708">
        <f>IF($K$2="","",IFERROR(INDEX(Lines!$A:$AA,ROW()-2,$K$2),""))</f>
        <v/>
      </c>
      <c r="N708">
        <f>IF(AND(L708&lt;&gt;"",LEFT(L708,1)="N",M708&lt;&gt;"PICKING",M708&lt;&gt;""),1,0)</f>
        <v/>
      </c>
      <c r="O708">
        <f>IF(N708=1,M708&amp;"|"&amp;L708,REPT("z",40))</f>
        <v/>
      </c>
      <c r="P708">
        <f>IF(N708=1,COUNTIF($O$4:$O$2003,"&lt;"&amp;O708)+1,"")</f>
        <v/>
      </c>
      <c r="Q708">
        <f>IF(OR($R707="",$R707="T"),"",IF($R707="B",$Q707,IF($Q707+1&gt;$K$3,"",$Q707+1)))</f>
        <v/>
      </c>
      <c r="R708">
        <f>IF(OR($R707="",$R707="T"),"",IF($R707="B","S",IF($Q707+1&gt;$K$3,"T",IF(INDEX($M$4:$M$2003,MATCH($Q707+1,$P$4:$P$2003,0))&lt;&gt;INDEX($M$4:$M$2003,MATCH($Q707,$P$4:$P$2003,0)),"B","S"))))</f>
        <v/>
      </c>
      <c r="S708">
        <f>IF(Q708="","",IFERROR(MATCH(Q708,$P$4:$P$2003,0),""))</f>
        <v/>
      </c>
    </row>
    <row r="709">
      <c r="A709" s="4">
        <f>IF($R709="","",IF($R709="T","Gesamtergebnis",IF($R709="B",INDEX($M$4:$M$2003,$S709),INDEX($L$4:$L$2003,$S709))))</f>
        <v/>
      </c>
      <c r="B709" s="4">
        <f>IF($R709="","",IF($R709="T",$K$3,IF($R709="B",COUNTIFS($M$4:$M$2003,INDEX($M$4:$M$2003,$S709),$N$4:$N$2003,1),1)))</f>
        <v/>
      </c>
      <c r="L709">
        <f>IF($K$1="","",IFERROR(INDEX(Lines!$A:$AA,ROW()-2,$K$1),""))</f>
        <v/>
      </c>
      <c r="M709">
        <f>IF($K$2="","",IFERROR(INDEX(Lines!$A:$AA,ROW()-2,$K$2),""))</f>
        <v/>
      </c>
      <c r="N709">
        <f>IF(AND(L709&lt;&gt;"",LEFT(L709,1)="N",M709&lt;&gt;"PICKING",M709&lt;&gt;""),1,0)</f>
        <v/>
      </c>
      <c r="O709">
        <f>IF(N709=1,M709&amp;"|"&amp;L709,REPT("z",40))</f>
        <v/>
      </c>
      <c r="P709">
        <f>IF(N709=1,COUNTIF($O$4:$O$2003,"&lt;"&amp;O709)+1,"")</f>
        <v/>
      </c>
      <c r="Q709">
        <f>IF(OR($R708="",$R708="T"),"",IF($R708="B",$Q708,IF($Q708+1&gt;$K$3,"",$Q708+1)))</f>
        <v/>
      </c>
      <c r="R709">
        <f>IF(OR($R708="",$R708="T"),"",IF($R708="B","S",IF($Q708+1&gt;$K$3,"T",IF(INDEX($M$4:$M$2003,MATCH($Q708+1,$P$4:$P$2003,0))&lt;&gt;INDEX($M$4:$M$2003,MATCH($Q708,$P$4:$P$2003,0)),"B","S"))))</f>
        <v/>
      </c>
      <c r="S709">
        <f>IF(Q709="","",IFERROR(MATCH(Q709,$P$4:$P$2003,0),""))</f>
        <v/>
      </c>
    </row>
    <row r="710">
      <c r="A710" s="4">
        <f>IF($R710="","",IF($R710="T","Gesamtergebnis",IF($R710="B",INDEX($M$4:$M$2003,$S710),INDEX($L$4:$L$2003,$S710))))</f>
        <v/>
      </c>
      <c r="B710" s="4">
        <f>IF($R710="","",IF($R710="T",$K$3,IF($R710="B",COUNTIFS($M$4:$M$2003,INDEX($M$4:$M$2003,$S710),$N$4:$N$2003,1),1)))</f>
        <v/>
      </c>
      <c r="L710">
        <f>IF($K$1="","",IFERROR(INDEX(Lines!$A:$AA,ROW()-2,$K$1),""))</f>
        <v/>
      </c>
      <c r="M710">
        <f>IF($K$2="","",IFERROR(INDEX(Lines!$A:$AA,ROW()-2,$K$2),""))</f>
        <v/>
      </c>
      <c r="N710">
        <f>IF(AND(L710&lt;&gt;"",LEFT(L710,1)="N",M710&lt;&gt;"PICKING",M710&lt;&gt;""),1,0)</f>
        <v/>
      </c>
      <c r="O710">
        <f>IF(N710=1,M710&amp;"|"&amp;L710,REPT("z",40))</f>
        <v/>
      </c>
      <c r="P710">
        <f>IF(N710=1,COUNTIF($O$4:$O$2003,"&lt;"&amp;O710)+1,"")</f>
        <v/>
      </c>
      <c r="Q710">
        <f>IF(OR($R709="",$R709="T"),"",IF($R709="B",$Q709,IF($Q709+1&gt;$K$3,"",$Q709+1)))</f>
        <v/>
      </c>
      <c r="R710">
        <f>IF(OR($R709="",$R709="T"),"",IF($R709="B","S",IF($Q709+1&gt;$K$3,"T",IF(INDEX($M$4:$M$2003,MATCH($Q709+1,$P$4:$P$2003,0))&lt;&gt;INDEX($M$4:$M$2003,MATCH($Q709,$P$4:$P$2003,0)),"B","S"))))</f>
        <v/>
      </c>
      <c r="S710">
        <f>IF(Q710="","",IFERROR(MATCH(Q710,$P$4:$P$2003,0),""))</f>
        <v/>
      </c>
    </row>
    <row r="711">
      <c r="A711" s="4">
        <f>IF($R711="","",IF($R711="T","Gesamtergebnis",IF($R711="B",INDEX($M$4:$M$2003,$S711),INDEX($L$4:$L$2003,$S711))))</f>
        <v/>
      </c>
      <c r="B711" s="4">
        <f>IF($R711="","",IF($R711="T",$K$3,IF($R711="B",COUNTIFS($M$4:$M$2003,INDEX($M$4:$M$2003,$S711),$N$4:$N$2003,1),1)))</f>
        <v/>
      </c>
      <c r="L711">
        <f>IF($K$1="","",IFERROR(INDEX(Lines!$A:$AA,ROW()-2,$K$1),""))</f>
        <v/>
      </c>
      <c r="M711">
        <f>IF($K$2="","",IFERROR(INDEX(Lines!$A:$AA,ROW()-2,$K$2),""))</f>
        <v/>
      </c>
      <c r="N711">
        <f>IF(AND(L711&lt;&gt;"",LEFT(L711,1)="N",M711&lt;&gt;"PICKING",M711&lt;&gt;""),1,0)</f>
        <v/>
      </c>
      <c r="O711">
        <f>IF(N711=1,M711&amp;"|"&amp;L711,REPT("z",40))</f>
        <v/>
      </c>
      <c r="P711">
        <f>IF(N711=1,COUNTIF($O$4:$O$2003,"&lt;"&amp;O711)+1,"")</f>
        <v/>
      </c>
      <c r="Q711">
        <f>IF(OR($R710="",$R710="T"),"",IF($R710="B",$Q710,IF($Q710+1&gt;$K$3,"",$Q710+1)))</f>
        <v/>
      </c>
      <c r="R711">
        <f>IF(OR($R710="",$R710="T"),"",IF($R710="B","S",IF($Q710+1&gt;$K$3,"T",IF(INDEX($M$4:$M$2003,MATCH($Q710+1,$P$4:$P$2003,0))&lt;&gt;INDEX($M$4:$M$2003,MATCH($Q710,$P$4:$P$2003,0)),"B","S"))))</f>
        <v/>
      </c>
      <c r="S711">
        <f>IF(Q711="","",IFERROR(MATCH(Q711,$P$4:$P$2003,0),""))</f>
        <v/>
      </c>
    </row>
    <row r="712">
      <c r="A712" s="4">
        <f>IF($R712="","",IF($R712="T","Gesamtergebnis",IF($R712="B",INDEX($M$4:$M$2003,$S712),INDEX($L$4:$L$2003,$S712))))</f>
        <v/>
      </c>
      <c r="B712" s="4">
        <f>IF($R712="","",IF($R712="T",$K$3,IF($R712="B",COUNTIFS($M$4:$M$2003,INDEX($M$4:$M$2003,$S712),$N$4:$N$2003,1),1)))</f>
        <v/>
      </c>
      <c r="L712">
        <f>IF($K$1="","",IFERROR(INDEX(Lines!$A:$AA,ROW()-2,$K$1),""))</f>
        <v/>
      </c>
      <c r="M712">
        <f>IF($K$2="","",IFERROR(INDEX(Lines!$A:$AA,ROW()-2,$K$2),""))</f>
        <v/>
      </c>
      <c r="N712">
        <f>IF(AND(L712&lt;&gt;"",LEFT(L712,1)="N",M712&lt;&gt;"PICKING",M712&lt;&gt;""),1,0)</f>
        <v/>
      </c>
      <c r="O712">
        <f>IF(N712=1,M712&amp;"|"&amp;L712,REPT("z",40))</f>
        <v/>
      </c>
      <c r="P712">
        <f>IF(N712=1,COUNTIF($O$4:$O$2003,"&lt;"&amp;O712)+1,"")</f>
        <v/>
      </c>
      <c r="Q712">
        <f>IF(OR($R711="",$R711="T"),"",IF($R711="B",$Q711,IF($Q711+1&gt;$K$3,"",$Q711+1)))</f>
        <v/>
      </c>
      <c r="R712">
        <f>IF(OR($R711="",$R711="T"),"",IF($R711="B","S",IF($Q711+1&gt;$K$3,"T",IF(INDEX($M$4:$M$2003,MATCH($Q711+1,$P$4:$P$2003,0))&lt;&gt;INDEX($M$4:$M$2003,MATCH($Q711,$P$4:$P$2003,0)),"B","S"))))</f>
        <v/>
      </c>
      <c r="S712">
        <f>IF(Q712="","",IFERROR(MATCH(Q712,$P$4:$P$2003,0),""))</f>
        <v/>
      </c>
    </row>
    <row r="713">
      <c r="A713" s="4">
        <f>IF($R713="","",IF($R713="T","Gesamtergebnis",IF($R713="B",INDEX($M$4:$M$2003,$S713),INDEX($L$4:$L$2003,$S713))))</f>
        <v/>
      </c>
      <c r="B713" s="4">
        <f>IF($R713="","",IF($R713="T",$K$3,IF($R713="B",COUNTIFS($M$4:$M$2003,INDEX($M$4:$M$2003,$S713),$N$4:$N$2003,1),1)))</f>
        <v/>
      </c>
      <c r="L713">
        <f>IF($K$1="","",IFERROR(INDEX(Lines!$A:$AA,ROW()-2,$K$1),""))</f>
        <v/>
      </c>
      <c r="M713">
        <f>IF($K$2="","",IFERROR(INDEX(Lines!$A:$AA,ROW()-2,$K$2),""))</f>
        <v/>
      </c>
      <c r="N713">
        <f>IF(AND(L713&lt;&gt;"",LEFT(L713,1)="N",M713&lt;&gt;"PICKING",M713&lt;&gt;""),1,0)</f>
        <v/>
      </c>
      <c r="O713">
        <f>IF(N713=1,M713&amp;"|"&amp;L713,REPT("z",40))</f>
        <v/>
      </c>
      <c r="P713">
        <f>IF(N713=1,COUNTIF($O$4:$O$2003,"&lt;"&amp;O713)+1,"")</f>
        <v/>
      </c>
      <c r="Q713">
        <f>IF(OR($R712="",$R712="T"),"",IF($R712="B",$Q712,IF($Q712+1&gt;$K$3,"",$Q712+1)))</f>
        <v/>
      </c>
      <c r="R713">
        <f>IF(OR($R712="",$R712="T"),"",IF($R712="B","S",IF($Q712+1&gt;$K$3,"T",IF(INDEX($M$4:$M$2003,MATCH($Q712+1,$P$4:$P$2003,0))&lt;&gt;INDEX($M$4:$M$2003,MATCH($Q712,$P$4:$P$2003,0)),"B","S"))))</f>
        <v/>
      </c>
      <c r="S713">
        <f>IF(Q713="","",IFERROR(MATCH(Q713,$P$4:$P$2003,0),""))</f>
        <v/>
      </c>
    </row>
    <row r="714">
      <c r="A714" s="4">
        <f>IF($R714="","",IF($R714="T","Gesamtergebnis",IF($R714="B",INDEX($M$4:$M$2003,$S714),INDEX($L$4:$L$2003,$S714))))</f>
        <v/>
      </c>
      <c r="B714" s="4">
        <f>IF($R714="","",IF($R714="T",$K$3,IF($R714="B",COUNTIFS($M$4:$M$2003,INDEX($M$4:$M$2003,$S714),$N$4:$N$2003,1),1)))</f>
        <v/>
      </c>
      <c r="L714">
        <f>IF($K$1="","",IFERROR(INDEX(Lines!$A:$AA,ROW()-2,$K$1),""))</f>
        <v/>
      </c>
      <c r="M714">
        <f>IF($K$2="","",IFERROR(INDEX(Lines!$A:$AA,ROW()-2,$K$2),""))</f>
        <v/>
      </c>
      <c r="N714">
        <f>IF(AND(L714&lt;&gt;"",LEFT(L714,1)="N",M714&lt;&gt;"PICKING",M714&lt;&gt;""),1,0)</f>
        <v/>
      </c>
      <c r="O714">
        <f>IF(N714=1,M714&amp;"|"&amp;L714,REPT("z",40))</f>
        <v/>
      </c>
      <c r="P714">
        <f>IF(N714=1,COUNTIF($O$4:$O$2003,"&lt;"&amp;O714)+1,"")</f>
        <v/>
      </c>
      <c r="Q714">
        <f>IF(OR($R713="",$R713="T"),"",IF($R713="B",$Q713,IF($Q713+1&gt;$K$3,"",$Q713+1)))</f>
        <v/>
      </c>
      <c r="R714">
        <f>IF(OR($R713="",$R713="T"),"",IF($R713="B","S",IF($Q713+1&gt;$K$3,"T",IF(INDEX($M$4:$M$2003,MATCH($Q713+1,$P$4:$P$2003,0))&lt;&gt;INDEX($M$4:$M$2003,MATCH($Q713,$P$4:$P$2003,0)),"B","S"))))</f>
        <v/>
      </c>
      <c r="S714">
        <f>IF(Q714="","",IFERROR(MATCH(Q714,$P$4:$P$2003,0),""))</f>
        <v/>
      </c>
    </row>
    <row r="715">
      <c r="A715" s="4">
        <f>IF($R715="","",IF($R715="T","Gesamtergebnis",IF($R715="B",INDEX($M$4:$M$2003,$S715),INDEX($L$4:$L$2003,$S715))))</f>
        <v/>
      </c>
      <c r="B715" s="4">
        <f>IF($R715="","",IF($R715="T",$K$3,IF($R715="B",COUNTIFS($M$4:$M$2003,INDEX($M$4:$M$2003,$S715),$N$4:$N$2003,1),1)))</f>
        <v/>
      </c>
      <c r="L715">
        <f>IF($K$1="","",IFERROR(INDEX(Lines!$A:$AA,ROW()-2,$K$1),""))</f>
        <v/>
      </c>
      <c r="M715">
        <f>IF($K$2="","",IFERROR(INDEX(Lines!$A:$AA,ROW()-2,$K$2),""))</f>
        <v/>
      </c>
      <c r="N715">
        <f>IF(AND(L715&lt;&gt;"",LEFT(L715,1)="N",M715&lt;&gt;"PICKING",M715&lt;&gt;""),1,0)</f>
        <v/>
      </c>
      <c r="O715">
        <f>IF(N715=1,M715&amp;"|"&amp;L715,REPT("z",40))</f>
        <v/>
      </c>
      <c r="P715">
        <f>IF(N715=1,COUNTIF($O$4:$O$2003,"&lt;"&amp;O715)+1,"")</f>
        <v/>
      </c>
      <c r="Q715">
        <f>IF(OR($R714="",$R714="T"),"",IF($R714="B",$Q714,IF($Q714+1&gt;$K$3,"",$Q714+1)))</f>
        <v/>
      </c>
      <c r="R715">
        <f>IF(OR($R714="",$R714="T"),"",IF($R714="B","S",IF($Q714+1&gt;$K$3,"T",IF(INDEX($M$4:$M$2003,MATCH($Q714+1,$P$4:$P$2003,0))&lt;&gt;INDEX($M$4:$M$2003,MATCH($Q714,$P$4:$P$2003,0)),"B","S"))))</f>
        <v/>
      </c>
      <c r="S715">
        <f>IF(Q715="","",IFERROR(MATCH(Q715,$P$4:$P$2003,0),""))</f>
        <v/>
      </c>
    </row>
    <row r="716">
      <c r="A716" s="4">
        <f>IF($R716="","",IF($R716="T","Gesamtergebnis",IF($R716="B",INDEX($M$4:$M$2003,$S716),INDEX($L$4:$L$2003,$S716))))</f>
        <v/>
      </c>
      <c r="B716" s="4">
        <f>IF($R716="","",IF($R716="T",$K$3,IF($R716="B",COUNTIFS($M$4:$M$2003,INDEX($M$4:$M$2003,$S716),$N$4:$N$2003,1),1)))</f>
        <v/>
      </c>
      <c r="L716">
        <f>IF($K$1="","",IFERROR(INDEX(Lines!$A:$AA,ROW()-2,$K$1),""))</f>
        <v/>
      </c>
      <c r="M716">
        <f>IF($K$2="","",IFERROR(INDEX(Lines!$A:$AA,ROW()-2,$K$2),""))</f>
        <v/>
      </c>
      <c r="N716">
        <f>IF(AND(L716&lt;&gt;"",LEFT(L716,1)="N",M716&lt;&gt;"PICKING",M716&lt;&gt;""),1,0)</f>
        <v/>
      </c>
      <c r="O716">
        <f>IF(N716=1,M716&amp;"|"&amp;L716,REPT("z",40))</f>
        <v/>
      </c>
      <c r="P716">
        <f>IF(N716=1,COUNTIF($O$4:$O$2003,"&lt;"&amp;O716)+1,"")</f>
        <v/>
      </c>
      <c r="Q716">
        <f>IF(OR($R715="",$R715="T"),"",IF($R715="B",$Q715,IF($Q715+1&gt;$K$3,"",$Q715+1)))</f>
        <v/>
      </c>
      <c r="R716">
        <f>IF(OR($R715="",$R715="T"),"",IF($R715="B","S",IF($Q715+1&gt;$K$3,"T",IF(INDEX($M$4:$M$2003,MATCH($Q715+1,$P$4:$P$2003,0))&lt;&gt;INDEX($M$4:$M$2003,MATCH($Q715,$P$4:$P$2003,0)),"B","S"))))</f>
        <v/>
      </c>
      <c r="S716">
        <f>IF(Q716="","",IFERROR(MATCH(Q716,$P$4:$P$2003,0),""))</f>
        <v/>
      </c>
    </row>
    <row r="717">
      <c r="A717" s="4">
        <f>IF($R717="","",IF($R717="T","Gesamtergebnis",IF($R717="B",INDEX($M$4:$M$2003,$S717),INDEX($L$4:$L$2003,$S717))))</f>
        <v/>
      </c>
      <c r="B717" s="4">
        <f>IF($R717="","",IF($R717="T",$K$3,IF($R717="B",COUNTIFS($M$4:$M$2003,INDEX($M$4:$M$2003,$S717),$N$4:$N$2003,1),1)))</f>
        <v/>
      </c>
      <c r="L717">
        <f>IF($K$1="","",IFERROR(INDEX(Lines!$A:$AA,ROW()-2,$K$1),""))</f>
        <v/>
      </c>
      <c r="M717">
        <f>IF($K$2="","",IFERROR(INDEX(Lines!$A:$AA,ROW()-2,$K$2),""))</f>
        <v/>
      </c>
      <c r="N717">
        <f>IF(AND(L717&lt;&gt;"",LEFT(L717,1)="N",M717&lt;&gt;"PICKING",M717&lt;&gt;""),1,0)</f>
        <v/>
      </c>
      <c r="O717">
        <f>IF(N717=1,M717&amp;"|"&amp;L717,REPT("z",40))</f>
        <v/>
      </c>
      <c r="P717">
        <f>IF(N717=1,COUNTIF($O$4:$O$2003,"&lt;"&amp;O717)+1,"")</f>
        <v/>
      </c>
      <c r="Q717">
        <f>IF(OR($R716="",$R716="T"),"",IF($R716="B",$Q716,IF($Q716+1&gt;$K$3,"",$Q716+1)))</f>
        <v/>
      </c>
      <c r="R717">
        <f>IF(OR($R716="",$R716="T"),"",IF($R716="B","S",IF($Q716+1&gt;$K$3,"T",IF(INDEX($M$4:$M$2003,MATCH($Q716+1,$P$4:$P$2003,0))&lt;&gt;INDEX($M$4:$M$2003,MATCH($Q716,$P$4:$P$2003,0)),"B","S"))))</f>
        <v/>
      </c>
      <c r="S717">
        <f>IF(Q717="","",IFERROR(MATCH(Q717,$P$4:$P$2003,0),""))</f>
        <v/>
      </c>
    </row>
    <row r="718">
      <c r="A718" s="4">
        <f>IF($R718="","",IF($R718="T","Gesamtergebnis",IF($R718="B",INDEX($M$4:$M$2003,$S718),INDEX($L$4:$L$2003,$S718))))</f>
        <v/>
      </c>
      <c r="B718" s="4">
        <f>IF($R718="","",IF($R718="T",$K$3,IF($R718="B",COUNTIFS($M$4:$M$2003,INDEX($M$4:$M$2003,$S718),$N$4:$N$2003,1),1)))</f>
        <v/>
      </c>
      <c r="L718">
        <f>IF($K$1="","",IFERROR(INDEX(Lines!$A:$AA,ROW()-2,$K$1),""))</f>
        <v/>
      </c>
      <c r="M718">
        <f>IF($K$2="","",IFERROR(INDEX(Lines!$A:$AA,ROW()-2,$K$2),""))</f>
        <v/>
      </c>
      <c r="N718">
        <f>IF(AND(L718&lt;&gt;"",LEFT(L718,1)="N",M718&lt;&gt;"PICKING",M718&lt;&gt;""),1,0)</f>
        <v/>
      </c>
      <c r="O718">
        <f>IF(N718=1,M718&amp;"|"&amp;L718,REPT("z",40))</f>
        <v/>
      </c>
      <c r="P718">
        <f>IF(N718=1,COUNTIF($O$4:$O$2003,"&lt;"&amp;O718)+1,"")</f>
        <v/>
      </c>
      <c r="Q718">
        <f>IF(OR($R717="",$R717="T"),"",IF($R717="B",$Q717,IF($Q717+1&gt;$K$3,"",$Q717+1)))</f>
        <v/>
      </c>
      <c r="R718">
        <f>IF(OR($R717="",$R717="T"),"",IF($R717="B","S",IF($Q717+1&gt;$K$3,"T",IF(INDEX($M$4:$M$2003,MATCH($Q717+1,$P$4:$P$2003,0))&lt;&gt;INDEX($M$4:$M$2003,MATCH($Q717,$P$4:$P$2003,0)),"B","S"))))</f>
        <v/>
      </c>
      <c r="S718">
        <f>IF(Q718="","",IFERROR(MATCH(Q718,$P$4:$P$2003,0),""))</f>
        <v/>
      </c>
    </row>
    <row r="719">
      <c r="A719" s="4">
        <f>IF($R719="","",IF($R719="T","Gesamtergebnis",IF($R719="B",INDEX($M$4:$M$2003,$S719),INDEX($L$4:$L$2003,$S719))))</f>
        <v/>
      </c>
      <c r="B719" s="4">
        <f>IF($R719="","",IF($R719="T",$K$3,IF($R719="B",COUNTIFS($M$4:$M$2003,INDEX($M$4:$M$2003,$S719),$N$4:$N$2003,1),1)))</f>
        <v/>
      </c>
      <c r="L719">
        <f>IF($K$1="","",IFERROR(INDEX(Lines!$A:$AA,ROW()-2,$K$1),""))</f>
        <v/>
      </c>
      <c r="M719">
        <f>IF($K$2="","",IFERROR(INDEX(Lines!$A:$AA,ROW()-2,$K$2),""))</f>
        <v/>
      </c>
      <c r="N719">
        <f>IF(AND(L719&lt;&gt;"",LEFT(L719,1)="N",M719&lt;&gt;"PICKING",M719&lt;&gt;""),1,0)</f>
        <v/>
      </c>
      <c r="O719">
        <f>IF(N719=1,M719&amp;"|"&amp;L719,REPT("z",40))</f>
        <v/>
      </c>
      <c r="P719">
        <f>IF(N719=1,COUNTIF($O$4:$O$2003,"&lt;"&amp;O719)+1,"")</f>
        <v/>
      </c>
      <c r="Q719">
        <f>IF(OR($R718="",$R718="T"),"",IF($R718="B",$Q718,IF($Q718+1&gt;$K$3,"",$Q718+1)))</f>
        <v/>
      </c>
      <c r="R719">
        <f>IF(OR($R718="",$R718="T"),"",IF($R718="B","S",IF($Q718+1&gt;$K$3,"T",IF(INDEX($M$4:$M$2003,MATCH($Q718+1,$P$4:$P$2003,0))&lt;&gt;INDEX($M$4:$M$2003,MATCH($Q718,$P$4:$P$2003,0)),"B","S"))))</f>
        <v/>
      </c>
      <c r="S719">
        <f>IF(Q719="","",IFERROR(MATCH(Q719,$P$4:$P$2003,0),""))</f>
        <v/>
      </c>
    </row>
    <row r="720">
      <c r="A720" s="4">
        <f>IF($R720="","",IF($R720="T","Gesamtergebnis",IF($R720="B",INDEX($M$4:$M$2003,$S720),INDEX($L$4:$L$2003,$S720))))</f>
        <v/>
      </c>
      <c r="B720" s="4">
        <f>IF($R720="","",IF($R720="T",$K$3,IF($R720="B",COUNTIFS($M$4:$M$2003,INDEX($M$4:$M$2003,$S720),$N$4:$N$2003,1),1)))</f>
        <v/>
      </c>
      <c r="L720">
        <f>IF($K$1="","",IFERROR(INDEX(Lines!$A:$AA,ROW()-2,$K$1),""))</f>
        <v/>
      </c>
      <c r="M720">
        <f>IF($K$2="","",IFERROR(INDEX(Lines!$A:$AA,ROW()-2,$K$2),""))</f>
        <v/>
      </c>
      <c r="N720">
        <f>IF(AND(L720&lt;&gt;"",LEFT(L720,1)="N",M720&lt;&gt;"PICKING",M720&lt;&gt;""),1,0)</f>
        <v/>
      </c>
      <c r="O720">
        <f>IF(N720=1,M720&amp;"|"&amp;L720,REPT("z",40))</f>
        <v/>
      </c>
      <c r="P720">
        <f>IF(N720=1,COUNTIF($O$4:$O$2003,"&lt;"&amp;O720)+1,"")</f>
        <v/>
      </c>
      <c r="Q720">
        <f>IF(OR($R719="",$R719="T"),"",IF($R719="B",$Q719,IF($Q719+1&gt;$K$3,"",$Q719+1)))</f>
        <v/>
      </c>
      <c r="R720">
        <f>IF(OR($R719="",$R719="T"),"",IF($R719="B","S",IF($Q719+1&gt;$K$3,"T",IF(INDEX($M$4:$M$2003,MATCH($Q719+1,$P$4:$P$2003,0))&lt;&gt;INDEX($M$4:$M$2003,MATCH($Q719,$P$4:$P$2003,0)),"B","S"))))</f>
        <v/>
      </c>
      <c r="S720">
        <f>IF(Q720="","",IFERROR(MATCH(Q720,$P$4:$P$2003,0),""))</f>
        <v/>
      </c>
    </row>
    <row r="721">
      <c r="A721" s="4">
        <f>IF($R721="","",IF($R721="T","Gesamtergebnis",IF($R721="B",INDEX($M$4:$M$2003,$S721),INDEX($L$4:$L$2003,$S721))))</f>
        <v/>
      </c>
      <c r="B721" s="4">
        <f>IF($R721="","",IF($R721="T",$K$3,IF($R721="B",COUNTIFS($M$4:$M$2003,INDEX($M$4:$M$2003,$S721),$N$4:$N$2003,1),1)))</f>
        <v/>
      </c>
      <c r="L721">
        <f>IF($K$1="","",IFERROR(INDEX(Lines!$A:$AA,ROW()-2,$K$1),""))</f>
        <v/>
      </c>
      <c r="M721">
        <f>IF($K$2="","",IFERROR(INDEX(Lines!$A:$AA,ROW()-2,$K$2),""))</f>
        <v/>
      </c>
      <c r="N721">
        <f>IF(AND(L721&lt;&gt;"",LEFT(L721,1)="N",M721&lt;&gt;"PICKING",M721&lt;&gt;""),1,0)</f>
        <v/>
      </c>
      <c r="O721">
        <f>IF(N721=1,M721&amp;"|"&amp;L721,REPT("z",40))</f>
        <v/>
      </c>
      <c r="P721">
        <f>IF(N721=1,COUNTIF($O$4:$O$2003,"&lt;"&amp;O721)+1,"")</f>
        <v/>
      </c>
      <c r="Q721">
        <f>IF(OR($R720="",$R720="T"),"",IF($R720="B",$Q720,IF($Q720+1&gt;$K$3,"",$Q720+1)))</f>
        <v/>
      </c>
      <c r="R721">
        <f>IF(OR($R720="",$R720="T"),"",IF($R720="B","S",IF($Q720+1&gt;$K$3,"T",IF(INDEX($M$4:$M$2003,MATCH($Q720+1,$P$4:$P$2003,0))&lt;&gt;INDEX($M$4:$M$2003,MATCH($Q720,$P$4:$P$2003,0)),"B","S"))))</f>
        <v/>
      </c>
      <c r="S721">
        <f>IF(Q721="","",IFERROR(MATCH(Q721,$P$4:$P$2003,0),""))</f>
        <v/>
      </c>
    </row>
    <row r="722">
      <c r="A722" s="4">
        <f>IF($R722="","",IF($R722="T","Gesamtergebnis",IF($R722="B",INDEX($M$4:$M$2003,$S722),INDEX($L$4:$L$2003,$S722))))</f>
        <v/>
      </c>
      <c r="B722" s="4">
        <f>IF($R722="","",IF($R722="T",$K$3,IF($R722="B",COUNTIFS($M$4:$M$2003,INDEX($M$4:$M$2003,$S722),$N$4:$N$2003,1),1)))</f>
        <v/>
      </c>
      <c r="L722">
        <f>IF($K$1="","",IFERROR(INDEX(Lines!$A:$AA,ROW()-2,$K$1),""))</f>
        <v/>
      </c>
      <c r="M722">
        <f>IF($K$2="","",IFERROR(INDEX(Lines!$A:$AA,ROW()-2,$K$2),""))</f>
        <v/>
      </c>
      <c r="N722">
        <f>IF(AND(L722&lt;&gt;"",LEFT(L722,1)="N",M722&lt;&gt;"PICKING",M722&lt;&gt;""),1,0)</f>
        <v/>
      </c>
      <c r="O722">
        <f>IF(N722=1,M722&amp;"|"&amp;L722,REPT("z",40))</f>
        <v/>
      </c>
      <c r="P722">
        <f>IF(N722=1,COUNTIF($O$4:$O$2003,"&lt;"&amp;O722)+1,"")</f>
        <v/>
      </c>
      <c r="Q722">
        <f>IF(OR($R721="",$R721="T"),"",IF($R721="B",$Q721,IF($Q721+1&gt;$K$3,"",$Q721+1)))</f>
        <v/>
      </c>
      <c r="R722">
        <f>IF(OR($R721="",$R721="T"),"",IF($R721="B","S",IF($Q721+1&gt;$K$3,"T",IF(INDEX($M$4:$M$2003,MATCH($Q721+1,$P$4:$P$2003,0))&lt;&gt;INDEX($M$4:$M$2003,MATCH($Q721,$P$4:$P$2003,0)),"B","S"))))</f>
        <v/>
      </c>
      <c r="S722">
        <f>IF(Q722="","",IFERROR(MATCH(Q722,$P$4:$P$2003,0),""))</f>
        <v/>
      </c>
    </row>
    <row r="723">
      <c r="A723" s="4">
        <f>IF($R723="","",IF($R723="T","Gesamtergebnis",IF($R723="B",INDEX($M$4:$M$2003,$S723),INDEX($L$4:$L$2003,$S723))))</f>
        <v/>
      </c>
      <c r="B723" s="4">
        <f>IF($R723="","",IF($R723="T",$K$3,IF($R723="B",COUNTIFS($M$4:$M$2003,INDEX($M$4:$M$2003,$S723),$N$4:$N$2003,1),1)))</f>
        <v/>
      </c>
      <c r="L723">
        <f>IF($K$1="","",IFERROR(INDEX(Lines!$A:$AA,ROW()-2,$K$1),""))</f>
        <v/>
      </c>
      <c r="M723">
        <f>IF($K$2="","",IFERROR(INDEX(Lines!$A:$AA,ROW()-2,$K$2),""))</f>
        <v/>
      </c>
      <c r="N723">
        <f>IF(AND(L723&lt;&gt;"",LEFT(L723,1)="N",M723&lt;&gt;"PICKING",M723&lt;&gt;""),1,0)</f>
        <v/>
      </c>
      <c r="O723">
        <f>IF(N723=1,M723&amp;"|"&amp;L723,REPT("z",40))</f>
        <v/>
      </c>
      <c r="P723">
        <f>IF(N723=1,COUNTIF($O$4:$O$2003,"&lt;"&amp;O723)+1,"")</f>
        <v/>
      </c>
      <c r="Q723">
        <f>IF(OR($R722="",$R722="T"),"",IF($R722="B",$Q722,IF($Q722+1&gt;$K$3,"",$Q722+1)))</f>
        <v/>
      </c>
      <c r="R723">
        <f>IF(OR($R722="",$R722="T"),"",IF($R722="B","S",IF($Q722+1&gt;$K$3,"T",IF(INDEX($M$4:$M$2003,MATCH($Q722+1,$P$4:$P$2003,0))&lt;&gt;INDEX($M$4:$M$2003,MATCH($Q722,$P$4:$P$2003,0)),"B","S"))))</f>
        <v/>
      </c>
      <c r="S723">
        <f>IF(Q723="","",IFERROR(MATCH(Q723,$P$4:$P$2003,0),""))</f>
        <v/>
      </c>
    </row>
    <row r="724">
      <c r="A724" s="4">
        <f>IF($R724="","",IF($R724="T","Gesamtergebnis",IF($R724="B",INDEX($M$4:$M$2003,$S724),INDEX($L$4:$L$2003,$S724))))</f>
        <v/>
      </c>
      <c r="B724" s="4">
        <f>IF($R724="","",IF($R724="T",$K$3,IF($R724="B",COUNTIFS($M$4:$M$2003,INDEX($M$4:$M$2003,$S724),$N$4:$N$2003,1),1)))</f>
        <v/>
      </c>
      <c r="L724">
        <f>IF($K$1="","",IFERROR(INDEX(Lines!$A:$AA,ROW()-2,$K$1),""))</f>
        <v/>
      </c>
      <c r="M724">
        <f>IF($K$2="","",IFERROR(INDEX(Lines!$A:$AA,ROW()-2,$K$2),""))</f>
        <v/>
      </c>
      <c r="N724">
        <f>IF(AND(L724&lt;&gt;"",LEFT(L724,1)="N",M724&lt;&gt;"PICKING",M724&lt;&gt;""),1,0)</f>
        <v/>
      </c>
      <c r="O724">
        <f>IF(N724=1,M724&amp;"|"&amp;L724,REPT("z",40))</f>
        <v/>
      </c>
      <c r="P724">
        <f>IF(N724=1,COUNTIF($O$4:$O$2003,"&lt;"&amp;O724)+1,"")</f>
        <v/>
      </c>
      <c r="Q724">
        <f>IF(OR($R723="",$R723="T"),"",IF($R723="B",$Q723,IF($Q723+1&gt;$K$3,"",$Q723+1)))</f>
        <v/>
      </c>
      <c r="R724">
        <f>IF(OR($R723="",$R723="T"),"",IF($R723="B","S",IF($Q723+1&gt;$K$3,"T",IF(INDEX($M$4:$M$2003,MATCH($Q723+1,$P$4:$P$2003,0))&lt;&gt;INDEX($M$4:$M$2003,MATCH($Q723,$P$4:$P$2003,0)),"B","S"))))</f>
        <v/>
      </c>
      <c r="S724">
        <f>IF(Q724="","",IFERROR(MATCH(Q724,$P$4:$P$2003,0),""))</f>
        <v/>
      </c>
    </row>
    <row r="725">
      <c r="A725" s="4">
        <f>IF($R725="","",IF($R725="T","Gesamtergebnis",IF($R725="B",INDEX($M$4:$M$2003,$S725),INDEX($L$4:$L$2003,$S725))))</f>
        <v/>
      </c>
      <c r="B725" s="4">
        <f>IF($R725="","",IF($R725="T",$K$3,IF($R725="B",COUNTIFS($M$4:$M$2003,INDEX($M$4:$M$2003,$S725),$N$4:$N$2003,1),1)))</f>
        <v/>
      </c>
      <c r="L725">
        <f>IF($K$1="","",IFERROR(INDEX(Lines!$A:$AA,ROW()-2,$K$1),""))</f>
        <v/>
      </c>
      <c r="M725">
        <f>IF($K$2="","",IFERROR(INDEX(Lines!$A:$AA,ROW()-2,$K$2),""))</f>
        <v/>
      </c>
      <c r="N725">
        <f>IF(AND(L725&lt;&gt;"",LEFT(L725,1)="N",M725&lt;&gt;"PICKING",M725&lt;&gt;""),1,0)</f>
        <v/>
      </c>
      <c r="O725">
        <f>IF(N725=1,M725&amp;"|"&amp;L725,REPT("z",40))</f>
        <v/>
      </c>
      <c r="P725">
        <f>IF(N725=1,COUNTIF($O$4:$O$2003,"&lt;"&amp;O725)+1,"")</f>
        <v/>
      </c>
      <c r="Q725">
        <f>IF(OR($R724="",$R724="T"),"",IF($R724="B",$Q724,IF($Q724+1&gt;$K$3,"",$Q724+1)))</f>
        <v/>
      </c>
      <c r="R725">
        <f>IF(OR($R724="",$R724="T"),"",IF($R724="B","S",IF($Q724+1&gt;$K$3,"T",IF(INDEX($M$4:$M$2003,MATCH($Q724+1,$P$4:$P$2003,0))&lt;&gt;INDEX($M$4:$M$2003,MATCH($Q724,$P$4:$P$2003,0)),"B","S"))))</f>
        <v/>
      </c>
      <c r="S725">
        <f>IF(Q725="","",IFERROR(MATCH(Q725,$P$4:$P$2003,0),""))</f>
        <v/>
      </c>
    </row>
    <row r="726">
      <c r="A726" s="4">
        <f>IF($R726="","",IF($R726="T","Gesamtergebnis",IF($R726="B",INDEX($M$4:$M$2003,$S726),INDEX($L$4:$L$2003,$S726))))</f>
        <v/>
      </c>
      <c r="B726" s="4">
        <f>IF($R726="","",IF($R726="T",$K$3,IF($R726="B",COUNTIFS($M$4:$M$2003,INDEX($M$4:$M$2003,$S726),$N$4:$N$2003,1),1)))</f>
        <v/>
      </c>
      <c r="L726">
        <f>IF($K$1="","",IFERROR(INDEX(Lines!$A:$AA,ROW()-2,$K$1),""))</f>
        <v/>
      </c>
      <c r="M726">
        <f>IF($K$2="","",IFERROR(INDEX(Lines!$A:$AA,ROW()-2,$K$2),""))</f>
        <v/>
      </c>
      <c r="N726">
        <f>IF(AND(L726&lt;&gt;"",LEFT(L726,1)="N",M726&lt;&gt;"PICKING",M726&lt;&gt;""),1,0)</f>
        <v/>
      </c>
      <c r="O726">
        <f>IF(N726=1,M726&amp;"|"&amp;L726,REPT("z",40))</f>
        <v/>
      </c>
      <c r="P726">
        <f>IF(N726=1,COUNTIF($O$4:$O$2003,"&lt;"&amp;O726)+1,"")</f>
        <v/>
      </c>
      <c r="Q726">
        <f>IF(OR($R725="",$R725="T"),"",IF($R725="B",$Q725,IF($Q725+1&gt;$K$3,"",$Q725+1)))</f>
        <v/>
      </c>
      <c r="R726">
        <f>IF(OR($R725="",$R725="T"),"",IF($R725="B","S",IF($Q725+1&gt;$K$3,"T",IF(INDEX($M$4:$M$2003,MATCH($Q725+1,$P$4:$P$2003,0))&lt;&gt;INDEX($M$4:$M$2003,MATCH($Q725,$P$4:$P$2003,0)),"B","S"))))</f>
        <v/>
      </c>
      <c r="S726">
        <f>IF(Q726="","",IFERROR(MATCH(Q726,$P$4:$P$2003,0),""))</f>
        <v/>
      </c>
    </row>
    <row r="727">
      <c r="A727" s="4">
        <f>IF($R727="","",IF($R727="T","Gesamtergebnis",IF($R727="B",INDEX($M$4:$M$2003,$S727),INDEX($L$4:$L$2003,$S727))))</f>
        <v/>
      </c>
      <c r="B727" s="4">
        <f>IF($R727="","",IF($R727="T",$K$3,IF($R727="B",COUNTIFS($M$4:$M$2003,INDEX($M$4:$M$2003,$S727),$N$4:$N$2003,1),1)))</f>
        <v/>
      </c>
      <c r="L727">
        <f>IF($K$1="","",IFERROR(INDEX(Lines!$A:$AA,ROW()-2,$K$1),""))</f>
        <v/>
      </c>
      <c r="M727">
        <f>IF($K$2="","",IFERROR(INDEX(Lines!$A:$AA,ROW()-2,$K$2),""))</f>
        <v/>
      </c>
      <c r="N727">
        <f>IF(AND(L727&lt;&gt;"",LEFT(L727,1)="N",M727&lt;&gt;"PICKING",M727&lt;&gt;""),1,0)</f>
        <v/>
      </c>
      <c r="O727">
        <f>IF(N727=1,M727&amp;"|"&amp;L727,REPT("z",40))</f>
        <v/>
      </c>
      <c r="P727">
        <f>IF(N727=1,COUNTIF($O$4:$O$2003,"&lt;"&amp;O727)+1,"")</f>
        <v/>
      </c>
      <c r="Q727">
        <f>IF(OR($R726="",$R726="T"),"",IF($R726="B",$Q726,IF($Q726+1&gt;$K$3,"",$Q726+1)))</f>
        <v/>
      </c>
      <c r="R727">
        <f>IF(OR($R726="",$R726="T"),"",IF($R726="B","S",IF($Q726+1&gt;$K$3,"T",IF(INDEX($M$4:$M$2003,MATCH($Q726+1,$P$4:$P$2003,0))&lt;&gt;INDEX($M$4:$M$2003,MATCH($Q726,$P$4:$P$2003,0)),"B","S"))))</f>
        <v/>
      </c>
      <c r="S727">
        <f>IF(Q727="","",IFERROR(MATCH(Q727,$P$4:$P$2003,0),""))</f>
        <v/>
      </c>
    </row>
    <row r="728">
      <c r="A728" s="4">
        <f>IF($R728="","",IF($R728="T","Gesamtergebnis",IF($R728="B",INDEX($M$4:$M$2003,$S728),INDEX($L$4:$L$2003,$S728))))</f>
        <v/>
      </c>
      <c r="B728" s="4">
        <f>IF($R728="","",IF($R728="T",$K$3,IF($R728="B",COUNTIFS($M$4:$M$2003,INDEX($M$4:$M$2003,$S728),$N$4:$N$2003,1),1)))</f>
        <v/>
      </c>
      <c r="L728">
        <f>IF($K$1="","",IFERROR(INDEX(Lines!$A:$AA,ROW()-2,$K$1),""))</f>
        <v/>
      </c>
      <c r="M728">
        <f>IF($K$2="","",IFERROR(INDEX(Lines!$A:$AA,ROW()-2,$K$2),""))</f>
        <v/>
      </c>
      <c r="N728">
        <f>IF(AND(L728&lt;&gt;"",LEFT(L728,1)="N",M728&lt;&gt;"PICKING",M728&lt;&gt;""),1,0)</f>
        <v/>
      </c>
      <c r="O728">
        <f>IF(N728=1,M728&amp;"|"&amp;L728,REPT("z",40))</f>
        <v/>
      </c>
      <c r="P728">
        <f>IF(N728=1,COUNTIF($O$4:$O$2003,"&lt;"&amp;O728)+1,"")</f>
        <v/>
      </c>
      <c r="Q728">
        <f>IF(OR($R727="",$R727="T"),"",IF($R727="B",$Q727,IF($Q727+1&gt;$K$3,"",$Q727+1)))</f>
        <v/>
      </c>
      <c r="R728">
        <f>IF(OR($R727="",$R727="T"),"",IF($R727="B","S",IF($Q727+1&gt;$K$3,"T",IF(INDEX($M$4:$M$2003,MATCH($Q727+1,$P$4:$P$2003,0))&lt;&gt;INDEX($M$4:$M$2003,MATCH($Q727,$P$4:$P$2003,0)),"B","S"))))</f>
        <v/>
      </c>
      <c r="S728">
        <f>IF(Q728="","",IFERROR(MATCH(Q728,$P$4:$P$2003,0),""))</f>
        <v/>
      </c>
    </row>
    <row r="729">
      <c r="A729" s="4">
        <f>IF($R729="","",IF($R729="T","Gesamtergebnis",IF($R729="B",INDEX($M$4:$M$2003,$S729),INDEX($L$4:$L$2003,$S729))))</f>
        <v/>
      </c>
      <c r="B729" s="4">
        <f>IF($R729="","",IF($R729="T",$K$3,IF($R729="B",COUNTIFS($M$4:$M$2003,INDEX($M$4:$M$2003,$S729),$N$4:$N$2003,1),1)))</f>
        <v/>
      </c>
      <c r="L729">
        <f>IF($K$1="","",IFERROR(INDEX(Lines!$A:$AA,ROW()-2,$K$1),""))</f>
        <v/>
      </c>
      <c r="M729">
        <f>IF($K$2="","",IFERROR(INDEX(Lines!$A:$AA,ROW()-2,$K$2),""))</f>
        <v/>
      </c>
      <c r="N729">
        <f>IF(AND(L729&lt;&gt;"",LEFT(L729,1)="N",M729&lt;&gt;"PICKING",M729&lt;&gt;""),1,0)</f>
        <v/>
      </c>
      <c r="O729">
        <f>IF(N729=1,M729&amp;"|"&amp;L729,REPT("z",40))</f>
        <v/>
      </c>
      <c r="P729">
        <f>IF(N729=1,COUNTIF($O$4:$O$2003,"&lt;"&amp;O729)+1,"")</f>
        <v/>
      </c>
      <c r="Q729">
        <f>IF(OR($R728="",$R728="T"),"",IF($R728="B",$Q728,IF($Q728+1&gt;$K$3,"",$Q728+1)))</f>
        <v/>
      </c>
      <c r="R729">
        <f>IF(OR($R728="",$R728="T"),"",IF($R728="B","S",IF($Q728+1&gt;$K$3,"T",IF(INDEX($M$4:$M$2003,MATCH($Q728+1,$P$4:$P$2003,0))&lt;&gt;INDEX($M$4:$M$2003,MATCH($Q728,$P$4:$P$2003,0)),"B","S"))))</f>
        <v/>
      </c>
      <c r="S729">
        <f>IF(Q729="","",IFERROR(MATCH(Q729,$P$4:$P$2003,0),""))</f>
        <v/>
      </c>
    </row>
    <row r="730">
      <c r="A730" s="4">
        <f>IF($R730="","",IF($R730="T","Gesamtergebnis",IF($R730="B",INDEX($M$4:$M$2003,$S730),INDEX($L$4:$L$2003,$S730))))</f>
        <v/>
      </c>
      <c r="B730" s="4">
        <f>IF($R730="","",IF($R730="T",$K$3,IF($R730="B",COUNTIFS($M$4:$M$2003,INDEX($M$4:$M$2003,$S730),$N$4:$N$2003,1),1)))</f>
        <v/>
      </c>
      <c r="L730">
        <f>IF($K$1="","",IFERROR(INDEX(Lines!$A:$AA,ROW()-2,$K$1),""))</f>
        <v/>
      </c>
      <c r="M730">
        <f>IF($K$2="","",IFERROR(INDEX(Lines!$A:$AA,ROW()-2,$K$2),""))</f>
        <v/>
      </c>
      <c r="N730">
        <f>IF(AND(L730&lt;&gt;"",LEFT(L730,1)="N",M730&lt;&gt;"PICKING",M730&lt;&gt;""),1,0)</f>
        <v/>
      </c>
      <c r="O730">
        <f>IF(N730=1,M730&amp;"|"&amp;L730,REPT("z",40))</f>
        <v/>
      </c>
      <c r="P730">
        <f>IF(N730=1,COUNTIF($O$4:$O$2003,"&lt;"&amp;O730)+1,"")</f>
        <v/>
      </c>
      <c r="Q730">
        <f>IF(OR($R729="",$R729="T"),"",IF($R729="B",$Q729,IF($Q729+1&gt;$K$3,"",$Q729+1)))</f>
        <v/>
      </c>
      <c r="R730">
        <f>IF(OR($R729="",$R729="T"),"",IF($R729="B","S",IF($Q729+1&gt;$K$3,"T",IF(INDEX($M$4:$M$2003,MATCH($Q729+1,$P$4:$P$2003,0))&lt;&gt;INDEX($M$4:$M$2003,MATCH($Q729,$P$4:$P$2003,0)),"B","S"))))</f>
        <v/>
      </c>
      <c r="S730">
        <f>IF(Q730="","",IFERROR(MATCH(Q730,$P$4:$P$2003,0),""))</f>
        <v/>
      </c>
    </row>
    <row r="731">
      <c r="A731" s="4">
        <f>IF($R731="","",IF($R731="T","Gesamtergebnis",IF($R731="B",INDEX($M$4:$M$2003,$S731),INDEX($L$4:$L$2003,$S731))))</f>
        <v/>
      </c>
      <c r="B731" s="4">
        <f>IF($R731="","",IF($R731="T",$K$3,IF($R731="B",COUNTIFS($M$4:$M$2003,INDEX($M$4:$M$2003,$S731),$N$4:$N$2003,1),1)))</f>
        <v/>
      </c>
      <c r="L731">
        <f>IF($K$1="","",IFERROR(INDEX(Lines!$A:$AA,ROW()-2,$K$1),""))</f>
        <v/>
      </c>
      <c r="M731">
        <f>IF($K$2="","",IFERROR(INDEX(Lines!$A:$AA,ROW()-2,$K$2),""))</f>
        <v/>
      </c>
      <c r="N731">
        <f>IF(AND(L731&lt;&gt;"",LEFT(L731,1)="N",M731&lt;&gt;"PICKING",M731&lt;&gt;""),1,0)</f>
        <v/>
      </c>
      <c r="O731">
        <f>IF(N731=1,M731&amp;"|"&amp;L731,REPT("z",40))</f>
        <v/>
      </c>
      <c r="P731">
        <f>IF(N731=1,COUNTIF($O$4:$O$2003,"&lt;"&amp;O731)+1,"")</f>
        <v/>
      </c>
      <c r="Q731">
        <f>IF(OR($R730="",$R730="T"),"",IF($R730="B",$Q730,IF($Q730+1&gt;$K$3,"",$Q730+1)))</f>
        <v/>
      </c>
      <c r="R731">
        <f>IF(OR($R730="",$R730="T"),"",IF($R730="B","S",IF($Q730+1&gt;$K$3,"T",IF(INDEX($M$4:$M$2003,MATCH($Q730+1,$P$4:$P$2003,0))&lt;&gt;INDEX($M$4:$M$2003,MATCH($Q730,$P$4:$P$2003,0)),"B","S"))))</f>
        <v/>
      </c>
      <c r="S731">
        <f>IF(Q731="","",IFERROR(MATCH(Q731,$P$4:$P$2003,0),""))</f>
        <v/>
      </c>
    </row>
    <row r="732">
      <c r="A732" s="4">
        <f>IF($R732="","",IF($R732="T","Gesamtergebnis",IF($R732="B",INDEX($M$4:$M$2003,$S732),INDEX($L$4:$L$2003,$S732))))</f>
        <v/>
      </c>
      <c r="B732" s="4">
        <f>IF($R732="","",IF($R732="T",$K$3,IF($R732="B",COUNTIFS($M$4:$M$2003,INDEX($M$4:$M$2003,$S732),$N$4:$N$2003,1),1)))</f>
        <v/>
      </c>
      <c r="L732">
        <f>IF($K$1="","",IFERROR(INDEX(Lines!$A:$AA,ROW()-2,$K$1),""))</f>
        <v/>
      </c>
      <c r="M732">
        <f>IF($K$2="","",IFERROR(INDEX(Lines!$A:$AA,ROW()-2,$K$2),""))</f>
        <v/>
      </c>
      <c r="N732">
        <f>IF(AND(L732&lt;&gt;"",LEFT(L732,1)="N",M732&lt;&gt;"PICKING",M732&lt;&gt;""),1,0)</f>
        <v/>
      </c>
      <c r="O732">
        <f>IF(N732=1,M732&amp;"|"&amp;L732,REPT("z",40))</f>
        <v/>
      </c>
      <c r="P732">
        <f>IF(N732=1,COUNTIF($O$4:$O$2003,"&lt;"&amp;O732)+1,"")</f>
        <v/>
      </c>
      <c r="Q732">
        <f>IF(OR($R731="",$R731="T"),"",IF($R731="B",$Q731,IF($Q731+1&gt;$K$3,"",$Q731+1)))</f>
        <v/>
      </c>
      <c r="R732">
        <f>IF(OR($R731="",$R731="T"),"",IF($R731="B","S",IF($Q731+1&gt;$K$3,"T",IF(INDEX($M$4:$M$2003,MATCH($Q731+1,$P$4:$P$2003,0))&lt;&gt;INDEX($M$4:$M$2003,MATCH($Q731,$P$4:$P$2003,0)),"B","S"))))</f>
        <v/>
      </c>
      <c r="S732">
        <f>IF(Q732="","",IFERROR(MATCH(Q732,$P$4:$P$2003,0),""))</f>
        <v/>
      </c>
    </row>
    <row r="733">
      <c r="A733" s="4">
        <f>IF($R733="","",IF($R733="T","Gesamtergebnis",IF($R733="B",INDEX($M$4:$M$2003,$S733),INDEX($L$4:$L$2003,$S733))))</f>
        <v/>
      </c>
      <c r="B733" s="4">
        <f>IF($R733="","",IF($R733="T",$K$3,IF($R733="B",COUNTIFS($M$4:$M$2003,INDEX($M$4:$M$2003,$S733),$N$4:$N$2003,1),1)))</f>
        <v/>
      </c>
      <c r="L733">
        <f>IF($K$1="","",IFERROR(INDEX(Lines!$A:$AA,ROW()-2,$K$1),""))</f>
        <v/>
      </c>
      <c r="M733">
        <f>IF($K$2="","",IFERROR(INDEX(Lines!$A:$AA,ROW()-2,$K$2),""))</f>
        <v/>
      </c>
      <c r="N733">
        <f>IF(AND(L733&lt;&gt;"",LEFT(L733,1)="N",M733&lt;&gt;"PICKING",M733&lt;&gt;""),1,0)</f>
        <v/>
      </c>
      <c r="O733">
        <f>IF(N733=1,M733&amp;"|"&amp;L733,REPT("z",40))</f>
        <v/>
      </c>
      <c r="P733">
        <f>IF(N733=1,COUNTIF($O$4:$O$2003,"&lt;"&amp;O733)+1,"")</f>
        <v/>
      </c>
      <c r="Q733">
        <f>IF(OR($R732="",$R732="T"),"",IF($R732="B",$Q732,IF($Q732+1&gt;$K$3,"",$Q732+1)))</f>
        <v/>
      </c>
      <c r="R733">
        <f>IF(OR($R732="",$R732="T"),"",IF($R732="B","S",IF($Q732+1&gt;$K$3,"T",IF(INDEX($M$4:$M$2003,MATCH($Q732+1,$P$4:$P$2003,0))&lt;&gt;INDEX($M$4:$M$2003,MATCH($Q732,$P$4:$P$2003,0)),"B","S"))))</f>
        <v/>
      </c>
      <c r="S733">
        <f>IF(Q733="","",IFERROR(MATCH(Q733,$P$4:$P$2003,0),""))</f>
        <v/>
      </c>
    </row>
    <row r="734">
      <c r="A734" s="4">
        <f>IF($R734="","",IF($R734="T","Gesamtergebnis",IF($R734="B",INDEX($M$4:$M$2003,$S734),INDEX($L$4:$L$2003,$S734))))</f>
        <v/>
      </c>
      <c r="B734" s="4">
        <f>IF($R734="","",IF($R734="T",$K$3,IF($R734="B",COUNTIFS($M$4:$M$2003,INDEX($M$4:$M$2003,$S734),$N$4:$N$2003,1),1)))</f>
        <v/>
      </c>
      <c r="L734">
        <f>IF($K$1="","",IFERROR(INDEX(Lines!$A:$AA,ROW()-2,$K$1),""))</f>
        <v/>
      </c>
      <c r="M734">
        <f>IF($K$2="","",IFERROR(INDEX(Lines!$A:$AA,ROW()-2,$K$2),""))</f>
        <v/>
      </c>
      <c r="N734">
        <f>IF(AND(L734&lt;&gt;"",LEFT(L734,1)="N",M734&lt;&gt;"PICKING",M734&lt;&gt;""),1,0)</f>
        <v/>
      </c>
      <c r="O734">
        <f>IF(N734=1,M734&amp;"|"&amp;L734,REPT("z",40))</f>
        <v/>
      </c>
      <c r="P734">
        <f>IF(N734=1,COUNTIF($O$4:$O$2003,"&lt;"&amp;O734)+1,"")</f>
        <v/>
      </c>
      <c r="Q734">
        <f>IF(OR($R733="",$R733="T"),"",IF($R733="B",$Q733,IF($Q733+1&gt;$K$3,"",$Q733+1)))</f>
        <v/>
      </c>
      <c r="R734">
        <f>IF(OR($R733="",$R733="T"),"",IF($R733="B","S",IF($Q733+1&gt;$K$3,"T",IF(INDEX($M$4:$M$2003,MATCH($Q733+1,$P$4:$P$2003,0))&lt;&gt;INDEX($M$4:$M$2003,MATCH($Q733,$P$4:$P$2003,0)),"B","S"))))</f>
        <v/>
      </c>
      <c r="S734">
        <f>IF(Q734="","",IFERROR(MATCH(Q734,$P$4:$P$2003,0),""))</f>
        <v/>
      </c>
    </row>
    <row r="735">
      <c r="A735" s="4">
        <f>IF($R735="","",IF($R735="T","Gesamtergebnis",IF($R735="B",INDEX($M$4:$M$2003,$S735),INDEX($L$4:$L$2003,$S735))))</f>
        <v/>
      </c>
      <c r="B735" s="4">
        <f>IF($R735="","",IF($R735="T",$K$3,IF($R735="B",COUNTIFS($M$4:$M$2003,INDEX($M$4:$M$2003,$S735),$N$4:$N$2003,1),1)))</f>
        <v/>
      </c>
      <c r="L735">
        <f>IF($K$1="","",IFERROR(INDEX(Lines!$A:$AA,ROW()-2,$K$1),""))</f>
        <v/>
      </c>
      <c r="M735">
        <f>IF($K$2="","",IFERROR(INDEX(Lines!$A:$AA,ROW()-2,$K$2),""))</f>
        <v/>
      </c>
      <c r="N735">
        <f>IF(AND(L735&lt;&gt;"",LEFT(L735,1)="N",M735&lt;&gt;"PICKING",M735&lt;&gt;""),1,0)</f>
        <v/>
      </c>
      <c r="O735">
        <f>IF(N735=1,M735&amp;"|"&amp;L735,REPT("z",40))</f>
        <v/>
      </c>
      <c r="P735">
        <f>IF(N735=1,COUNTIF($O$4:$O$2003,"&lt;"&amp;O735)+1,"")</f>
        <v/>
      </c>
      <c r="Q735">
        <f>IF(OR($R734="",$R734="T"),"",IF($R734="B",$Q734,IF($Q734+1&gt;$K$3,"",$Q734+1)))</f>
        <v/>
      </c>
      <c r="R735">
        <f>IF(OR($R734="",$R734="T"),"",IF($R734="B","S",IF($Q734+1&gt;$K$3,"T",IF(INDEX($M$4:$M$2003,MATCH($Q734+1,$P$4:$P$2003,0))&lt;&gt;INDEX($M$4:$M$2003,MATCH($Q734,$P$4:$P$2003,0)),"B","S"))))</f>
        <v/>
      </c>
      <c r="S735">
        <f>IF(Q735="","",IFERROR(MATCH(Q735,$P$4:$P$2003,0),""))</f>
        <v/>
      </c>
    </row>
    <row r="736">
      <c r="A736" s="4">
        <f>IF($R736="","",IF($R736="T","Gesamtergebnis",IF($R736="B",INDEX($M$4:$M$2003,$S736),INDEX($L$4:$L$2003,$S736))))</f>
        <v/>
      </c>
      <c r="B736" s="4">
        <f>IF($R736="","",IF($R736="T",$K$3,IF($R736="B",COUNTIFS($M$4:$M$2003,INDEX($M$4:$M$2003,$S736),$N$4:$N$2003,1),1)))</f>
        <v/>
      </c>
      <c r="L736">
        <f>IF($K$1="","",IFERROR(INDEX(Lines!$A:$AA,ROW()-2,$K$1),""))</f>
        <v/>
      </c>
      <c r="M736">
        <f>IF($K$2="","",IFERROR(INDEX(Lines!$A:$AA,ROW()-2,$K$2),""))</f>
        <v/>
      </c>
      <c r="N736">
        <f>IF(AND(L736&lt;&gt;"",LEFT(L736,1)="N",M736&lt;&gt;"PICKING",M736&lt;&gt;""),1,0)</f>
        <v/>
      </c>
      <c r="O736">
        <f>IF(N736=1,M736&amp;"|"&amp;L736,REPT("z",40))</f>
        <v/>
      </c>
      <c r="P736">
        <f>IF(N736=1,COUNTIF($O$4:$O$2003,"&lt;"&amp;O736)+1,"")</f>
        <v/>
      </c>
      <c r="Q736">
        <f>IF(OR($R735="",$R735="T"),"",IF($R735="B",$Q735,IF($Q735+1&gt;$K$3,"",$Q735+1)))</f>
        <v/>
      </c>
      <c r="R736">
        <f>IF(OR($R735="",$R735="T"),"",IF($R735="B","S",IF($Q735+1&gt;$K$3,"T",IF(INDEX($M$4:$M$2003,MATCH($Q735+1,$P$4:$P$2003,0))&lt;&gt;INDEX($M$4:$M$2003,MATCH($Q735,$P$4:$P$2003,0)),"B","S"))))</f>
        <v/>
      </c>
      <c r="S736">
        <f>IF(Q736="","",IFERROR(MATCH(Q736,$P$4:$P$2003,0),""))</f>
        <v/>
      </c>
    </row>
    <row r="737">
      <c r="A737" s="4">
        <f>IF($R737="","",IF($R737="T","Gesamtergebnis",IF($R737="B",INDEX($M$4:$M$2003,$S737),INDEX($L$4:$L$2003,$S737))))</f>
        <v/>
      </c>
      <c r="B737" s="4">
        <f>IF($R737="","",IF($R737="T",$K$3,IF($R737="B",COUNTIFS($M$4:$M$2003,INDEX($M$4:$M$2003,$S737),$N$4:$N$2003,1),1)))</f>
        <v/>
      </c>
      <c r="L737">
        <f>IF($K$1="","",IFERROR(INDEX(Lines!$A:$AA,ROW()-2,$K$1),""))</f>
        <v/>
      </c>
      <c r="M737">
        <f>IF($K$2="","",IFERROR(INDEX(Lines!$A:$AA,ROW()-2,$K$2),""))</f>
        <v/>
      </c>
      <c r="N737">
        <f>IF(AND(L737&lt;&gt;"",LEFT(L737,1)="N",M737&lt;&gt;"PICKING",M737&lt;&gt;""),1,0)</f>
        <v/>
      </c>
      <c r="O737">
        <f>IF(N737=1,M737&amp;"|"&amp;L737,REPT("z",40))</f>
        <v/>
      </c>
      <c r="P737">
        <f>IF(N737=1,COUNTIF($O$4:$O$2003,"&lt;"&amp;O737)+1,"")</f>
        <v/>
      </c>
      <c r="Q737">
        <f>IF(OR($R736="",$R736="T"),"",IF($R736="B",$Q736,IF($Q736+1&gt;$K$3,"",$Q736+1)))</f>
        <v/>
      </c>
      <c r="R737">
        <f>IF(OR($R736="",$R736="T"),"",IF($R736="B","S",IF($Q736+1&gt;$K$3,"T",IF(INDEX($M$4:$M$2003,MATCH($Q736+1,$P$4:$P$2003,0))&lt;&gt;INDEX($M$4:$M$2003,MATCH($Q736,$P$4:$P$2003,0)),"B","S"))))</f>
        <v/>
      </c>
      <c r="S737">
        <f>IF(Q737="","",IFERROR(MATCH(Q737,$P$4:$P$2003,0),""))</f>
        <v/>
      </c>
    </row>
    <row r="738">
      <c r="A738" s="4">
        <f>IF($R738="","",IF($R738="T","Gesamtergebnis",IF($R738="B",INDEX($M$4:$M$2003,$S738),INDEX($L$4:$L$2003,$S738))))</f>
        <v/>
      </c>
      <c r="B738" s="4">
        <f>IF($R738="","",IF($R738="T",$K$3,IF($R738="B",COUNTIFS($M$4:$M$2003,INDEX($M$4:$M$2003,$S738),$N$4:$N$2003,1),1)))</f>
        <v/>
      </c>
      <c r="L738">
        <f>IF($K$1="","",IFERROR(INDEX(Lines!$A:$AA,ROW()-2,$K$1),""))</f>
        <v/>
      </c>
      <c r="M738">
        <f>IF($K$2="","",IFERROR(INDEX(Lines!$A:$AA,ROW()-2,$K$2),""))</f>
        <v/>
      </c>
      <c r="N738">
        <f>IF(AND(L738&lt;&gt;"",LEFT(L738,1)="N",M738&lt;&gt;"PICKING",M738&lt;&gt;""),1,0)</f>
        <v/>
      </c>
      <c r="O738">
        <f>IF(N738=1,M738&amp;"|"&amp;L738,REPT("z",40))</f>
        <v/>
      </c>
      <c r="P738">
        <f>IF(N738=1,COUNTIF($O$4:$O$2003,"&lt;"&amp;O738)+1,"")</f>
        <v/>
      </c>
      <c r="Q738">
        <f>IF(OR($R737="",$R737="T"),"",IF($R737="B",$Q737,IF($Q737+1&gt;$K$3,"",$Q737+1)))</f>
        <v/>
      </c>
      <c r="R738">
        <f>IF(OR($R737="",$R737="T"),"",IF($R737="B","S",IF($Q737+1&gt;$K$3,"T",IF(INDEX($M$4:$M$2003,MATCH($Q737+1,$P$4:$P$2003,0))&lt;&gt;INDEX($M$4:$M$2003,MATCH($Q737,$P$4:$P$2003,0)),"B","S"))))</f>
        <v/>
      </c>
      <c r="S738">
        <f>IF(Q738="","",IFERROR(MATCH(Q738,$P$4:$P$2003,0),""))</f>
        <v/>
      </c>
    </row>
    <row r="739">
      <c r="A739" s="4">
        <f>IF($R739="","",IF($R739="T","Gesamtergebnis",IF($R739="B",INDEX($M$4:$M$2003,$S739),INDEX($L$4:$L$2003,$S739))))</f>
        <v/>
      </c>
      <c r="B739" s="4">
        <f>IF($R739="","",IF($R739="T",$K$3,IF($R739="B",COUNTIFS($M$4:$M$2003,INDEX($M$4:$M$2003,$S739),$N$4:$N$2003,1),1)))</f>
        <v/>
      </c>
      <c r="L739">
        <f>IF($K$1="","",IFERROR(INDEX(Lines!$A:$AA,ROW()-2,$K$1),""))</f>
        <v/>
      </c>
      <c r="M739">
        <f>IF($K$2="","",IFERROR(INDEX(Lines!$A:$AA,ROW()-2,$K$2),""))</f>
        <v/>
      </c>
      <c r="N739">
        <f>IF(AND(L739&lt;&gt;"",LEFT(L739,1)="N",M739&lt;&gt;"PICKING",M739&lt;&gt;""),1,0)</f>
        <v/>
      </c>
      <c r="O739">
        <f>IF(N739=1,M739&amp;"|"&amp;L739,REPT("z",40))</f>
        <v/>
      </c>
      <c r="P739">
        <f>IF(N739=1,COUNTIF($O$4:$O$2003,"&lt;"&amp;O739)+1,"")</f>
        <v/>
      </c>
      <c r="Q739">
        <f>IF(OR($R738="",$R738="T"),"",IF($R738="B",$Q738,IF($Q738+1&gt;$K$3,"",$Q738+1)))</f>
        <v/>
      </c>
      <c r="R739">
        <f>IF(OR($R738="",$R738="T"),"",IF($R738="B","S",IF($Q738+1&gt;$K$3,"T",IF(INDEX($M$4:$M$2003,MATCH($Q738+1,$P$4:$P$2003,0))&lt;&gt;INDEX($M$4:$M$2003,MATCH($Q738,$P$4:$P$2003,0)),"B","S"))))</f>
        <v/>
      </c>
      <c r="S739">
        <f>IF(Q739="","",IFERROR(MATCH(Q739,$P$4:$P$2003,0),""))</f>
        <v/>
      </c>
    </row>
    <row r="740">
      <c r="A740" s="4">
        <f>IF($R740="","",IF($R740="T","Gesamtergebnis",IF($R740="B",INDEX($M$4:$M$2003,$S740),INDEX($L$4:$L$2003,$S740))))</f>
        <v/>
      </c>
      <c r="B740" s="4">
        <f>IF($R740="","",IF($R740="T",$K$3,IF($R740="B",COUNTIFS($M$4:$M$2003,INDEX($M$4:$M$2003,$S740),$N$4:$N$2003,1),1)))</f>
        <v/>
      </c>
      <c r="L740">
        <f>IF($K$1="","",IFERROR(INDEX(Lines!$A:$AA,ROW()-2,$K$1),""))</f>
        <v/>
      </c>
      <c r="M740">
        <f>IF($K$2="","",IFERROR(INDEX(Lines!$A:$AA,ROW()-2,$K$2),""))</f>
        <v/>
      </c>
      <c r="N740">
        <f>IF(AND(L740&lt;&gt;"",LEFT(L740,1)="N",M740&lt;&gt;"PICKING",M740&lt;&gt;""),1,0)</f>
        <v/>
      </c>
      <c r="O740">
        <f>IF(N740=1,M740&amp;"|"&amp;L740,REPT("z",40))</f>
        <v/>
      </c>
      <c r="P740">
        <f>IF(N740=1,COUNTIF($O$4:$O$2003,"&lt;"&amp;O740)+1,"")</f>
        <v/>
      </c>
      <c r="Q740">
        <f>IF(OR($R739="",$R739="T"),"",IF($R739="B",$Q739,IF($Q739+1&gt;$K$3,"",$Q739+1)))</f>
        <v/>
      </c>
      <c r="R740">
        <f>IF(OR($R739="",$R739="T"),"",IF($R739="B","S",IF($Q739+1&gt;$K$3,"T",IF(INDEX($M$4:$M$2003,MATCH($Q739+1,$P$4:$P$2003,0))&lt;&gt;INDEX($M$4:$M$2003,MATCH($Q739,$P$4:$P$2003,0)),"B","S"))))</f>
        <v/>
      </c>
      <c r="S740">
        <f>IF(Q740="","",IFERROR(MATCH(Q740,$P$4:$P$2003,0),""))</f>
        <v/>
      </c>
    </row>
    <row r="741">
      <c r="A741" s="4">
        <f>IF($R741="","",IF($R741="T","Gesamtergebnis",IF($R741="B",INDEX($M$4:$M$2003,$S741),INDEX($L$4:$L$2003,$S741))))</f>
        <v/>
      </c>
      <c r="B741" s="4">
        <f>IF($R741="","",IF($R741="T",$K$3,IF($R741="B",COUNTIFS($M$4:$M$2003,INDEX($M$4:$M$2003,$S741),$N$4:$N$2003,1),1)))</f>
        <v/>
      </c>
      <c r="L741">
        <f>IF($K$1="","",IFERROR(INDEX(Lines!$A:$AA,ROW()-2,$K$1),""))</f>
        <v/>
      </c>
      <c r="M741">
        <f>IF($K$2="","",IFERROR(INDEX(Lines!$A:$AA,ROW()-2,$K$2),""))</f>
        <v/>
      </c>
      <c r="N741">
        <f>IF(AND(L741&lt;&gt;"",LEFT(L741,1)="N",M741&lt;&gt;"PICKING",M741&lt;&gt;""),1,0)</f>
        <v/>
      </c>
      <c r="O741">
        <f>IF(N741=1,M741&amp;"|"&amp;L741,REPT("z",40))</f>
        <v/>
      </c>
      <c r="P741">
        <f>IF(N741=1,COUNTIF($O$4:$O$2003,"&lt;"&amp;O741)+1,"")</f>
        <v/>
      </c>
      <c r="Q741">
        <f>IF(OR($R740="",$R740="T"),"",IF($R740="B",$Q740,IF($Q740+1&gt;$K$3,"",$Q740+1)))</f>
        <v/>
      </c>
      <c r="R741">
        <f>IF(OR($R740="",$R740="T"),"",IF($R740="B","S",IF($Q740+1&gt;$K$3,"T",IF(INDEX($M$4:$M$2003,MATCH($Q740+1,$P$4:$P$2003,0))&lt;&gt;INDEX($M$4:$M$2003,MATCH($Q740,$P$4:$P$2003,0)),"B","S"))))</f>
        <v/>
      </c>
      <c r="S741">
        <f>IF(Q741="","",IFERROR(MATCH(Q741,$P$4:$P$2003,0),""))</f>
        <v/>
      </c>
    </row>
    <row r="742">
      <c r="A742" s="4">
        <f>IF($R742="","",IF($R742="T","Gesamtergebnis",IF($R742="B",INDEX($M$4:$M$2003,$S742),INDEX($L$4:$L$2003,$S742))))</f>
        <v/>
      </c>
      <c r="B742" s="4">
        <f>IF($R742="","",IF($R742="T",$K$3,IF($R742="B",COUNTIFS($M$4:$M$2003,INDEX($M$4:$M$2003,$S742),$N$4:$N$2003,1),1)))</f>
        <v/>
      </c>
      <c r="L742">
        <f>IF($K$1="","",IFERROR(INDEX(Lines!$A:$AA,ROW()-2,$K$1),""))</f>
        <v/>
      </c>
      <c r="M742">
        <f>IF($K$2="","",IFERROR(INDEX(Lines!$A:$AA,ROW()-2,$K$2),""))</f>
        <v/>
      </c>
      <c r="N742">
        <f>IF(AND(L742&lt;&gt;"",LEFT(L742,1)="N",M742&lt;&gt;"PICKING",M742&lt;&gt;""),1,0)</f>
        <v/>
      </c>
      <c r="O742">
        <f>IF(N742=1,M742&amp;"|"&amp;L742,REPT("z",40))</f>
        <v/>
      </c>
      <c r="P742">
        <f>IF(N742=1,COUNTIF($O$4:$O$2003,"&lt;"&amp;O742)+1,"")</f>
        <v/>
      </c>
      <c r="Q742">
        <f>IF(OR($R741="",$R741="T"),"",IF($R741="B",$Q741,IF($Q741+1&gt;$K$3,"",$Q741+1)))</f>
        <v/>
      </c>
      <c r="R742">
        <f>IF(OR($R741="",$R741="T"),"",IF($R741="B","S",IF($Q741+1&gt;$K$3,"T",IF(INDEX($M$4:$M$2003,MATCH($Q741+1,$P$4:$P$2003,0))&lt;&gt;INDEX($M$4:$M$2003,MATCH($Q741,$P$4:$P$2003,0)),"B","S"))))</f>
        <v/>
      </c>
      <c r="S742">
        <f>IF(Q742="","",IFERROR(MATCH(Q742,$P$4:$P$2003,0),""))</f>
        <v/>
      </c>
    </row>
    <row r="743">
      <c r="A743" s="4">
        <f>IF($R743="","",IF($R743="T","Gesamtergebnis",IF($R743="B",INDEX($M$4:$M$2003,$S743),INDEX($L$4:$L$2003,$S743))))</f>
        <v/>
      </c>
      <c r="B743" s="4">
        <f>IF($R743="","",IF($R743="T",$K$3,IF($R743="B",COUNTIFS($M$4:$M$2003,INDEX($M$4:$M$2003,$S743),$N$4:$N$2003,1),1)))</f>
        <v/>
      </c>
      <c r="L743">
        <f>IF($K$1="","",IFERROR(INDEX(Lines!$A:$AA,ROW()-2,$K$1),""))</f>
        <v/>
      </c>
      <c r="M743">
        <f>IF($K$2="","",IFERROR(INDEX(Lines!$A:$AA,ROW()-2,$K$2),""))</f>
        <v/>
      </c>
      <c r="N743">
        <f>IF(AND(L743&lt;&gt;"",LEFT(L743,1)="N",M743&lt;&gt;"PICKING",M743&lt;&gt;""),1,0)</f>
        <v/>
      </c>
      <c r="O743">
        <f>IF(N743=1,M743&amp;"|"&amp;L743,REPT("z",40))</f>
        <v/>
      </c>
      <c r="P743">
        <f>IF(N743=1,COUNTIF($O$4:$O$2003,"&lt;"&amp;O743)+1,"")</f>
        <v/>
      </c>
      <c r="Q743">
        <f>IF(OR($R742="",$R742="T"),"",IF($R742="B",$Q742,IF($Q742+1&gt;$K$3,"",$Q742+1)))</f>
        <v/>
      </c>
      <c r="R743">
        <f>IF(OR($R742="",$R742="T"),"",IF($R742="B","S",IF($Q742+1&gt;$K$3,"T",IF(INDEX($M$4:$M$2003,MATCH($Q742+1,$P$4:$P$2003,0))&lt;&gt;INDEX($M$4:$M$2003,MATCH($Q742,$P$4:$P$2003,0)),"B","S"))))</f>
        <v/>
      </c>
      <c r="S743">
        <f>IF(Q743="","",IFERROR(MATCH(Q743,$P$4:$P$2003,0),""))</f>
        <v/>
      </c>
    </row>
    <row r="744">
      <c r="A744" s="4">
        <f>IF($R744="","",IF($R744="T","Gesamtergebnis",IF($R744="B",INDEX($M$4:$M$2003,$S744),INDEX($L$4:$L$2003,$S744))))</f>
        <v/>
      </c>
      <c r="B744" s="4">
        <f>IF($R744="","",IF($R744="T",$K$3,IF($R744="B",COUNTIFS($M$4:$M$2003,INDEX($M$4:$M$2003,$S744),$N$4:$N$2003,1),1)))</f>
        <v/>
      </c>
      <c r="L744">
        <f>IF($K$1="","",IFERROR(INDEX(Lines!$A:$AA,ROW()-2,$K$1),""))</f>
        <v/>
      </c>
      <c r="M744">
        <f>IF($K$2="","",IFERROR(INDEX(Lines!$A:$AA,ROW()-2,$K$2),""))</f>
        <v/>
      </c>
      <c r="N744">
        <f>IF(AND(L744&lt;&gt;"",LEFT(L744,1)="N",M744&lt;&gt;"PICKING",M744&lt;&gt;""),1,0)</f>
        <v/>
      </c>
      <c r="O744">
        <f>IF(N744=1,M744&amp;"|"&amp;L744,REPT("z",40))</f>
        <v/>
      </c>
      <c r="P744">
        <f>IF(N744=1,COUNTIF($O$4:$O$2003,"&lt;"&amp;O744)+1,"")</f>
        <v/>
      </c>
      <c r="Q744">
        <f>IF(OR($R743="",$R743="T"),"",IF($R743="B",$Q743,IF($Q743+1&gt;$K$3,"",$Q743+1)))</f>
        <v/>
      </c>
      <c r="R744">
        <f>IF(OR($R743="",$R743="T"),"",IF($R743="B","S",IF($Q743+1&gt;$K$3,"T",IF(INDEX($M$4:$M$2003,MATCH($Q743+1,$P$4:$P$2003,0))&lt;&gt;INDEX($M$4:$M$2003,MATCH($Q743,$P$4:$P$2003,0)),"B","S"))))</f>
        <v/>
      </c>
      <c r="S744">
        <f>IF(Q744="","",IFERROR(MATCH(Q744,$P$4:$P$2003,0),""))</f>
        <v/>
      </c>
    </row>
    <row r="745">
      <c r="A745" s="4">
        <f>IF($R745="","",IF($R745="T","Gesamtergebnis",IF($R745="B",INDEX($M$4:$M$2003,$S745),INDEX($L$4:$L$2003,$S745))))</f>
        <v/>
      </c>
      <c r="B745" s="4">
        <f>IF($R745="","",IF($R745="T",$K$3,IF($R745="B",COUNTIFS($M$4:$M$2003,INDEX($M$4:$M$2003,$S745),$N$4:$N$2003,1),1)))</f>
        <v/>
      </c>
      <c r="L745">
        <f>IF($K$1="","",IFERROR(INDEX(Lines!$A:$AA,ROW()-2,$K$1),""))</f>
        <v/>
      </c>
      <c r="M745">
        <f>IF($K$2="","",IFERROR(INDEX(Lines!$A:$AA,ROW()-2,$K$2),""))</f>
        <v/>
      </c>
      <c r="N745">
        <f>IF(AND(L745&lt;&gt;"",LEFT(L745,1)="N",M745&lt;&gt;"PICKING",M745&lt;&gt;""),1,0)</f>
        <v/>
      </c>
      <c r="O745">
        <f>IF(N745=1,M745&amp;"|"&amp;L745,REPT("z",40))</f>
        <v/>
      </c>
      <c r="P745">
        <f>IF(N745=1,COUNTIF($O$4:$O$2003,"&lt;"&amp;O745)+1,"")</f>
        <v/>
      </c>
      <c r="Q745">
        <f>IF(OR($R744="",$R744="T"),"",IF($R744="B",$Q744,IF($Q744+1&gt;$K$3,"",$Q744+1)))</f>
        <v/>
      </c>
      <c r="R745">
        <f>IF(OR($R744="",$R744="T"),"",IF($R744="B","S",IF($Q744+1&gt;$K$3,"T",IF(INDEX($M$4:$M$2003,MATCH($Q744+1,$P$4:$P$2003,0))&lt;&gt;INDEX($M$4:$M$2003,MATCH($Q744,$P$4:$P$2003,0)),"B","S"))))</f>
        <v/>
      </c>
      <c r="S745">
        <f>IF(Q745="","",IFERROR(MATCH(Q745,$P$4:$P$2003,0),""))</f>
        <v/>
      </c>
    </row>
    <row r="746">
      <c r="A746" s="4">
        <f>IF($R746="","",IF($R746="T","Gesamtergebnis",IF($R746="B",INDEX($M$4:$M$2003,$S746),INDEX($L$4:$L$2003,$S746))))</f>
        <v/>
      </c>
      <c r="B746" s="4">
        <f>IF($R746="","",IF($R746="T",$K$3,IF($R746="B",COUNTIFS($M$4:$M$2003,INDEX($M$4:$M$2003,$S746),$N$4:$N$2003,1),1)))</f>
        <v/>
      </c>
      <c r="L746">
        <f>IF($K$1="","",IFERROR(INDEX(Lines!$A:$AA,ROW()-2,$K$1),""))</f>
        <v/>
      </c>
      <c r="M746">
        <f>IF($K$2="","",IFERROR(INDEX(Lines!$A:$AA,ROW()-2,$K$2),""))</f>
        <v/>
      </c>
      <c r="N746">
        <f>IF(AND(L746&lt;&gt;"",LEFT(L746,1)="N",M746&lt;&gt;"PICKING",M746&lt;&gt;""),1,0)</f>
        <v/>
      </c>
      <c r="O746">
        <f>IF(N746=1,M746&amp;"|"&amp;L746,REPT("z",40))</f>
        <v/>
      </c>
      <c r="P746">
        <f>IF(N746=1,COUNTIF($O$4:$O$2003,"&lt;"&amp;O746)+1,"")</f>
        <v/>
      </c>
      <c r="Q746">
        <f>IF(OR($R745="",$R745="T"),"",IF($R745="B",$Q745,IF($Q745+1&gt;$K$3,"",$Q745+1)))</f>
        <v/>
      </c>
      <c r="R746">
        <f>IF(OR($R745="",$R745="T"),"",IF($R745="B","S",IF($Q745+1&gt;$K$3,"T",IF(INDEX($M$4:$M$2003,MATCH($Q745+1,$P$4:$P$2003,0))&lt;&gt;INDEX($M$4:$M$2003,MATCH($Q745,$P$4:$P$2003,0)),"B","S"))))</f>
        <v/>
      </c>
      <c r="S746">
        <f>IF(Q746="","",IFERROR(MATCH(Q746,$P$4:$P$2003,0),""))</f>
        <v/>
      </c>
    </row>
    <row r="747">
      <c r="A747" s="4">
        <f>IF($R747="","",IF($R747="T","Gesamtergebnis",IF($R747="B",INDEX($M$4:$M$2003,$S747),INDEX($L$4:$L$2003,$S747))))</f>
        <v/>
      </c>
      <c r="B747" s="4">
        <f>IF($R747="","",IF($R747="T",$K$3,IF($R747="B",COUNTIFS($M$4:$M$2003,INDEX($M$4:$M$2003,$S747),$N$4:$N$2003,1),1)))</f>
        <v/>
      </c>
      <c r="L747">
        <f>IF($K$1="","",IFERROR(INDEX(Lines!$A:$AA,ROW()-2,$K$1),""))</f>
        <v/>
      </c>
      <c r="M747">
        <f>IF($K$2="","",IFERROR(INDEX(Lines!$A:$AA,ROW()-2,$K$2),""))</f>
        <v/>
      </c>
      <c r="N747">
        <f>IF(AND(L747&lt;&gt;"",LEFT(L747,1)="N",M747&lt;&gt;"PICKING",M747&lt;&gt;""),1,0)</f>
        <v/>
      </c>
      <c r="O747">
        <f>IF(N747=1,M747&amp;"|"&amp;L747,REPT("z",40))</f>
        <v/>
      </c>
      <c r="P747">
        <f>IF(N747=1,COUNTIF($O$4:$O$2003,"&lt;"&amp;O747)+1,"")</f>
        <v/>
      </c>
      <c r="Q747">
        <f>IF(OR($R746="",$R746="T"),"",IF($R746="B",$Q746,IF($Q746+1&gt;$K$3,"",$Q746+1)))</f>
        <v/>
      </c>
      <c r="R747">
        <f>IF(OR($R746="",$R746="T"),"",IF($R746="B","S",IF($Q746+1&gt;$K$3,"T",IF(INDEX($M$4:$M$2003,MATCH($Q746+1,$P$4:$P$2003,0))&lt;&gt;INDEX($M$4:$M$2003,MATCH($Q746,$P$4:$P$2003,0)),"B","S"))))</f>
        <v/>
      </c>
      <c r="S747">
        <f>IF(Q747="","",IFERROR(MATCH(Q747,$P$4:$P$2003,0),""))</f>
        <v/>
      </c>
    </row>
    <row r="748">
      <c r="A748" s="4">
        <f>IF($R748="","",IF($R748="T","Gesamtergebnis",IF($R748="B",INDEX($M$4:$M$2003,$S748),INDEX($L$4:$L$2003,$S748))))</f>
        <v/>
      </c>
      <c r="B748" s="4">
        <f>IF($R748="","",IF($R748="T",$K$3,IF($R748="B",COUNTIFS($M$4:$M$2003,INDEX($M$4:$M$2003,$S748),$N$4:$N$2003,1),1)))</f>
        <v/>
      </c>
      <c r="L748">
        <f>IF($K$1="","",IFERROR(INDEX(Lines!$A:$AA,ROW()-2,$K$1),""))</f>
        <v/>
      </c>
      <c r="M748">
        <f>IF($K$2="","",IFERROR(INDEX(Lines!$A:$AA,ROW()-2,$K$2),""))</f>
        <v/>
      </c>
      <c r="N748">
        <f>IF(AND(L748&lt;&gt;"",LEFT(L748,1)="N",M748&lt;&gt;"PICKING",M748&lt;&gt;""),1,0)</f>
        <v/>
      </c>
      <c r="O748">
        <f>IF(N748=1,M748&amp;"|"&amp;L748,REPT("z",40))</f>
        <v/>
      </c>
      <c r="P748">
        <f>IF(N748=1,COUNTIF($O$4:$O$2003,"&lt;"&amp;O748)+1,"")</f>
        <v/>
      </c>
      <c r="Q748">
        <f>IF(OR($R747="",$R747="T"),"",IF($R747="B",$Q747,IF($Q747+1&gt;$K$3,"",$Q747+1)))</f>
        <v/>
      </c>
      <c r="R748">
        <f>IF(OR($R747="",$R747="T"),"",IF($R747="B","S",IF($Q747+1&gt;$K$3,"T",IF(INDEX($M$4:$M$2003,MATCH($Q747+1,$P$4:$P$2003,0))&lt;&gt;INDEX($M$4:$M$2003,MATCH($Q747,$P$4:$P$2003,0)),"B","S"))))</f>
        <v/>
      </c>
      <c r="S748">
        <f>IF(Q748="","",IFERROR(MATCH(Q748,$P$4:$P$2003,0),""))</f>
        <v/>
      </c>
    </row>
    <row r="749">
      <c r="A749" s="4">
        <f>IF($R749="","",IF($R749="T","Gesamtergebnis",IF($R749="B",INDEX($M$4:$M$2003,$S749),INDEX($L$4:$L$2003,$S749))))</f>
        <v/>
      </c>
      <c r="B749" s="4">
        <f>IF($R749="","",IF($R749="T",$K$3,IF($R749="B",COUNTIFS($M$4:$M$2003,INDEX($M$4:$M$2003,$S749),$N$4:$N$2003,1),1)))</f>
        <v/>
      </c>
      <c r="L749">
        <f>IF($K$1="","",IFERROR(INDEX(Lines!$A:$AA,ROW()-2,$K$1),""))</f>
        <v/>
      </c>
      <c r="M749">
        <f>IF($K$2="","",IFERROR(INDEX(Lines!$A:$AA,ROW()-2,$K$2),""))</f>
        <v/>
      </c>
      <c r="N749">
        <f>IF(AND(L749&lt;&gt;"",LEFT(L749,1)="N",M749&lt;&gt;"PICKING",M749&lt;&gt;""),1,0)</f>
        <v/>
      </c>
      <c r="O749">
        <f>IF(N749=1,M749&amp;"|"&amp;L749,REPT("z",40))</f>
        <v/>
      </c>
      <c r="P749">
        <f>IF(N749=1,COUNTIF($O$4:$O$2003,"&lt;"&amp;O749)+1,"")</f>
        <v/>
      </c>
      <c r="Q749">
        <f>IF(OR($R748="",$R748="T"),"",IF($R748="B",$Q748,IF($Q748+1&gt;$K$3,"",$Q748+1)))</f>
        <v/>
      </c>
      <c r="R749">
        <f>IF(OR($R748="",$R748="T"),"",IF($R748="B","S",IF($Q748+1&gt;$K$3,"T",IF(INDEX($M$4:$M$2003,MATCH($Q748+1,$P$4:$P$2003,0))&lt;&gt;INDEX($M$4:$M$2003,MATCH($Q748,$P$4:$P$2003,0)),"B","S"))))</f>
        <v/>
      </c>
      <c r="S749">
        <f>IF(Q749="","",IFERROR(MATCH(Q749,$P$4:$P$2003,0),""))</f>
        <v/>
      </c>
    </row>
    <row r="750">
      <c r="A750" s="4">
        <f>IF($R750="","",IF($R750="T","Gesamtergebnis",IF($R750="B",INDEX($M$4:$M$2003,$S750),INDEX($L$4:$L$2003,$S750))))</f>
        <v/>
      </c>
      <c r="B750" s="4">
        <f>IF($R750="","",IF($R750="T",$K$3,IF($R750="B",COUNTIFS($M$4:$M$2003,INDEX($M$4:$M$2003,$S750),$N$4:$N$2003,1),1)))</f>
        <v/>
      </c>
      <c r="L750">
        <f>IF($K$1="","",IFERROR(INDEX(Lines!$A:$AA,ROW()-2,$K$1),""))</f>
        <v/>
      </c>
      <c r="M750">
        <f>IF($K$2="","",IFERROR(INDEX(Lines!$A:$AA,ROW()-2,$K$2),""))</f>
        <v/>
      </c>
      <c r="N750">
        <f>IF(AND(L750&lt;&gt;"",LEFT(L750,1)="N",M750&lt;&gt;"PICKING",M750&lt;&gt;""),1,0)</f>
        <v/>
      </c>
      <c r="O750">
        <f>IF(N750=1,M750&amp;"|"&amp;L750,REPT("z",40))</f>
        <v/>
      </c>
      <c r="P750">
        <f>IF(N750=1,COUNTIF($O$4:$O$2003,"&lt;"&amp;O750)+1,"")</f>
        <v/>
      </c>
      <c r="Q750">
        <f>IF(OR($R749="",$R749="T"),"",IF($R749="B",$Q749,IF($Q749+1&gt;$K$3,"",$Q749+1)))</f>
        <v/>
      </c>
      <c r="R750">
        <f>IF(OR($R749="",$R749="T"),"",IF($R749="B","S",IF($Q749+1&gt;$K$3,"T",IF(INDEX($M$4:$M$2003,MATCH($Q749+1,$P$4:$P$2003,0))&lt;&gt;INDEX($M$4:$M$2003,MATCH($Q749,$P$4:$P$2003,0)),"B","S"))))</f>
        <v/>
      </c>
      <c r="S750">
        <f>IF(Q750="","",IFERROR(MATCH(Q750,$P$4:$P$2003,0),""))</f>
        <v/>
      </c>
    </row>
    <row r="751">
      <c r="A751" s="4">
        <f>IF($R751="","",IF($R751="T","Gesamtergebnis",IF($R751="B",INDEX($M$4:$M$2003,$S751),INDEX($L$4:$L$2003,$S751))))</f>
        <v/>
      </c>
      <c r="B751" s="4">
        <f>IF($R751="","",IF($R751="T",$K$3,IF($R751="B",COUNTIFS($M$4:$M$2003,INDEX($M$4:$M$2003,$S751),$N$4:$N$2003,1),1)))</f>
        <v/>
      </c>
      <c r="L751">
        <f>IF($K$1="","",IFERROR(INDEX(Lines!$A:$AA,ROW()-2,$K$1),""))</f>
        <v/>
      </c>
      <c r="M751">
        <f>IF($K$2="","",IFERROR(INDEX(Lines!$A:$AA,ROW()-2,$K$2),""))</f>
        <v/>
      </c>
      <c r="N751">
        <f>IF(AND(L751&lt;&gt;"",LEFT(L751,1)="N",M751&lt;&gt;"PICKING",M751&lt;&gt;""),1,0)</f>
        <v/>
      </c>
      <c r="O751">
        <f>IF(N751=1,M751&amp;"|"&amp;L751,REPT("z",40))</f>
        <v/>
      </c>
      <c r="P751">
        <f>IF(N751=1,COUNTIF($O$4:$O$2003,"&lt;"&amp;O751)+1,"")</f>
        <v/>
      </c>
      <c r="Q751">
        <f>IF(OR($R750="",$R750="T"),"",IF($R750="B",$Q750,IF($Q750+1&gt;$K$3,"",$Q750+1)))</f>
        <v/>
      </c>
      <c r="R751">
        <f>IF(OR($R750="",$R750="T"),"",IF($R750="B","S",IF($Q750+1&gt;$K$3,"T",IF(INDEX($M$4:$M$2003,MATCH($Q750+1,$P$4:$P$2003,0))&lt;&gt;INDEX($M$4:$M$2003,MATCH($Q750,$P$4:$P$2003,0)),"B","S"))))</f>
        <v/>
      </c>
      <c r="S751">
        <f>IF(Q751="","",IFERROR(MATCH(Q751,$P$4:$P$2003,0),""))</f>
        <v/>
      </c>
    </row>
    <row r="752">
      <c r="A752" s="4">
        <f>IF($R752="","",IF($R752="T","Gesamtergebnis",IF($R752="B",INDEX($M$4:$M$2003,$S752),INDEX($L$4:$L$2003,$S752))))</f>
        <v/>
      </c>
      <c r="B752" s="4">
        <f>IF($R752="","",IF($R752="T",$K$3,IF($R752="B",COUNTIFS($M$4:$M$2003,INDEX($M$4:$M$2003,$S752),$N$4:$N$2003,1),1)))</f>
        <v/>
      </c>
      <c r="L752">
        <f>IF($K$1="","",IFERROR(INDEX(Lines!$A:$AA,ROW()-2,$K$1),""))</f>
        <v/>
      </c>
      <c r="M752">
        <f>IF($K$2="","",IFERROR(INDEX(Lines!$A:$AA,ROW()-2,$K$2),""))</f>
        <v/>
      </c>
      <c r="N752">
        <f>IF(AND(L752&lt;&gt;"",LEFT(L752,1)="N",M752&lt;&gt;"PICKING",M752&lt;&gt;""),1,0)</f>
        <v/>
      </c>
      <c r="O752">
        <f>IF(N752=1,M752&amp;"|"&amp;L752,REPT("z",40))</f>
        <v/>
      </c>
      <c r="P752">
        <f>IF(N752=1,COUNTIF($O$4:$O$2003,"&lt;"&amp;O752)+1,"")</f>
        <v/>
      </c>
      <c r="Q752">
        <f>IF(OR($R751="",$R751="T"),"",IF($R751="B",$Q751,IF($Q751+1&gt;$K$3,"",$Q751+1)))</f>
        <v/>
      </c>
      <c r="R752">
        <f>IF(OR($R751="",$R751="T"),"",IF($R751="B","S",IF($Q751+1&gt;$K$3,"T",IF(INDEX($M$4:$M$2003,MATCH($Q751+1,$P$4:$P$2003,0))&lt;&gt;INDEX($M$4:$M$2003,MATCH($Q751,$P$4:$P$2003,0)),"B","S"))))</f>
        <v/>
      </c>
      <c r="S752">
        <f>IF(Q752="","",IFERROR(MATCH(Q752,$P$4:$P$2003,0),""))</f>
        <v/>
      </c>
    </row>
    <row r="753">
      <c r="A753" s="4">
        <f>IF($R753="","",IF($R753="T","Gesamtergebnis",IF($R753="B",INDEX($M$4:$M$2003,$S753),INDEX($L$4:$L$2003,$S753))))</f>
        <v/>
      </c>
      <c r="B753" s="4">
        <f>IF($R753="","",IF($R753="T",$K$3,IF($R753="B",COUNTIFS($M$4:$M$2003,INDEX($M$4:$M$2003,$S753),$N$4:$N$2003,1),1)))</f>
        <v/>
      </c>
      <c r="L753">
        <f>IF($K$1="","",IFERROR(INDEX(Lines!$A:$AA,ROW()-2,$K$1),""))</f>
        <v/>
      </c>
      <c r="M753">
        <f>IF($K$2="","",IFERROR(INDEX(Lines!$A:$AA,ROW()-2,$K$2),""))</f>
        <v/>
      </c>
      <c r="N753">
        <f>IF(AND(L753&lt;&gt;"",LEFT(L753,1)="N",M753&lt;&gt;"PICKING",M753&lt;&gt;""),1,0)</f>
        <v/>
      </c>
      <c r="O753">
        <f>IF(N753=1,M753&amp;"|"&amp;L753,REPT("z",40))</f>
        <v/>
      </c>
      <c r="P753">
        <f>IF(N753=1,COUNTIF($O$4:$O$2003,"&lt;"&amp;O753)+1,"")</f>
        <v/>
      </c>
      <c r="Q753">
        <f>IF(OR($R752="",$R752="T"),"",IF($R752="B",$Q752,IF($Q752+1&gt;$K$3,"",$Q752+1)))</f>
        <v/>
      </c>
      <c r="R753">
        <f>IF(OR($R752="",$R752="T"),"",IF($R752="B","S",IF($Q752+1&gt;$K$3,"T",IF(INDEX($M$4:$M$2003,MATCH($Q752+1,$P$4:$P$2003,0))&lt;&gt;INDEX($M$4:$M$2003,MATCH($Q752,$P$4:$P$2003,0)),"B","S"))))</f>
        <v/>
      </c>
      <c r="S753">
        <f>IF(Q753="","",IFERROR(MATCH(Q753,$P$4:$P$2003,0),""))</f>
        <v/>
      </c>
    </row>
    <row r="754">
      <c r="A754" s="4">
        <f>IF($R754="","",IF($R754="T","Gesamtergebnis",IF($R754="B",INDEX($M$4:$M$2003,$S754),INDEX($L$4:$L$2003,$S754))))</f>
        <v/>
      </c>
      <c r="B754" s="4">
        <f>IF($R754="","",IF($R754="T",$K$3,IF($R754="B",COUNTIFS($M$4:$M$2003,INDEX($M$4:$M$2003,$S754),$N$4:$N$2003,1),1)))</f>
        <v/>
      </c>
      <c r="L754">
        <f>IF($K$1="","",IFERROR(INDEX(Lines!$A:$AA,ROW()-2,$K$1),""))</f>
        <v/>
      </c>
      <c r="M754">
        <f>IF($K$2="","",IFERROR(INDEX(Lines!$A:$AA,ROW()-2,$K$2),""))</f>
        <v/>
      </c>
      <c r="N754">
        <f>IF(AND(L754&lt;&gt;"",LEFT(L754,1)="N",M754&lt;&gt;"PICKING",M754&lt;&gt;""),1,0)</f>
        <v/>
      </c>
      <c r="O754">
        <f>IF(N754=1,M754&amp;"|"&amp;L754,REPT("z",40))</f>
        <v/>
      </c>
      <c r="P754">
        <f>IF(N754=1,COUNTIF($O$4:$O$2003,"&lt;"&amp;O754)+1,"")</f>
        <v/>
      </c>
      <c r="Q754">
        <f>IF(OR($R753="",$R753="T"),"",IF($R753="B",$Q753,IF($Q753+1&gt;$K$3,"",$Q753+1)))</f>
        <v/>
      </c>
      <c r="R754">
        <f>IF(OR($R753="",$R753="T"),"",IF($R753="B","S",IF($Q753+1&gt;$K$3,"T",IF(INDEX($M$4:$M$2003,MATCH($Q753+1,$P$4:$P$2003,0))&lt;&gt;INDEX($M$4:$M$2003,MATCH($Q753,$P$4:$P$2003,0)),"B","S"))))</f>
        <v/>
      </c>
      <c r="S754">
        <f>IF(Q754="","",IFERROR(MATCH(Q754,$P$4:$P$2003,0),""))</f>
        <v/>
      </c>
    </row>
    <row r="755">
      <c r="A755" s="4">
        <f>IF($R755="","",IF($R755="T","Gesamtergebnis",IF($R755="B",INDEX($M$4:$M$2003,$S755),INDEX($L$4:$L$2003,$S755))))</f>
        <v/>
      </c>
      <c r="B755" s="4">
        <f>IF($R755="","",IF($R755="T",$K$3,IF($R755="B",COUNTIFS($M$4:$M$2003,INDEX($M$4:$M$2003,$S755),$N$4:$N$2003,1),1)))</f>
        <v/>
      </c>
      <c r="L755">
        <f>IF($K$1="","",IFERROR(INDEX(Lines!$A:$AA,ROW()-2,$K$1),""))</f>
        <v/>
      </c>
      <c r="M755">
        <f>IF($K$2="","",IFERROR(INDEX(Lines!$A:$AA,ROW()-2,$K$2),""))</f>
        <v/>
      </c>
      <c r="N755">
        <f>IF(AND(L755&lt;&gt;"",LEFT(L755,1)="N",M755&lt;&gt;"PICKING",M755&lt;&gt;""),1,0)</f>
        <v/>
      </c>
      <c r="O755">
        <f>IF(N755=1,M755&amp;"|"&amp;L755,REPT("z",40))</f>
        <v/>
      </c>
      <c r="P755">
        <f>IF(N755=1,COUNTIF($O$4:$O$2003,"&lt;"&amp;O755)+1,"")</f>
        <v/>
      </c>
      <c r="Q755">
        <f>IF(OR($R754="",$R754="T"),"",IF($R754="B",$Q754,IF($Q754+1&gt;$K$3,"",$Q754+1)))</f>
        <v/>
      </c>
      <c r="R755">
        <f>IF(OR($R754="",$R754="T"),"",IF($R754="B","S",IF($Q754+1&gt;$K$3,"T",IF(INDEX($M$4:$M$2003,MATCH($Q754+1,$P$4:$P$2003,0))&lt;&gt;INDEX($M$4:$M$2003,MATCH($Q754,$P$4:$P$2003,0)),"B","S"))))</f>
        <v/>
      </c>
      <c r="S755">
        <f>IF(Q755="","",IFERROR(MATCH(Q755,$P$4:$P$2003,0),""))</f>
        <v/>
      </c>
    </row>
    <row r="756">
      <c r="A756" s="4">
        <f>IF($R756="","",IF($R756="T","Gesamtergebnis",IF($R756="B",INDEX($M$4:$M$2003,$S756),INDEX($L$4:$L$2003,$S756))))</f>
        <v/>
      </c>
      <c r="B756" s="4">
        <f>IF($R756="","",IF($R756="T",$K$3,IF($R756="B",COUNTIFS($M$4:$M$2003,INDEX($M$4:$M$2003,$S756),$N$4:$N$2003,1),1)))</f>
        <v/>
      </c>
      <c r="L756">
        <f>IF($K$1="","",IFERROR(INDEX(Lines!$A:$AA,ROW()-2,$K$1),""))</f>
        <v/>
      </c>
      <c r="M756">
        <f>IF($K$2="","",IFERROR(INDEX(Lines!$A:$AA,ROW()-2,$K$2),""))</f>
        <v/>
      </c>
      <c r="N756">
        <f>IF(AND(L756&lt;&gt;"",LEFT(L756,1)="N",M756&lt;&gt;"PICKING",M756&lt;&gt;""),1,0)</f>
        <v/>
      </c>
      <c r="O756">
        <f>IF(N756=1,M756&amp;"|"&amp;L756,REPT("z",40))</f>
        <v/>
      </c>
      <c r="P756">
        <f>IF(N756=1,COUNTIF($O$4:$O$2003,"&lt;"&amp;O756)+1,"")</f>
        <v/>
      </c>
      <c r="Q756">
        <f>IF(OR($R755="",$R755="T"),"",IF($R755="B",$Q755,IF($Q755+1&gt;$K$3,"",$Q755+1)))</f>
        <v/>
      </c>
      <c r="R756">
        <f>IF(OR($R755="",$R755="T"),"",IF($R755="B","S",IF($Q755+1&gt;$K$3,"T",IF(INDEX($M$4:$M$2003,MATCH($Q755+1,$P$4:$P$2003,0))&lt;&gt;INDEX($M$4:$M$2003,MATCH($Q755,$P$4:$P$2003,0)),"B","S"))))</f>
        <v/>
      </c>
      <c r="S756">
        <f>IF(Q756="","",IFERROR(MATCH(Q756,$P$4:$P$2003,0),""))</f>
        <v/>
      </c>
    </row>
    <row r="757">
      <c r="A757" s="4">
        <f>IF($R757="","",IF($R757="T","Gesamtergebnis",IF($R757="B",INDEX($M$4:$M$2003,$S757),INDEX($L$4:$L$2003,$S757))))</f>
        <v/>
      </c>
      <c r="B757" s="4">
        <f>IF($R757="","",IF($R757="T",$K$3,IF($R757="B",COUNTIFS($M$4:$M$2003,INDEX($M$4:$M$2003,$S757),$N$4:$N$2003,1),1)))</f>
        <v/>
      </c>
      <c r="L757">
        <f>IF($K$1="","",IFERROR(INDEX(Lines!$A:$AA,ROW()-2,$K$1),""))</f>
        <v/>
      </c>
      <c r="M757">
        <f>IF($K$2="","",IFERROR(INDEX(Lines!$A:$AA,ROW()-2,$K$2),""))</f>
        <v/>
      </c>
      <c r="N757">
        <f>IF(AND(L757&lt;&gt;"",LEFT(L757,1)="N",M757&lt;&gt;"PICKING",M757&lt;&gt;""),1,0)</f>
        <v/>
      </c>
      <c r="O757">
        <f>IF(N757=1,M757&amp;"|"&amp;L757,REPT("z",40))</f>
        <v/>
      </c>
      <c r="P757">
        <f>IF(N757=1,COUNTIF($O$4:$O$2003,"&lt;"&amp;O757)+1,"")</f>
        <v/>
      </c>
      <c r="Q757">
        <f>IF(OR($R756="",$R756="T"),"",IF($R756="B",$Q756,IF($Q756+1&gt;$K$3,"",$Q756+1)))</f>
        <v/>
      </c>
      <c r="R757">
        <f>IF(OR($R756="",$R756="T"),"",IF($R756="B","S",IF($Q756+1&gt;$K$3,"T",IF(INDEX($M$4:$M$2003,MATCH($Q756+1,$P$4:$P$2003,0))&lt;&gt;INDEX($M$4:$M$2003,MATCH($Q756,$P$4:$P$2003,0)),"B","S"))))</f>
        <v/>
      </c>
      <c r="S757">
        <f>IF(Q757="","",IFERROR(MATCH(Q757,$P$4:$P$2003,0),""))</f>
        <v/>
      </c>
    </row>
    <row r="758">
      <c r="A758" s="4">
        <f>IF($R758="","",IF($R758="T","Gesamtergebnis",IF($R758="B",INDEX($M$4:$M$2003,$S758),INDEX($L$4:$L$2003,$S758))))</f>
        <v/>
      </c>
      <c r="B758" s="4">
        <f>IF($R758="","",IF($R758="T",$K$3,IF($R758="B",COUNTIFS($M$4:$M$2003,INDEX($M$4:$M$2003,$S758),$N$4:$N$2003,1),1)))</f>
        <v/>
      </c>
      <c r="L758">
        <f>IF($K$1="","",IFERROR(INDEX(Lines!$A:$AA,ROW()-2,$K$1),""))</f>
        <v/>
      </c>
      <c r="M758">
        <f>IF($K$2="","",IFERROR(INDEX(Lines!$A:$AA,ROW()-2,$K$2),""))</f>
        <v/>
      </c>
      <c r="N758">
        <f>IF(AND(L758&lt;&gt;"",LEFT(L758,1)="N",M758&lt;&gt;"PICKING",M758&lt;&gt;""),1,0)</f>
        <v/>
      </c>
      <c r="O758">
        <f>IF(N758=1,M758&amp;"|"&amp;L758,REPT("z",40))</f>
        <v/>
      </c>
      <c r="P758">
        <f>IF(N758=1,COUNTIF($O$4:$O$2003,"&lt;"&amp;O758)+1,"")</f>
        <v/>
      </c>
      <c r="Q758">
        <f>IF(OR($R757="",$R757="T"),"",IF($R757="B",$Q757,IF($Q757+1&gt;$K$3,"",$Q757+1)))</f>
        <v/>
      </c>
      <c r="R758">
        <f>IF(OR($R757="",$R757="T"),"",IF($R757="B","S",IF($Q757+1&gt;$K$3,"T",IF(INDEX($M$4:$M$2003,MATCH($Q757+1,$P$4:$P$2003,0))&lt;&gt;INDEX($M$4:$M$2003,MATCH($Q757,$P$4:$P$2003,0)),"B","S"))))</f>
        <v/>
      </c>
      <c r="S758">
        <f>IF(Q758="","",IFERROR(MATCH(Q758,$P$4:$P$2003,0),""))</f>
        <v/>
      </c>
    </row>
    <row r="759">
      <c r="A759" s="4">
        <f>IF($R759="","",IF($R759="T","Gesamtergebnis",IF($R759="B",INDEX($M$4:$M$2003,$S759),INDEX($L$4:$L$2003,$S759))))</f>
        <v/>
      </c>
      <c r="B759" s="4">
        <f>IF($R759="","",IF($R759="T",$K$3,IF($R759="B",COUNTIFS($M$4:$M$2003,INDEX($M$4:$M$2003,$S759),$N$4:$N$2003,1),1)))</f>
        <v/>
      </c>
      <c r="L759">
        <f>IF($K$1="","",IFERROR(INDEX(Lines!$A:$AA,ROW()-2,$K$1),""))</f>
        <v/>
      </c>
      <c r="M759">
        <f>IF($K$2="","",IFERROR(INDEX(Lines!$A:$AA,ROW()-2,$K$2),""))</f>
        <v/>
      </c>
      <c r="N759">
        <f>IF(AND(L759&lt;&gt;"",LEFT(L759,1)="N",M759&lt;&gt;"PICKING",M759&lt;&gt;""),1,0)</f>
        <v/>
      </c>
      <c r="O759">
        <f>IF(N759=1,M759&amp;"|"&amp;L759,REPT("z",40))</f>
        <v/>
      </c>
      <c r="P759">
        <f>IF(N759=1,COUNTIF($O$4:$O$2003,"&lt;"&amp;O759)+1,"")</f>
        <v/>
      </c>
      <c r="Q759">
        <f>IF(OR($R758="",$R758="T"),"",IF($R758="B",$Q758,IF($Q758+1&gt;$K$3,"",$Q758+1)))</f>
        <v/>
      </c>
      <c r="R759">
        <f>IF(OR($R758="",$R758="T"),"",IF($R758="B","S",IF($Q758+1&gt;$K$3,"T",IF(INDEX($M$4:$M$2003,MATCH($Q758+1,$P$4:$P$2003,0))&lt;&gt;INDEX($M$4:$M$2003,MATCH($Q758,$P$4:$P$2003,0)),"B","S"))))</f>
        <v/>
      </c>
      <c r="S759">
        <f>IF(Q759="","",IFERROR(MATCH(Q759,$P$4:$P$2003,0),""))</f>
        <v/>
      </c>
    </row>
    <row r="760">
      <c r="A760" s="4">
        <f>IF($R760="","",IF($R760="T","Gesamtergebnis",IF($R760="B",INDEX($M$4:$M$2003,$S760),INDEX($L$4:$L$2003,$S760))))</f>
        <v/>
      </c>
      <c r="B760" s="4">
        <f>IF($R760="","",IF($R760="T",$K$3,IF($R760="B",COUNTIFS($M$4:$M$2003,INDEX($M$4:$M$2003,$S760),$N$4:$N$2003,1),1)))</f>
        <v/>
      </c>
      <c r="L760">
        <f>IF($K$1="","",IFERROR(INDEX(Lines!$A:$AA,ROW()-2,$K$1),""))</f>
        <v/>
      </c>
      <c r="M760">
        <f>IF($K$2="","",IFERROR(INDEX(Lines!$A:$AA,ROW()-2,$K$2),""))</f>
        <v/>
      </c>
      <c r="N760">
        <f>IF(AND(L760&lt;&gt;"",LEFT(L760,1)="N",M760&lt;&gt;"PICKING",M760&lt;&gt;""),1,0)</f>
        <v/>
      </c>
      <c r="O760">
        <f>IF(N760=1,M760&amp;"|"&amp;L760,REPT("z",40))</f>
        <v/>
      </c>
      <c r="P760">
        <f>IF(N760=1,COUNTIF($O$4:$O$2003,"&lt;"&amp;O760)+1,"")</f>
        <v/>
      </c>
      <c r="Q760">
        <f>IF(OR($R759="",$R759="T"),"",IF($R759="B",$Q759,IF($Q759+1&gt;$K$3,"",$Q759+1)))</f>
        <v/>
      </c>
      <c r="R760">
        <f>IF(OR($R759="",$R759="T"),"",IF($R759="B","S",IF($Q759+1&gt;$K$3,"T",IF(INDEX($M$4:$M$2003,MATCH($Q759+1,$P$4:$P$2003,0))&lt;&gt;INDEX($M$4:$M$2003,MATCH($Q759,$P$4:$P$2003,0)),"B","S"))))</f>
        <v/>
      </c>
      <c r="S760">
        <f>IF(Q760="","",IFERROR(MATCH(Q760,$P$4:$P$2003,0),""))</f>
        <v/>
      </c>
    </row>
    <row r="761">
      <c r="A761" s="4">
        <f>IF($R761="","",IF($R761="T","Gesamtergebnis",IF($R761="B",INDEX($M$4:$M$2003,$S761),INDEX($L$4:$L$2003,$S761))))</f>
        <v/>
      </c>
      <c r="B761" s="4">
        <f>IF($R761="","",IF($R761="T",$K$3,IF($R761="B",COUNTIFS($M$4:$M$2003,INDEX($M$4:$M$2003,$S761),$N$4:$N$2003,1),1)))</f>
        <v/>
      </c>
      <c r="L761">
        <f>IF($K$1="","",IFERROR(INDEX(Lines!$A:$AA,ROW()-2,$K$1),""))</f>
        <v/>
      </c>
      <c r="M761">
        <f>IF($K$2="","",IFERROR(INDEX(Lines!$A:$AA,ROW()-2,$K$2),""))</f>
        <v/>
      </c>
      <c r="N761">
        <f>IF(AND(L761&lt;&gt;"",LEFT(L761,1)="N",M761&lt;&gt;"PICKING",M761&lt;&gt;""),1,0)</f>
        <v/>
      </c>
      <c r="O761">
        <f>IF(N761=1,M761&amp;"|"&amp;L761,REPT("z",40))</f>
        <v/>
      </c>
      <c r="P761">
        <f>IF(N761=1,COUNTIF($O$4:$O$2003,"&lt;"&amp;O761)+1,"")</f>
        <v/>
      </c>
      <c r="Q761">
        <f>IF(OR($R760="",$R760="T"),"",IF($R760="B",$Q760,IF($Q760+1&gt;$K$3,"",$Q760+1)))</f>
        <v/>
      </c>
      <c r="R761">
        <f>IF(OR($R760="",$R760="T"),"",IF($R760="B","S",IF($Q760+1&gt;$K$3,"T",IF(INDEX($M$4:$M$2003,MATCH($Q760+1,$P$4:$P$2003,0))&lt;&gt;INDEX($M$4:$M$2003,MATCH($Q760,$P$4:$P$2003,0)),"B","S"))))</f>
        <v/>
      </c>
      <c r="S761">
        <f>IF(Q761="","",IFERROR(MATCH(Q761,$P$4:$P$2003,0),""))</f>
        <v/>
      </c>
    </row>
    <row r="762">
      <c r="A762" s="4">
        <f>IF($R762="","",IF($R762="T","Gesamtergebnis",IF($R762="B",INDEX($M$4:$M$2003,$S762),INDEX($L$4:$L$2003,$S762))))</f>
        <v/>
      </c>
      <c r="B762" s="4">
        <f>IF($R762="","",IF($R762="T",$K$3,IF($R762="B",COUNTIFS($M$4:$M$2003,INDEX($M$4:$M$2003,$S762),$N$4:$N$2003,1),1)))</f>
        <v/>
      </c>
      <c r="L762">
        <f>IF($K$1="","",IFERROR(INDEX(Lines!$A:$AA,ROW()-2,$K$1),""))</f>
        <v/>
      </c>
      <c r="M762">
        <f>IF($K$2="","",IFERROR(INDEX(Lines!$A:$AA,ROW()-2,$K$2),""))</f>
        <v/>
      </c>
      <c r="N762">
        <f>IF(AND(L762&lt;&gt;"",LEFT(L762,1)="N",M762&lt;&gt;"PICKING",M762&lt;&gt;""),1,0)</f>
        <v/>
      </c>
      <c r="O762">
        <f>IF(N762=1,M762&amp;"|"&amp;L762,REPT("z",40))</f>
        <v/>
      </c>
      <c r="P762">
        <f>IF(N762=1,COUNTIF($O$4:$O$2003,"&lt;"&amp;O762)+1,"")</f>
        <v/>
      </c>
      <c r="Q762">
        <f>IF(OR($R761="",$R761="T"),"",IF($R761="B",$Q761,IF($Q761+1&gt;$K$3,"",$Q761+1)))</f>
        <v/>
      </c>
      <c r="R762">
        <f>IF(OR($R761="",$R761="T"),"",IF($R761="B","S",IF($Q761+1&gt;$K$3,"T",IF(INDEX($M$4:$M$2003,MATCH($Q761+1,$P$4:$P$2003,0))&lt;&gt;INDEX($M$4:$M$2003,MATCH($Q761,$P$4:$P$2003,0)),"B","S"))))</f>
        <v/>
      </c>
      <c r="S762">
        <f>IF(Q762="","",IFERROR(MATCH(Q762,$P$4:$P$2003,0),""))</f>
        <v/>
      </c>
    </row>
    <row r="763">
      <c r="A763" s="4">
        <f>IF($R763="","",IF($R763="T","Gesamtergebnis",IF($R763="B",INDEX($M$4:$M$2003,$S763),INDEX($L$4:$L$2003,$S763))))</f>
        <v/>
      </c>
      <c r="B763" s="4">
        <f>IF($R763="","",IF($R763="T",$K$3,IF($R763="B",COUNTIFS($M$4:$M$2003,INDEX($M$4:$M$2003,$S763),$N$4:$N$2003,1),1)))</f>
        <v/>
      </c>
      <c r="L763">
        <f>IF($K$1="","",IFERROR(INDEX(Lines!$A:$AA,ROW()-2,$K$1),""))</f>
        <v/>
      </c>
      <c r="M763">
        <f>IF($K$2="","",IFERROR(INDEX(Lines!$A:$AA,ROW()-2,$K$2),""))</f>
        <v/>
      </c>
      <c r="N763">
        <f>IF(AND(L763&lt;&gt;"",LEFT(L763,1)="N",M763&lt;&gt;"PICKING",M763&lt;&gt;""),1,0)</f>
        <v/>
      </c>
      <c r="O763">
        <f>IF(N763=1,M763&amp;"|"&amp;L763,REPT("z",40))</f>
        <v/>
      </c>
      <c r="P763">
        <f>IF(N763=1,COUNTIF($O$4:$O$2003,"&lt;"&amp;O763)+1,"")</f>
        <v/>
      </c>
      <c r="Q763">
        <f>IF(OR($R762="",$R762="T"),"",IF($R762="B",$Q762,IF($Q762+1&gt;$K$3,"",$Q762+1)))</f>
        <v/>
      </c>
      <c r="R763">
        <f>IF(OR($R762="",$R762="T"),"",IF($R762="B","S",IF($Q762+1&gt;$K$3,"T",IF(INDEX($M$4:$M$2003,MATCH($Q762+1,$P$4:$P$2003,0))&lt;&gt;INDEX($M$4:$M$2003,MATCH($Q762,$P$4:$P$2003,0)),"B","S"))))</f>
        <v/>
      </c>
      <c r="S763">
        <f>IF(Q763="","",IFERROR(MATCH(Q763,$P$4:$P$2003,0),""))</f>
        <v/>
      </c>
    </row>
    <row r="764">
      <c r="A764" s="4">
        <f>IF($R764="","",IF($R764="T","Gesamtergebnis",IF($R764="B",INDEX($M$4:$M$2003,$S764),INDEX($L$4:$L$2003,$S764))))</f>
        <v/>
      </c>
      <c r="B764" s="4">
        <f>IF($R764="","",IF($R764="T",$K$3,IF($R764="B",COUNTIFS($M$4:$M$2003,INDEX($M$4:$M$2003,$S764),$N$4:$N$2003,1),1)))</f>
        <v/>
      </c>
      <c r="L764">
        <f>IF($K$1="","",IFERROR(INDEX(Lines!$A:$AA,ROW()-2,$K$1),""))</f>
        <v/>
      </c>
      <c r="M764">
        <f>IF($K$2="","",IFERROR(INDEX(Lines!$A:$AA,ROW()-2,$K$2),""))</f>
        <v/>
      </c>
      <c r="N764">
        <f>IF(AND(L764&lt;&gt;"",LEFT(L764,1)="N",M764&lt;&gt;"PICKING",M764&lt;&gt;""),1,0)</f>
        <v/>
      </c>
      <c r="O764">
        <f>IF(N764=1,M764&amp;"|"&amp;L764,REPT("z",40))</f>
        <v/>
      </c>
      <c r="P764">
        <f>IF(N764=1,COUNTIF($O$4:$O$2003,"&lt;"&amp;O764)+1,"")</f>
        <v/>
      </c>
      <c r="Q764">
        <f>IF(OR($R763="",$R763="T"),"",IF($R763="B",$Q763,IF($Q763+1&gt;$K$3,"",$Q763+1)))</f>
        <v/>
      </c>
      <c r="R764">
        <f>IF(OR($R763="",$R763="T"),"",IF($R763="B","S",IF($Q763+1&gt;$K$3,"T",IF(INDEX($M$4:$M$2003,MATCH($Q763+1,$P$4:$P$2003,0))&lt;&gt;INDEX($M$4:$M$2003,MATCH($Q763,$P$4:$P$2003,0)),"B","S"))))</f>
        <v/>
      </c>
      <c r="S764">
        <f>IF(Q764="","",IFERROR(MATCH(Q764,$P$4:$P$2003,0),""))</f>
        <v/>
      </c>
    </row>
    <row r="765">
      <c r="A765" s="4">
        <f>IF($R765="","",IF($R765="T","Gesamtergebnis",IF($R765="B",INDEX($M$4:$M$2003,$S765),INDEX($L$4:$L$2003,$S765))))</f>
        <v/>
      </c>
      <c r="B765" s="4">
        <f>IF($R765="","",IF($R765="T",$K$3,IF($R765="B",COUNTIFS($M$4:$M$2003,INDEX($M$4:$M$2003,$S765),$N$4:$N$2003,1),1)))</f>
        <v/>
      </c>
      <c r="L765">
        <f>IF($K$1="","",IFERROR(INDEX(Lines!$A:$AA,ROW()-2,$K$1),""))</f>
        <v/>
      </c>
      <c r="M765">
        <f>IF($K$2="","",IFERROR(INDEX(Lines!$A:$AA,ROW()-2,$K$2),""))</f>
        <v/>
      </c>
      <c r="N765">
        <f>IF(AND(L765&lt;&gt;"",LEFT(L765,1)="N",M765&lt;&gt;"PICKING",M765&lt;&gt;""),1,0)</f>
        <v/>
      </c>
      <c r="O765">
        <f>IF(N765=1,M765&amp;"|"&amp;L765,REPT("z",40))</f>
        <v/>
      </c>
      <c r="P765">
        <f>IF(N765=1,COUNTIF($O$4:$O$2003,"&lt;"&amp;O765)+1,"")</f>
        <v/>
      </c>
      <c r="Q765">
        <f>IF(OR($R764="",$R764="T"),"",IF($R764="B",$Q764,IF($Q764+1&gt;$K$3,"",$Q764+1)))</f>
        <v/>
      </c>
      <c r="R765">
        <f>IF(OR($R764="",$R764="T"),"",IF($R764="B","S",IF($Q764+1&gt;$K$3,"T",IF(INDEX($M$4:$M$2003,MATCH($Q764+1,$P$4:$P$2003,0))&lt;&gt;INDEX($M$4:$M$2003,MATCH($Q764,$P$4:$P$2003,0)),"B","S"))))</f>
        <v/>
      </c>
      <c r="S765">
        <f>IF(Q765="","",IFERROR(MATCH(Q765,$P$4:$P$2003,0),""))</f>
        <v/>
      </c>
    </row>
    <row r="766">
      <c r="A766" s="4">
        <f>IF($R766="","",IF($R766="T","Gesamtergebnis",IF($R766="B",INDEX($M$4:$M$2003,$S766),INDEX($L$4:$L$2003,$S766))))</f>
        <v/>
      </c>
      <c r="B766" s="4">
        <f>IF($R766="","",IF($R766="T",$K$3,IF($R766="B",COUNTIFS($M$4:$M$2003,INDEX($M$4:$M$2003,$S766),$N$4:$N$2003,1),1)))</f>
        <v/>
      </c>
      <c r="L766">
        <f>IF($K$1="","",IFERROR(INDEX(Lines!$A:$AA,ROW()-2,$K$1),""))</f>
        <v/>
      </c>
      <c r="M766">
        <f>IF($K$2="","",IFERROR(INDEX(Lines!$A:$AA,ROW()-2,$K$2),""))</f>
        <v/>
      </c>
      <c r="N766">
        <f>IF(AND(L766&lt;&gt;"",LEFT(L766,1)="N",M766&lt;&gt;"PICKING",M766&lt;&gt;""),1,0)</f>
        <v/>
      </c>
      <c r="O766">
        <f>IF(N766=1,M766&amp;"|"&amp;L766,REPT("z",40))</f>
        <v/>
      </c>
      <c r="P766">
        <f>IF(N766=1,COUNTIF($O$4:$O$2003,"&lt;"&amp;O766)+1,"")</f>
        <v/>
      </c>
      <c r="Q766">
        <f>IF(OR($R765="",$R765="T"),"",IF($R765="B",$Q765,IF($Q765+1&gt;$K$3,"",$Q765+1)))</f>
        <v/>
      </c>
      <c r="R766">
        <f>IF(OR($R765="",$R765="T"),"",IF($R765="B","S",IF($Q765+1&gt;$K$3,"T",IF(INDEX($M$4:$M$2003,MATCH($Q765+1,$P$4:$P$2003,0))&lt;&gt;INDEX($M$4:$M$2003,MATCH($Q765,$P$4:$P$2003,0)),"B","S"))))</f>
        <v/>
      </c>
      <c r="S766">
        <f>IF(Q766="","",IFERROR(MATCH(Q766,$P$4:$P$2003,0),""))</f>
        <v/>
      </c>
    </row>
    <row r="767">
      <c r="A767" s="4">
        <f>IF($R767="","",IF($R767="T","Gesamtergebnis",IF($R767="B",INDEX($M$4:$M$2003,$S767),INDEX($L$4:$L$2003,$S767))))</f>
        <v/>
      </c>
      <c r="B767" s="4">
        <f>IF($R767="","",IF($R767="T",$K$3,IF($R767="B",COUNTIFS($M$4:$M$2003,INDEX($M$4:$M$2003,$S767),$N$4:$N$2003,1),1)))</f>
        <v/>
      </c>
      <c r="L767">
        <f>IF($K$1="","",IFERROR(INDEX(Lines!$A:$AA,ROW()-2,$K$1),""))</f>
        <v/>
      </c>
      <c r="M767">
        <f>IF($K$2="","",IFERROR(INDEX(Lines!$A:$AA,ROW()-2,$K$2),""))</f>
        <v/>
      </c>
      <c r="N767">
        <f>IF(AND(L767&lt;&gt;"",LEFT(L767,1)="N",M767&lt;&gt;"PICKING",M767&lt;&gt;""),1,0)</f>
        <v/>
      </c>
      <c r="O767">
        <f>IF(N767=1,M767&amp;"|"&amp;L767,REPT("z",40))</f>
        <v/>
      </c>
      <c r="P767">
        <f>IF(N767=1,COUNTIF($O$4:$O$2003,"&lt;"&amp;O767)+1,"")</f>
        <v/>
      </c>
      <c r="Q767">
        <f>IF(OR($R766="",$R766="T"),"",IF($R766="B",$Q766,IF($Q766+1&gt;$K$3,"",$Q766+1)))</f>
        <v/>
      </c>
      <c r="R767">
        <f>IF(OR($R766="",$R766="T"),"",IF($R766="B","S",IF($Q766+1&gt;$K$3,"T",IF(INDEX($M$4:$M$2003,MATCH($Q766+1,$P$4:$P$2003,0))&lt;&gt;INDEX($M$4:$M$2003,MATCH($Q766,$P$4:$P$2003,0)),"B","S"))))</f>
        <v/>
      </c>
      <c r="S767">
        <f>IF(Q767="","",IFERROR(MATCH(Q767,$P$4:$P$2003,0),""))</f>
        <v/>
      </c>
    </row>
    <row r="768">
      <c r="A768" s="4">
        <f>IF($R768="","",IF($R768="T","Gesamtergebnis",IF($R768="B",INDEX($M$4:$M$2003,$S768),INDEX($L$4:$L$2003,$S768))))</f>
        <v/>
      </c>
      <c r="B768" s="4">
        <f>IF($R768="","",IF($R768="T",$K$3,IF($R768="B",COUNTIFS($M$4:$M$2003,INDEX($M$4:$M$2003,$S768),$N$4:$N$2003,1),1)))</f>
        <v/>
      </c>
      <c r="L768">
        <f>IF($K$1="","",IFERROR(INDEX(Lines!$A:$AA,ROW()-2,$K$1),""))</f>
        <v/>
      </c>
      <c r="M768">
        <f>IF($K$2="","",IFERROR(INDEX(Lines!$A:$AA,ROW()-2,$K$2),""))</f>
        <v/>
      </c>
      <c r="N768">
        <f>IF(AND(L768&lt;&gt;"",LEFT(L768,1)="N",M768&lt;&gt;"PICKING",M768&lt;&gt;""),1,0)</f>
        <v/>
      </c>
      <c r="O768">
        <f>IF(N768=1,M768&amp;"|"&amp;L768,REPT("z",40))</f>
        <v/>
      </c>
      <c r="P768">
        <f>IF(N768=1,COUNTIF($O$4:$O$2003,"&lt;"&amp;O768)+1,"")</f>
        <v/>
      </c>
      <c r="Q768">
        <f>IF(OR($R767="",$R767="T"),"",IF($R767="B",$Q767,IF($Q767+1&gt;$K$3,"",$Q767+1)))</f>
        <v/>
      </c>
      <c r="R768">
        <f>IF(OR($R767="",$R767="T"),"",IF($R767="B","S",IF($Q767+1&gt;$K$3,"T",IF(INDEX($M$4:$M$2003,MATCH($Q767+1,$P$4:$P$2003,0))&lt;&gt;INDEX($M$4:$M$2003,MATCH($Q767,$P$4:$P$2003,0)),"B","S"))))</f>
        <v/>
      </c>
      <c r="S768">
        <f>IF(Q768="","",IFERROR(MATCH(Q768,$P$4:$P$2003,0),""))</f>
        <v/>
      </c>
    </row>
    <row r="769">
      <c r="A769" s="4">
        <f>IF($R769="","",IF($R769="T","Gesamtergebnis",IF($R769="B",INDEX($M$4:$M$2003,$S769),INDEX($L$4:$L$2003,$S769))))</f>
        <v/>
      </c>
      <c r="B769" s="4">
        <f>IF($R769="","",IF($R769="T",$K$3,IF($R769="B",COUNTIFS($M$4:$M$2003,INDEX($M$4:$M$2003,$S769),$N$4:$N$2003,1),1)))</f>
        <v/>
      </c>
      <c r="L769">
        <f>IF($K$1="","",IFERROR(INDEX(Lines!$A:$AA,ROW()-2,$K$1),""))</f>
        <v/>
      </c>
      <c r="M769">
        <f>IF($K$2="","",IFERROR(INDEX(Lines!$A:$AA,ROW()-2,$K$2),""))</f>
        <v/>
      </c>
      <c r="N769">
        <f>IF(AND(L769&lt;&gt;"",LEFT(L769,1)="N",M769&lt;&gt;"PICKING",M769&lt;&gt;""),1,0)</f>
        <v/>
      </c>
      <c r="O769">
        <f>IF(N769=1,M769&amp;"|"&amp;L769,REPT("z",40))</f>
        <v/>
      </c>
      <c r="P769">
        <f>IF(N769=1,COUNTIF($O$4:$O$2003,"&lt;"&amp;O769)+1,"")</f>
        <v/>
      </c>
      <c r="Q769">
        <f>IF(OR($R768="",$R768="T"),"",IF($R768="B",$Q768,IF($Q768+1&gt;$K$3,"",$Q768+1)))</f>
        <v/>
      </c>
      <c r="R769">
        <f>IF(OR($R768="",$R768="T"),"",IF($R768="B","S",IF($Q768+1&gt;$K$3,"T",IF(INDEX($M$4:$M$2003,MATCH($Q768+1,$P$4:$P$2003,0))&lt;&gt;INDEX($M$4:$M$2003,MATCH($Q768,$P$4:$P$2003,0)),"B","S"))))</f>
        <v/>
      </c>
      <c r="S769">
        <f>IF(Q769="","",IFERROR(MATCH(Q769,$P$4:$P$2003,0),""))</f>
        <v/>
      </c>
    </row>
    <row r="770">
      <c r="A770" s="4">
        <f>IF($R770="","",IF($R770="T","Gesamtergebnis",IF($R770="B",INDEX($M$4:$M$2003,$S770),INDEX($L$4:$L$2003,$S770))))</f>
        <v/>
      </c>
      <c r="B770" s="4">
        <f>IF($R770="","",IF($R770="T",$K$3,IF($R770="B",COUNTIFS($M$4:$M$2003,INDEX($M$4:$M$2003,$S770),$N$4:$N$2003,1),1)))</f>
        <v/>
      </c>
      <c r="L770">
        <f>IF($K$1="","",IFERROR(INDEX(Lines!$A:$AA,ROW()-2,$K$1),""))</f>
        <v/>
      </c>
      <c r="M770">
        <f>IF($K$2="","",IFERROR(INDEX(Lines!$A:$AA,ROW()-2,$K$2),""))</f>
        <v/>
      </c>
      <c r="N770">
        <f>IF(AND(L770&lt;&gt;"",LEFT(L770,1)="N",M770&lt;&gt;"PICKING",M770&lt;&gt;""),1,0)</f>
        <v/>
      </c>
      <c r="O770">
        <f>IF(N770=1,M770&amp;"|"&amp;L770,REPT("z",40))</f>
        <v/>
      </c>
      <c r="P770">
        <f>IF(N770=1,COUNTIF($O$4:$O$2003,"&lt;"&amp;O770)+1,"")</f>
        <v/>
      </c>
      <c r="Q770">
        <f>IF(OR($R769="",$R769="T"),"",IF($R769="B",$Q769,IF($Q769+1&gt;$K$3,"",$Q769+1)))</f>
        <v/>
      </c>
      <c r="R770">
        <f>IF(OR($R769="",$R769="T"),"",IF($R769="B","S",IF($Q769+1&gt;$K$3,"T",IF(INDEX($M$4:$M$2003,MATCH($Q769+1,$P$4:$P$2003,0))&lt;&gt;INDEX($M$4:$M$2003,MATCH($Q769,$P$4:$P$2003,0)),"B","S"))))</f>
        <v/>
      </c>
      <c r="S770">
        <f>IF(Q770="","",IFERROR(MATCH(Q770,$P$4:$P$2003,0),""))</f>
        <v/>
      </c>
    </row>
    <row r="771">
      <c r="A771" s="4">
        <f>IF($R771="","",IF($R771="T","Gesamtergebnis",IF($R771="B",INDEX($M$4:$M$2003,$S771),INDEX($L$4:$L$2003,$S771))))</f>
        <v/>
      </c>
      <c r="B771" s="4">
        <f>IF($R771="","",IF($R771="T",$K$3,IF($R771="B",COUNTIFS($M$4:$M$2003,INDEX($M$4:$M$2003,$S771),$N$4:$N$2003,1),1)))</f>
        <v/>
      </c>
      <c r="L771">
        <f>IF($K$1="","",IFERROR(INDEX(Lines!$A:$AA,ROW()-2,$K$1),""))</f>
        <v/>
      </c>
      <c r="M771">
        <f>IF($K$2="","",IFERROR(INDEX(Lines!$A:$AA,ROW()-2,$K$2),""))</f>
        <v/>
      </c>
      <c r="N771">
        <f>IF(AND(L771&lt;&gt;"",LEFT(L771,1)="N",M771&lt;&gt;"PICKING",M771&lt;&gt;""),1,0)</f>
        <v/>
      </c>
      <c r="O771">
        <f>IF(N771=1,M771&amp;"|"&amp;L771,REPT("z",40))</f>
        <v/>
      </c>
      <c r="P771">
        <f>IF(N771=1,COUNTIF($O$4:$O$2003,"&lt;"&amp;O771)+1,"")</f>
        <v/>
      </c>
      <c r="Q771">
        <f>IF(OR($R770="",$R770="T"),"",IF($R770="B",$Q770,IF($Q770+1&gt;$K$3,"",$Q770+1)))</f>
        <v/>
      </c>
      <c r="R771">
        <f>IF(OR($R770="",$R770="T"),"",IF($R770="B","S",IF($Q770+1&gt;$K$3,"T",IF(INDEX($M$4:$M$2003,MATCH($Q770+1,$P$4:$P$2003,0))&lt;&gt;INDEX($M$4:$M$2003,MATCH($Q770,$P$4:$P$2003,0)),"B","S"))))</f>
        <v/>
      </c>
      <c r="S771">
        <f>IF(Q771="","",IFERROR(MATCH(Q771,$P$4:$P$2003,0),""))</f>
        <v/>
      </c>
    </row>
    <row r="772">
      <c r="A772" s="4">
        <f>IF($R772="","",IF($R772="T","Gesamtergebnis",IF($R772="B",INDEX($M$4:$M$2003,$S772),INDEX($L$4:$L$2003,$S772))))</f>
        <v/>
      </c>
      <c r="B772" s="4">
        <f>IF($R772="","",IF($R772="T",$K$3,IF($R772="B",COUNTIFS($M$4:$M$2003,INDEX($M$4:$M$2003,$S772),$N$4:$N$2003,1),1)))</f>
        <v/>
      </c>
      <c r="L772">
        <f>IF($K$1="","",IFERROR(INDEX(Lines!$A:$AA,ROW()-2,$K$1),""))</f>
        <v/>
      </c>
      <c r="M772">
        <f>IF($K$2="","",IFERROR(INDEX(Lines!$A:$AA,ROW()-2,$K$2),""))</f>
        <v/>
      </c>
      <c r="N772">
        <f>IF(AND(L772&lt;&gt;"",LEFT(L772,1)="N",M772&lt;&gt;"PICKING",M772&lt;&gt;""),1,0)</f>
        <v/>
      </c>
      <c r="O772">
        <f>IF(N772=1,M772&amp;"|"&amp;L772,REPT("z",40))</f>
        <v/>
      </c>
      <c r="P772">
        <f>IF(N772=1,COUNTIF($O$4:$O$2003,"&lt;"&amp;O772)+1,"")</f>
        <v/>
      </c>
      <c r="Q772">
        <f>IF(OR($R771="",$R771="T"),"",IF($R771="B",$Q771,IF($Q771+1&gt;$K$3,"",$Q771+1)))</f>
        <v/>
      </c>
      <c r="R772">
        <f>IF(OR($R771="",$R771="T"),"",IF($R771="B","S",IF($Q771+1&gt;$K$3,"T",IF(INDEX($M$4:$M$2003,MATCH($Q771+1,$P$4:$P$2003,0))&lt;&gt;INDEX($M$4:$M$2003,MATCH($Q771,$P$4:$P$2003,0)),"B","S"))))</f>
        <v/>
      </c>
      <c r="S772">
        <f>IF(Q772="","",IFERROR(MATCH(Q772,$P$4:$P$2003,0),""))</f>
        <v/>
      </c>
    </row>
    <row r="773">
      <c r="A773" s="4">
        <f>IF($R773="","",IF($R773="T","Gesamtergebnis",IF($R773="B",INDEX($M$4:$M$2003,$S773),INDEX($L$4:$L$2003,$S773))))</f>
        <v/>
      </c>
      <c r="B773" s="4">
        <f>IF($R773="","",IF($R773="T",$K$3,IF($R773="B",COUNTIFS($M$4:$M$2003,INDEX($M$4:$M$2003,$S773),$N$4:$N$2003,1),1)))</f>
        <v/>
      </c>
      <c r="L773">
        <f>IF($K$1="","",IFERROR(INDEX(Lines!$A:$AA,ROW()-2,$K$1),""))</f>
        <v/>
      </c>
      <c r="M773">
        <f>IF($K$2="","",IFERROR(INDEX(Lines!$A:$AA,ROW()-2,$K$2),""))</f>
        <v/>
      </c>
      <c r="N773">
        <f>IF(AND(L773&lt;&gt;"",LEFT(L773,1)="N",M773&lt;&gt;"PICKING",M773&lt;&gt;""),1,0)</f>
        <v/>
      </c>
      <c r="O773">
        <f>IF(N773=1,M773&amp;"|"&amp;L773,REPT("z",40))</f>
        <v/>
      </c>
      <c r="P773">
        <f>IF(N773=1,COUNTIF($O$4:$O$2003,"&lt;"&amp;O773)+1,"")</f>
        <v/>
      </c>
      <c r="Q773">
        <f>IF(OR($R772="",$R772="T"),"",IF($R772="B",$Q772,IF($Q772+1&gt;$K$3,"",$Q772+1)))</f>
        <v/>
      </c>
      <c r="R773">
        <f>IF(OR($R772="",$R772="T"),"",IF($R772="B","S",IF($Q772+1&gt;$K$3,"T",IF(INDEX($M$4:$M$2003,MATCH($Q772+1,$P$4:$P$2003,0))&lt;&gt;INDEX($M$4:$M$2003,MATCH($Q772,$P$4:$P$2003,0)),"B","S"))))</f>
        <v/>
      </c>
      <c r="S773">
        <f>IF(Q773="","",IFERROR(MATCH(Q773,$P$4:$P$2003,0),""))</f>
        <v/>
      </c>
    </row>
    <row r="774">
      <c r="A774" s="4">
        <f>IF($R774="","",IF($R774="T","Gesamtergebnis",IF($R774="B",INDEX($M$4:$M$2003,$S774),INDEX($L$4:$L$2003,$S774))))</f>
        <v/>
      </c>
      <c r="B774" s="4">
        <f>IF($R774="","",IF($R774="T",$K$3,IF($R774="B",COUNTIFS($M$4:$M$2003,INDEX($M$4:$M$2003,$S774),$N$4:$N$2003,1),1)))</f>
        <v/>
      </c>
      <c r="L774">
        <f>IF($K$1="","",IFERROR(INDEX(Lines!$A:$AA,ROW()-2,$K$1),""))</f>
        <v/>
      </c>
      <c r="M774">
        <f>IF($K$2="","",IFERROR(INDEX(Lines!$A:$AA,ROW()-2,$K$2),""))</f>
        <v/>
      </c>
      <c r="N774">
        <f>IF(AND(L774&lt;&gt;"",LEFT(L774,1)="N",M774&lt;&gt;"PICKING",M774&lt;&gt;""),1,0)</f>
        <v/>
      </c>
      <c r="O774">
        <f>IF(N774=1,M774&amp;"|"&amp;L774,REPT("z",40))</f>
        <v/>
      </c>
      <c r="P774">
        <f>IF(N774=1,COUNTIF($O$4:$O$2003,"&lt;"&amp;O774)+1,"")</f>
        <v/>
      </c>
      <c r="Q774">
        <f>IF(OR($R773="",$R773="T"),"",IF($R773="B",$Q773,IF($Q773+1&gt;$K$3,"",$Q773+1)))</f>
        <v/>
      </c>
      <c r="R774">
        <f>IF(OR($R773="",$R773="T"),"",IF($R773="B","S",IF($Q773+1&gt;$K$3,"T",IF(INDEX($M$4:$M$2003,MATCH($Q773+1,$P$4:$P$2003,0))&lt;&gt;INDEX($M$4:$M$2003,MATCH($Q773,$P$4:$P$2003,0)),"B","S"))))</f>
        <v/>
      </c>
      <c r="S774">
        <f>IF(Q774="","",IFERROR(MATCH(Q774,$P$4:$P$2003,0),""))</f>
        <v/>
      </c>
    </row>
    <row r="775">
      <c r="A775" s="4">
        <f>IF($R775="","",IF($R775="T","Gesamtergebnis",IF($R775="B",INDEX($M$4:$M$2003,$S775),INDEX($L$4:$L$2003,$S775))))</f>
        <v/>
      </c>
      <c r="B775" s="4">
        <f>IF($R775="","",IF($R775="T",$K$3,IF($R775="B",COUNTIFS($M$4:$M$2003,INDEX($M$4:$M$2003,$S775),$N$4:$N$2003,1),1)))</f>
        <v/>
      </c>
      <c r="L775">
        <f>IF($K$1="","",IFERROR(INDEX(Lines!$A:$AA,ROW()-2,$K$1),""))</f>
        <v/>
      </c>
      <c r="M775">
        <f>IF($K$2="","",IFERROR(INDEX(Lines!$A:$AA,ROW()-2,$K$2),""))</f>
        <v/>
      </c>
      <c r="N775">
        <f>IF(AND(L775&lt;&gt;"",LEFT(L775,1)="N",M775&lt;&gt;"PICKING",M775&lt;&gt;""),1,0)</f>
        <v/>
      </c>
      <c r="O775">
        <f>IF(N775=1,M775&amp;"|"&amp;L775,REPT("z",40))</f>
        <v/>
      </c>
      <c r="P775">
        <f>IF(N775=1,COUNTIF($O$4:$O$2003,"&lt;"&amp;O775)+1,"")</f>
        <v/>
      </c>
      <c r="Q775">
        <f>IF(OR($R774="",$R774="T"),"",IF($R774="B",$Q774,IF($Q774+1&gt;$K$3,"",$Q774+1)))</f>
        <v/>
      </c>
      <c r="R775">
        <f>IF(OR($R774="",$R774="T"),"",IF($R774="B","S",IF($Q774+1&gt;$K$3,"T",IF(INDEX($M$4:$M$2003,MATCH($Q774+1,$P$4:$P$2003,0))&lt;&gt;INDEX($M$4:$M$2003,MATCH($Q774,$P$4:$P$2003,0)),"B","S"))))</f>
        <v/>
      </c>
      <c r="S775">
        <f>IF(Q775="","",IFERROR(MATCH(Q775,$P$4:$P$2003,0),""))</f>
        <v/>
      </c>
    </row>
    <row r="776">
      <c r="A776" s="4">
        <f>IF($R776="","",IF($R776="T","Gesamtergebnis",IF($R776="B",INDEX($M$4:$M$2003,$S776),INDEX($L$4:$L$2003,$S776))))</f>
        <v/>
      </c>
      <c r="B776" s="4">
        <f>IF($R776="","",IF($R776="T",$K$3,IF($R776="B",COUNTIFS($M$4:$M$2003,INDEX($M$4:$M$2003,$S776),$N$4:$N$2003,1),1)))</f>
        <v/>
      </c>
      <c r="L776">
        <f>IF($K$1="","",IFERROR(INDEX(Lines!$A:$AA,ROW()-2,$K$1),""))</f>
        <v/>
      </c>
      <c r="M776">
        <f>IF($K$2="","",IFERROR(INDEX(Lines!$A:$AA,ROW()-2,$K$2),""))</f>
        <v/>
      </c>
      <c r="N776">
        <f>IF(AND(L776&lt;&gt;"",LEFT(L776,1)="N",M776&lt;&gt;"PICKING",M776&lt;&gt;""),1,0)</f>
        <v/>
      </c>
      <c r="O776">
        <f>IF(N776=1,M776&amp;"|"&amp;L776,REPT("z",40))</f>
        <v/>
      </c>
      <c r="P776">
        <f>IF(N776=1,COUNTIF($O$4:$O$2003,"&lt;"&amp;O776)+1,"")</f>
        <v/>
      </c>
      <c r="Q776">
        <f>IF(OR($R775="",$R775="T"),"",IF($R775="B",$Q775,IF($Q775+1&gt;$K$3,"",$Q775+1)))</f>
        <v/>
      </c>
      <c r="R776">
        <f>IF(OR($R775="",$R775="T"),"",IF($R775="B","S",IF($Q775+1&gt;$K$3,"T",IF(INDEX($M$4:$M$2003,MATCH($Q775+1,$P$4:$P$2003,0))&lt;&gt;INDEX($M$4:$M$2003,MATCH($Q775,$P$4:$P$2003,0)),"B","S"))))</f>
        <v/>
      </c>
      <c r="S776">
        <f>IF(Q776="","",IFERROR(MATCH(Q776,$P$4:$P$2003,0),""))</f>
        <v/>
      </c>
    </row>
    <row r="777">
      <c r="A777" s="4">
        <f>IF($R777="","",IF($R777="T","Gesamtergebnis",IF($R777="B",INDEX($M$4:$M$2003,$S777),INDEX($L$4:$L$2003,$S777))))</f>
        <v/>
      </c>
      <c r="B777" s="4">
        <f>IF($R777="","",IF($R777="T",$K$3,IF($R777="B",COUNTIFS($M$4:$M$2003,INDEX($M$4:$M$2003,$S777),$N$4:$N$2003,1),1)))</f>
        <v/>
      </c>
      <c r="L777">
        <f>IF($K$1="","",IFERROR(INDEX(Lines!$A:$AA,ROW()-2,$K$1),""))</f>
        <v/>
      </c>
      <c r="M777">
        <f>IF($K$2="","",IFERROR(INDEX(Lines!$A:$AA,ROW()-2,$K$2),""))</f>
        <v/>
      </c>
      <c r="N777">
        <f>IF(AND(L777&lt;&gt;"",LEFT(L777,1)="N",M777&lt;&gt;"PICKING",M777&lt;&gt;""),1,0)</f>
        <v/>
      </c>
      <c r="O777">
        <f>IF(N777=1,M777&amp;"|"&amp;L777,REPT("z",40))</f>
        <v/>
      </c>
      <c r="P777">
        <f>IF(N777=1,COUNTIF($O$4:$O$2003,"&lt;"&amp;O777)+1,"")</f>
        <v/>
      </c>
      <c r="Q777">
        <f>IF(OR($R776="",$R776="T"),"",IF($R776="B",$Q776,IF($Q776+1&gt;$K$3,"",$Q776+1)))</f>
        <v/>
      </c>
      <c r="R777">
        <f>IF(OR($R776="",$R776="T"),"",IF($R776="B","S",IF($Q776+1&gt;$K$3,"T",IF(INDEX($M$4:$M$2003,MATCH($Q776+1,$P$4:$P$2003,0))&lt;&gt;INDEX($M$4:$M$2003,MATCH($Q776,$P$4:$P$2003,0)),"B","S"))))</f>
        <v/>
      </c>
      <c r="S777">
        <f>IF(Q777="","",IFERROR(MATCH(Q777,$P$4:$P$2003,0),""))</f>
        <v/>
      </c>
    </row>
    <row r="778">
      <c r="A778" s="4">
        <f>IF($R778="","",IF($R778="T","Gesamtergebnis",IF($R778="B",INDEX($M$4:$M$2003,$S778),INDEX($L$4:$L$2003,$S778))))</f>
        <v/>
      </c>
      <c r="B778" s="4">
        <f>IF($R778="","",IF($R778="T",$K$3,IF($R778="B",COUNTIFS($M$4:$M$2003,INDEX($M$4:$M$2003,$S778),$N$4:$N$2003,1),1)))</f>
        <v/>
      </c>
      <c r="L778">
        <f>IF($K$1="","",IFERROR(INDEX(Lines!$A:$AA,ROW()-2,$K$1),""))</f>
        <v/>
      </c>
      <c r="M778">
        <f>IF($K$2="","",IFERROR(INDEX(Lines!$A:$AA,ROW()-2,$K$2),""))</f>
        <v/>
      </c>
      <c r="N778">
        <f>IF(AND(L778&lt;&gt;"",LEFT(L778,1)="N",M778&lt;&gt;"PICKING",M778&lt;&gt;""),1,0)</f>
        <v/>
      </c>
      <c r="O778">
        <f>IF(N778=1,M778&amp;"|"&amp;L778,REPT("z",40))</f>
        <v/>
      </c>
      <c r="P778">
        <f>IF(N778=1,COUNTIF($O$4:$O$2003,"&lt;"&amp;O778)+1,"")</f>
        <v/>
      </c>
      <c r="Q778">
        <f>IF(OR($R777="",$R777="T"),"",IF($R777="B",$Q777,IF($Q777+1&gt;$K$3,"",$Q777+1)))</f>
        <v/>
      </c>
      <c r="R778">
        <f>IF(OR($R777="",$R777="T"),"",IF($R777="B","S",IF($Q777+1&gt;$K$3,"T",IF(INDEX($M$4:$M$2003,MATCH($Q777+1,$P$4:$P$2003,0))&lt;&gt;INDEX($M$4:$M$2003,MATCH($Q777,$P$4:$P$2003,0)),"B","S"))))</f>
        <v/>
      </c>
      <c r="S778">
        <f>IF(Q778="","",IFERROR(MATCH(Q778,$P$4:$P$2003,0),""))</f>
        <v/>
      </c>
    </row>
    <row r="779">
      <c r="A779" s="4">
        <f>IF($R779="","",IF($R779="T","Gesamtergebnis",IF($R779="B",INDEX($M$4:$M$2003,$S779),INDEX($L$4:$L$2003,$S779))))</f>
        <v/>
      </c>
      <c r="B779" s="4">
        <f>IF($R779="","",IF($R779="T",$K$3,IF($R779="B",COUNTIFS($M$4:$M$2003,INDEX($M$4:$M$2003,$S779),$N$4:$N$2003,1),1)))</f>
        <v/>
      </c>
      <c r="L779">
        <f>IF($K$1="","",IFERROR(INDEX(Lines!$A:$AA,ROW()-2,$K$1),""))</f>
        <v/>
      </c>
      <c r="M779">
        <f>IF($K$2="","",IFERROR(INDEX(Lines!$A:$AA,ROW()-2,$K$2),""))</f>
        <v/>
      </c>
      <c r="N779">
        <f>IF(AND(L779&lt;&gt;"",LEFT(L779,1)="N",M779&lt;&gt;"PICKING",M779&lt;&gt;""),1,0)</f>
        <v/>
      </c>
      <c r="O779">
        <f>IF(N779=1,M779&amp;"|"&amp;L779,REPT("z",40))</f>
        <v/>
      </c>
      <c r="P779">
        <f>IF(N779=1,COUNTIF($O$4:$O$2003,"&lt;"&amp;O779)+1,"")</f>
        <v/>
      </c>
      <c r="Q779">
        <f>IF(OR($R778="",$R778="T"),"",IF($R778="B",$Q778,IF($Q778+1&gt;$K$3,"",$Q778+1)))</f>
        <v/>
      </c>
      <c r="R779">
        <f>IF(OR($R778="",$R778="T"),"",IF($R778="B","S",IF($Q778+1&gt;$K$3,"T",IF(INDEX($M$4:$M$2003,MATCH($Q778+1,$P$4:$P$2003,0))&lt;&gt;INDEX($M$4:$M$2003,MATCH($Q778,$P$4:$P$2003,0)),"B","S"))))</f>
        <v/>
      </c>
      <c r="S779">
        <f>IF(Q779="","",IFERROR(MATCH(Q779,$P$4:$P$2003,0),""))</f>
        <v/>
      </c>
    </row>
    <row r="780">
      <c r="A780" s="4">
        <f>IF($R780="","",IF($R780="T","Gesamtergebnis",IF($R780="B",INDEX($M$4:$M$2003,$S780),INDEX($L$4:$L$2003,$S780))))</f>
        <v/>
      </c>
      <c r="B780" s="4">
        <f>IF($R780="","",IF($R780="T",$K$3,IF($R780="B",COUNTIFS($M$4:$M$2003,INDEX($M$4:$M$2003,$S780),$N$4:$N$2003,1),1)))</f>
        <v/>
      </c>
      <c r="L780">
        <f>IF($K$1="","",IFERROR(INDEX(Lines!$A:$AA,ROW()-2,$K$1),""))</f>
        <v/>
      </c>
      <c r="M780">
        <f>IF($K$2="","",IFERROR(INDEX(Lines!$A:$AA,ROW()-2,$K$2),""))</f>
        <v/>
      </c>
      <c r="N780">
        <f>IF(AND(L780&lt;&gt;"",LEFT(L780,1)="N",M780&lt;&gt;"PICKING",M780&lt;&gt;""),1,0)</f>
        <v/>
      </c>
      <c r="O780">
        <f>IF(N780=1,M780&amp;"|"&amp;L780,REPT("z",40))</f>
        <v/>
      </c>
      <c r="P780">
        <f>IF(N780=1,COUNTIF($O$4:$O$2003,"&lt;"&amp;O780)+1,"")</f>
        <v/>
      </c>
      <c r="Q780">
        <f>IF(OR($R779="",$R779="T"),"",IF($R779="B",$Q779,IF($Q779+1&gt;$K$3,"",$Q779+1)))</f>
        <v/>
      </c>
      <c r="R780">
        <f>IF(OR($R779="",$R779="T"),"",IF($R779="B","S",IF($Q779+1&gt;$K$3,"T",IF(INDEX($M$4:$M$2003,MATCH($Q779+1,$P$4:$P$2003,0))&lt;&gt;INDEX($M$4:$M$2003,MATCH($Q779,$P$4:$P$2003,0)),"B","S"))))</f>
        <v/>
      </c>
      <c r="S780">
        <f>IF(Q780="","",IFERROR(MATCH(Q780,$P$4:$P$2003,0),""))</f>
        <v/>
      </c>
    </row>
    <row r="781">
      <c r="A781" s="4">
        <f>IF($R781="","",IF($R781="T","Gesamtergebnis",IF($R781="B",INDEX($M$4:$M$2003,$S781),INDEX($L$4:$L$2003,$S781))))</f>
        <v/>
      </c>
      <c r="B781" s="4">
        <f>IF($R781="","",IF($R781="T",$K$3,IF($R781="B",COUNTIFS($M$4:$M$2003,INDEX($M$4:$M$2003,$S781),$N$4:$N$2003,1),1)))</f>
        <v/>
      </c>
      <c r="L781">
        <f>IF($K$1="","",IFERROR(INDEX(Lines!$A:$AA,ROW()-2,$K$1),""))</f>
        <v/>
      </c>
      <c r="M781">
        <f>IF($K$2="","",IFERROR(INDEX(Lines!$A:$AA,ROW()-2,$K$2),""))</f>
        <v/>
      </c>
      <c r="N781">
        <f>IF(AND(L781&lt;&gt;"",LEFT(L781,1)="N",M781&lt;&gt;"PICKING",M781&lt;&gt;""),1,0)</f>
        <v/>
      </c>
      <c r="O781">
        <f>IF(N781=1,M781&amp;"|"&amp;L781,REPT("z",40))</f>
        <v/>
      </c>
      <c r="P781">
        <f>IF(N781=1,COUNTIF($O$4:$O$2003,"&lt;"&amp;O781)+1,"")</f>
        <v/>
      </c>
      <c r="Q781">
        <f>IF(OR($R780="",$R780="T"),"",IF($R780="B",$Q780,IF($Q780+1&gt;$K$3,"",$Q780+1)))</f>
        <v/>
      </c>
      <c r="R781">
        <f>IF(OR($R780="",$R780="T"),"",IF($R780="B","S",IF($Q780+1&gt;$K$3,"T",IF(INDEX($M$4:$M$2003,MATCH($Q780+1,$P$4:$P$2003,0))&lt;&gt;INDEX($M$4:$M$2003,MATCH($Q780,$P$4:$P$2003,0)),"B","S"))))</f>
        <v/>
      </c>
      <c r="S781">
        <f>IF(Q781="","",IFERROR(MATCH(Q781,$P$4:$P$2003,0),""))</f>
        <v/>
      </c>
    </row>
    <row r="782">
      <c r="A782" s="4">
        <f>IF($R782="","",IF($R782="T","Gesamtergebnis",IF($R782="B",INDEX($M$4:$M$2003,$S782),INDEX($L$4:$L$2003,$S782))))</f>
        <v/>
      </c>
      <c r="B782" s="4">
        <f>IF($R782="","",IF($R782="T",$K$3,IF($R782="B",COUNTIFS($M$4:$M$2003,INDEX($M$4:$M$2003,$S782),$N$4:$N$2003,1),1)))</f>
        <v/>
      </c>
      <c r="L782">
        <f>IF($K$1="","",IFERROR(INDEX(Lines!$A:$AA,ROW()-2,$K$1),""))</f>
        <v/>
      </c>
      <c r="M782">
        <f>IF($K$2="","",IFERROR(INDEX(Lines!$A:$AA,ROW()-2,$K$2),""))</f>
        <v/>
      </c>
      <c r="N782">
        <f>IF(AND(L782&lt;&gt;"",LEFT(L782,1)="N",M782&lt;&gt;"PICKING",M782&lt;&gt;""),1,0)</f>
        <v/>
      </c>
      <c r="O782">
        <f>IF(N782=1,M782&amp;"|"&amp;L782,REPT("z",40))</f>
        <v/>
      </c>
      <c r="P782">
        <f>IF(N782=1,COUNTIF($O$4:$O$2003,"&lt;"&amp;O782)+1,"")</f>
        <v/>
      </c>
      <c r="Q782">
        <f>IF(OR($R781="",$R781="T"),"",IF($R781="B",$Q781,IF($Q781+1&gt;$K$3,"",$Q781+1)))</f>
        <v/>
      </c>
      <c r="R782">
        <f>IF(OR($R781="",$R781="T"),"",IF($R781="B","S",IF($Q781+1&gt;$K$3,"T",IF(INDEX($M$4:$M$2003,MATCH($Q781+1,$P$4:$P$2003,0))&lt;&gt;INDEX($M$4:$M$2003,MATCH($Q781,$P$4:$P$2003,0)),"B","S"))))</f>
        <v/>
      </c>
      <c r="S782">
        <f>IF(Q782="","",IFERROR(MATCH(Q782,$P$4:$P$2003,0),""))</f>
        <v/>
      </c>
    </row>
    <row r="783">
      <c r="A783" s="4">
        <f>IF($R783="","",IF($R783="T","Gesamtergebnis",IF($R783="B",INDEX($M$4:$M$2003,$S783),INDEX($L$4:$L$2003,$S783))))</f>
        <v/>
      </c>
      <c r="B783" s="4">
        <f>IF($R783="","",IF($R783="T",$K$3,IF($R783="B",COUNTIFS($M$4:$M$2003,INDEX($M$4:$M$2003,$S783),$N$4:$N$2003,1),1)))</f>
        <v/>
      </c>
      <c r="L783">
        <f>IF($K$1="","",IFERROR(INDEX(Lines!$A:$AA,ROW()-2,$K$1),""))</f>
        <v/>
      </c>
      <c r="M783">
        <f>IF($K$2="","",IFERROR(INDEX(Lines!$A:$AA,ROW()-2,$K$2),""))</f>
        <v/>
      </c>
      <c r="N783">
        <f>IF(AND(L783&lt;&gt;"",LEFT(L783,1)="N",M783&lt;&gt;"PICKING",M783&lt;&gt;""),1,0)</f>
        <v/>
      </c>
      <c r="O783">
        <f>IF(N783=1,M783&amp;"|"&amp;L783,REPT("z",40))</f>
        <v/>
      </c>
      <c r="P783">
        <f>IF(N783=1,COUNTIF($O$4:$O$2003,"&lt;"&amp;O783)+1,"")</f>
        <v/>
      </c>
      <c r="Q783">
        <f>IF(OR($R782="",$R782="T"),"",IF($R782="B",$Q782,IF($Q782+1&gt;$K$3,"",$Q782+1)))</f>
        <v/>
      </c>
      <c r="R783">
        <f>IF(OR($R782="",$R782="T"),"",IF($R782="B","S",IF($Q782+1&gt;$K$3,"T",IF(INDEX($M$4:$M$2003,MATCH($Q782+1,$P$4:$P$2003,0))&lt;&gt;INDEX($M$4:$M$2003,MATCH($Q782,$P$4:$P$2003,0)),"B","S"))))</f>
        <v/>
      </c>
      <c r="S783">
        <f>IF(Q783="","",IFERROR(MATCH(Q783,$P$4:$P$2003,0),""))</f>
        <v/>
      </c>
    </row>
    <row r="784">
      <c r="A784" s="4">
        <f>IF($R784="","",IF($R784="T","Gesamtergebnis",IF($R784="B",INDEX($M$4:$M$2003,$S784),INDEX($L$4:$L$2003,$S784))))</f>
        <v/>
      </c>
      <c r="B784" s="4">
        <f>IF($R784="","",IF($R784="T",$K$3,IF($R784="B",COUNTIFS($M$4:$M$2003,INDEX($M$4:$M$2003,$S784),$N$4:$N$2003,1),1)))</f>
        <v/>
      </c>
      <c r="L784">
        <f>IF($K$1="","",IFERROR(INDEX(Lines!$A:$AA,ROW()-2,$K$1),""))</f>
        <v/>
      </c>
      <c r="M784">
        <f>IF($K$2="","",IFERROR(INDEX(Lines!$A:$AA,ROW()-2,$K$2),""))</f>
        <v/>
      </c>
      <c r="N784">
        <f>IF(AND(L784&lt;&gt;"",LEFT(L784,1)="N",M784&lt;&gt;"PICKING",M784&lt;&gt;""),1,0)</f>
        <v/>
      </c>
      <c r="O784">
        <f>IF(N784=1,M784&amp;"|"&amp;L784,REPT("z",40))</f>
        <v/>
      </c>
      <c r="P784">
        <f>IF(N784=1,COUNTIF($O$4:$O$2003,"&lt;"&amp;O784)+1,"")</f>
        <v/>
      </c>
      <c r="Q784">
        <f>IF(OR($R783="",$R783="T"),"",IF($R783="B",$Q783,IF($Q783+1&gt;$K$3,"",$Q783+1)))</f>
        <v/>
      </c>
      <c r="R784">
        <f>IF(OR($R783="",$R783="T"),"",IF($R783="B","S",IF($Q783+1&gt;$K$3,"T",IF(INDEX($M$4:$M$2003,MATCH($Q783+1,$P$4:$P$2003,0))&lt;&gt;INDEX($M$4:$M$2003,MATCH($Q783,$P$4:$P$2003,0)),"B","S"))))</f>
        <v/>
      </c>
      <c r="S784">
        <f>IF(Q784="","",IFERROR(MATCH(Q784,$P$4:$P$2003,0),""))</f>
        <v/>
      </c>
    </row>
    <row r="785">
      <c r="A785" s="4">
        <f>IF($R785="","",IF($R785="T","Gesamtergebnis",IF($R785="B",INDEX($M$4:$M$2003,$S785),INDEX($L$4:$L$2003,$S785))))</f>
        <v/>
      </c>
      <c r="B785" s="4">
        <f>IF($R785="","",IF($R785="T",$K$3,IF($R785="B",COUNTIFS($M$4:$M$2003,INDEX($M$4:$M$2003,$S785),$N$4:$N$2003,1),1)))</f>
        <v/>
      </c>
      <c r="L785">
        <f>IF($K$1="","",IFERROR(INDEX(Lines!$A:$AA,ROW()-2,$K$1),""))</f>
        <v/>
      </c>
      <c r="M785">
        <f>IF($K$2="","",IFERROR(INDEX(Lines!$A:$AA,ROW()-2,$K$2),""))</f>
        <v/>
      </c>
      <c r="N785">
        <f>IF(AND(L785&lt;&gt;"",LEFT(L785,1)="N",M785&lt;&gt;"PICKING",M785&lt;&gt;""),1,0)</f>
        <v/>
      </c>
      <c r="O785">
        <f>IF(N785=1,M785&amp;"|"&amp;L785,REPT("z",40))</f>
        <v/>
      </c>
      <c r="P785">
        <f>IF(N785=1,COUNTIF($O$4:$O$2003,"&lt;"&amp;O785)+1,"")</f>
        <v/>
      </c>
      <c r="Q785">
        <f>IF(OR($R784="",$R784="T"),"",IF($R784="B",$Q784,IF($Q784+1&gt;$K$3,"",$Q784+1)))</f>
        <v/>
      </c>
      <c r="R785">
        <f>IF(OR($R784="",$R784="T"),"",IF($R784="B","S",IF($Q784+1&gt;$K$3,"T",IF(INDEX($M$4:$M$2003,MATCH($Q784+1,$P$4:$P$2003,0))&lt;&gt;INDEX($M$4:$M$2003,MATCH($Q784,$P$4:$P$2003,0)),"B","S"))))</f>
        <v/>
      </c>
      <c r="S785">
        <f>IF(Q785="","",IFERROR(MATCH(Q785,$P$4:$P$2003,0),""))</f>
        <v/>
      </c>
    </row>
    <row r="786">
      <c r="A786" s="4">
        <f>IF($R786="","",IF($R786="T","Gesamtergebnis",IF($R786="B",INDEX($M$4:$M$2003,$S786),INDEX($L$4:$L$2003,$S786))))</f>
        <v/>
      </c>
      <c r="B786" s="4">
        <f>IF($R786="","",IF($R786="T",$K$3,IF($R786="B",COUNTIFS($M$4:$M$2003,INDEX($M$4:$M$2003,$S786),$N$4:$N$2003,1),1)))</f>
        <v/>
      </c>
      <c r="L786">
        <f>IF($K$1="","",IFERROR(INDEX(Lines!$A:$AA,ROW()-2,$K$1),""))</f>
        <v/>
      </c>
      <c r="M786">
        <f>IF($K$2="","",IFERROR(INDEX(Lines!$A:$AA,ROW()-2,$K$2),""))</f>
        <v/>
      </c>
      <c r="N786">
        <f>IF(AND(L786&lt;&gt;"",LEFT(L786,1)="N",M786&lt;&gt;"PICKING",M786&lt;&gt;""),1,0)</f>
        <v/>
      </c>
      <c r="O786">
        <f>IF(N786=1,M786&amp;"|"&amp;L786,REPT("z",40))</f>
        <v/>
      </c>
      <c r="P786">
        <f>IF(N786=1,COUNTIF($O$4:$O$2003,"&lt;"&amp;O786)+1,"")</f>
        <v/>
      </c>
      <c r="Q786">
        <f>IF(OR($R785="",$R785="T"),"",IF($R785="B",$Q785,IF($Q785+1&gt;$K$3,"",$Q785+1)))</f>
        <v/>
      </c>
      <c r="R786">
        <f>IF(OR($R785="",$R785="T"),"",IF($R785="B","S",IF($Q785+1&gt;$K$3,"T",IF(INDEX($M$4:$M$2003,MATCH($Q785+1,$P$4:$P$2003,0))&lt;&gt;INDEX($M$4:$M$2003,MATCH($Q785,$P$4:$P$2003,0)),"B","S"))))</f>
        <v/>
      </c>
      <c r="S786">
        <f>IF(Q786="","",IFERROR(MATCH(Q786,$P$4:$P$2003,0),""))</f>
        <v/>
      </c>
    </row>
    <row r="787">
      <c r="A787" s="4">
        <f>IF($R787="","",IF($R787="T","Gesamtergebnis",IF($R787="B",INDEX($M$4:$M$2003,$S787),INDEX($L$4:$L$2003,$S787))))</f>
        <v/>
      </c>
      <c r="B787" s="4">
        <f>IF($R787="","",IF($R787="T",$K$3,IF($R787="B",COUNTIFS($M$4:$M$2003,INDEX($M$4:$M$2003,$S787),$N$4:$N$2003,1),1)))</f>
        <v/>
      </c>
      <c r="L787">
        <f>IF($K$1="","",IFERROR(INDEX(Lines!$A:$AA,ROW()-2,$K$1),""))</f>
        <v/>
      </c>
      <c r="M787">
        <f>IF($K$2="","",IFERROR(INDEX(Lines!$A:$AA,ROW()-2,$K$2),""))</f>
        <v/>
      </c>
      <c r="N787">
        <f>IF(AND(L787&lt;&gt;"",LEFT(L787,1)="N",M787&lt;&gt;"PICKING",M787&lt;&gt;""),1,0)</f>
        <v/>
      </c>
      <c r="O787">
        <f>IF(N787=1,M787&amp;"|"&amp;L787,REPT("z",40))</f>
        <v/>
      </c>
      <c r="P787">
        <f>IF(N787=1,COUNTIF($O$4:$O$2003,"&lt;"&amp;O787)+1,"")</f>
        <v/>
      </c>
      <c r="Q787">
        <f>IF(OR($R786="",$R786="T"),"",IF($R786="B",$Q786,IF($Q786+1&gt;$K$3,"",$Q786+1)))</f>
        <v/>
      </c>
      <c r="R787">
        <f>IF(OR($R786="",$R786="T"),"",IF($R786="B","S",IF($Q786+1&gt;$K$3,"T",IF(INDEX($M$4:$M$2003,MATCH($Q786+1,$P$4:$P$2003,0))&lt;&gt;INDEX($M$4:$M$2003,MATCH($Q786,$P$4:$P$2003,0)),"B","S"))))</f>
        <v/>
      </c>
      <c r="S787">
        <f>IF(Q787="","",IFERROR(MATCH(Q787,$P$4:$P$2003,0),""))</f>
        <v/>
      </c>
    </row>
    <row r="788">
      <c r="A788" s="4">
        <f>IF($R788="","",IF($R788="T","Gesamtergebnis",IF($R788="B",INDEX($M$4:$M$2003,$S788),INDEX($L$4:$L$2003,$S788))))</f>
        <v/>
      </c>
      <c r="B788" s="4">
        <f>IF($R788="","",IF($R788="T",$K$3,IF($R788="B",COUNTIFS($M$4:$M$2003,INDEX($M$4:$M$2003,$S788),$N$4:$N$2003,1),1)))</f>
        <v/>
      </c>
      <c r="L788">
        <f>IF($K$1="","",IFERROR(INDEX(Lines!$A:$AA,ROW()-2,$K$1),""))</f>
        <v/>
      </c>
      <c r="M788">
        <f>IF($K$2="","",IFERROR(INDEX(Lines!$A:$AA,ROW()-2,$K$2),""))</f>
        <v/>
      </c>
      <c r="N788">
        <f>IF(AND(L788&lt;&gt;"",LEFT(L788,1)="N",M788&lt;&gt;"PICKING",M788&lt;&gt;""),1,0)</f>
        <v/>
      </c>
      <c r="O788">
        <f>IF(N788=1,M788&amp;"|"&amp;L788,REPT("z",40))</f>
        <v/>
      </c>
      <c r="P788">
        <f>IF(N788=1,COUNTIF($O$4:$O$2003,"&lt;"&amp;O788)+1,"")</f>
        <v/>
      </c>
      <c r="Q788">
        <f>IF(OR($R787="",$R787="T"),"",IF($R787="B",$Q787,IF($Q787+1&gt;$K$3,"",$Q787+1)))</f>
        <v/>
      </c>
      <c r="R788">
        <f>IF(OR($R787="",$R787="T"),"",IF($R787="B","S",IF($Q787+1&gt;$K$3,"T",IF(INDEX($M$4:$M$2003,MATCH($Q787+1,$P$4:$P$2003,0))&lt;&gt;INDEX($M$4:$M$2003,MATCH($Q787,$P$4:$P$2003,0)),"B","S"))))</f>
        <v/>
      </c>
      <c r="S788">
        <f>IF(Q788="","",IFERROR(MATCH(Q788,$P$4:$P$2003,0),""))</f>
        <v/>
      </c>
    </row>
    <row r="789">
      <c r="A789" s="4">
        <f>IF($R789="","",IF($R789="T","Gesamtergebnis",IF($R789="B",INDEX($M$4:$M$2003,$S789),INDEX($L$4:$L$2003,$S789))))</f>
        <v/>
      </c>
      <c r="B789" s="4">
        <f>IF($R789="","",IF($R789="T",$K$3,IF($R789="B",COUNTIFS($M$4:$M$2003,INDEX($M$4:$M$2003,$S789),$N$4:$N$2003,1),1)))</f>
        <v/>
      </c>
      <c r="L789">
        <f>IF($K$1="","",IFERROR(INDEX(Lines!$A:$AA,ROW()-2,$K$1),""))</f>
        <v/>
      </c>
      <c r="M789">
        <f>IF($K$2="","",IFERROR(INDEX(Lines!$A:$AA,ROW()-2,$K$2),""))</f>
        <v/>
      </c>
      <c r="N789">
        <f>IF(AND(L789&lt;&gt;"",LEFT(L789,1)="N",M789&lt;&gt;"PICKING",M789&lt;&gt;""),1,0)</f>
        <v/>
      </c>
      <c r="O789">
        <f>IF(N789=1,M789&amp;"|"&amp;L789,REPT("z",40))</f>
        <v/>
      </c>
      <c r="P789">
        <f>IF(N789=1,COUNTIF($O$4:$O$2003,"&lt;"&amp;O789)+1,"")</f>
        <v/>
      </c>
      <c r="Q789">
        <f>IF(OR($R788="",$R788="T"),"",IF($R788="B",$Q788,IF($Q788+1&gt;$K$3,"",$Q788+1)))</f>
        <v/>
      </c>
      <c r="R789">
        <f>IF(OR($R788="",$R788="T"),"",IF($R788="B","S",IF($Q788+1&gt;$K$3,"T",IF(INDEX($M$4:$M$2003,MATCH($Q788+1,$P$4:$P$2003,0))&lt;&gt;INDEX($M$4:$M$2003,MATCH($Q788,$P$4:$P$2003,0)),"B","S"))))</f>
        <v/>
      </c>
      <c r="S789">
        <f>IF(Q789="","",IFERROR(MATCH(Q789,$P$4:$P$2003,0),""))</f>
        <v/>
      </c>
    </row>
    <row r="790">
      <c r="A790" s="4">
        <f>IF($R790="","",IF($R790="T","Gesamtergebnis",IF($R790="B",INDEX($M$4:$M$2003,$S790),INDEX($L$4:$L$2003,$S790))))</f>
        <v/>
      </c>
      <c r="B790" s="4">
        <f>IF($R790="","",IF($R790="T",$K$3,IF($R790="B",COUNTIFS($M$4:$M$2003,INDEX($M$4:$M$2003,$S790),$N$4:$N$2003,1),1)))</f>
        <v/>
      </c>
      <c r="L790">
        <f>IF($K$1="","",IFERROR(INDEX(Lines!$A:$AA,ROW()-2,$K$1),""))</f>
        <v/>
      </c>
      <c r="M790">
        <f>IF($K$2="","",IFERROR(INDEX(Lines!$A:$AA,ROW()-2,$K$2),""))</f>
        <v/>
      </c>
      <c r="N790">
        <f>IF(AND(L790&lt;&gt;"",LEFT(L790,1)="N",M790&lt;&gt;"PICKING",M790&lt;&gt;""),1,0)</f>
        <v/>
      </c>
      <c r="O790">
        <f>IF(N790=1,M790&amp;"|"&amp;L790,REPT("z",40))</f>
        <v/>
      </c>
      <c r="P790">
        <f>IF(N790=1,COUNTIF($O$4:$O$2003,"&lt;"&amp;O790)+1,"")</f>
        <v/>
      </c>
      <c r="Q790">
        <f>IF(OR($R789="",$R789="T"),"",IF($R789="B",$Q789,IF($Q789+1&gt;$K$3,"",$Q789+1)))</f>
        <v/>
      </c>
      <c r="R790">
        <f>IF(OR($R789="",$R789="T"),"",IF($R789="B","S",IF($Q789+1&gt;$K$3,"T",IF(INDEX($M$4:$M$2003,MATCH($Q789+1,$P$4:$P$2003,0))&lt;&gt;INDEX($M$4:$M$2003,MATCH($Q789,$P$4:$P$2003,0)),"B","S"))))</f>
        <v/>
      </c>
      <c r="S790">
        <f>IF(Q790="","",IFERROR(MATCH(Q790,$P$4:$P$2003,0),""))</f>
        <v/>
      </c>
    </row>
    <row r="791">
      <c r="A791" s="4">
        <f>IF($R791="","",IF($R791="T","Gesamtergebnis",IF($R791="B",INDEX($M$4:$M$2003,$S791),INDEX($L$4:$L$2003,$S791))))</f>
        <v/>
      </c>
      <c r="B791" s="4">
        <f>IF($R791="","",IF($R791="T",$K$3,IF($R791="B",COUNTIFS($M$4:$M$2003,INDEX($M$4:$M$2003,$S791),$N$4:$N$2003,1),1)))</f>
        <v/>
      </c>
      <c r="L791">
        <f>IF($K$1="","",IFERROR(INDEX(Lines!$A:$AA,ROW()-2,$K$1),""))</f>
        <v/>
      </c>
      <c r="M791">
        <f>IF($K$2="","",IFERROR(INDEX(Lines!$A:$AA,ROW()-2,$K$2),""))</f>
        <v/>
      </c>
      <c r="N791">
        <f>IF(AND(L791&lt;&gt;"",LEFT(L791,1)="N",M791&lt;&gt;"PICKING",M791&lt;&gt;""),1,0)</f>
        <v/>
      </c>
      <c r="O791">
        <f>IF(N791=1,M791&amp;"|"&amp;L791,REPT("z",40))</f>
        <v/>
      </c>
      <c r="P791">
        <f>IF(N791=1,COUNTIF($O$4:$O$2003,"&lt;"&amp;O791)+1,"")</f>
        <v/>
      </c>
      <c r="Q791">
        <f>IF(OR($R790="",$R790="T"),"",IF($R790="B",$Q790,IF($Q790+1&gt;$K$3,"",$Q790+1)))</f>
        <v/>
      </c>
      <c r="R791">
        <f>IF(OR($R790="",$R790="T"),"",IF($R790="B","S",IF($Q790+1&gt;$K$3,"T",IF(INDEX($M$4:$M$2003,MATCH($Q790+1,$P$4:$P$2003,0))&lt;&gt;INDEX($M$4:$M$2003,MATCH($Q790,$P$4:$P$2003,0)),"B","S"))))</f>
        <v/>
      </c>
      <c r="S791">
        <f>IF(Q791="","",IFERROR(MATCH(Q791,$P$4:$P$2003,0),""))</f>
        <v/>
      </c>
    </row>
    <row r="792">
      <c r="A792" s="4">
        <f>IF($R792="","",IF($R792="T","Gesamtergebnis",IF($R792="B",INDEX($M$4:$M$2003,$S792),INDEX($L$4:$L$2003,$S792))))</f>
        <v/>
      </c>
      <c r="B792" s="4">
        <f>IF($R792="","",IF($R792="T",$K$3,IF($R792="B",COUNTIFS($M$4:$M$2003,INDEX($M$4:$M$2003,$S792),$N$4:$N$2003,1),1)))</f>
        <v/>
      </c>
      <c r="L792">
        <f>IF($K$1="","",IFERROR(INDEX(Lines!$A:$AA,ROW()-2,$K$1),""))</f>
        <v/>
      </c>
      <c r="M792">
        <f>IF($K$2="","",IFERROR(INDEX(Lines!$A:$AA,ROW()-2,$K$2),""))</f>
        <v/>
      </c>
      <c r="N792">
        <f>IF(AND(L792&lt;&gt;"",LEFT(L792,1)="N",M792&lt;&gt;"PICKING",M792&lt;&gt;""),1,0)</f>
        <v/>
      </c>
      <c r="O792">
        <f>IF(N792=1,M792&amp;"|"&amp;L792,REPT("z",40))</f>
        <v/>
      </c>
      <c r="P792">
        <f>IF(N792=1,COUNTIF($O$4:$O$2003,"&lt;"&amp;O792)+1,"")</f>
        <v/>
      </c>
      <c r="Q792">
        <f>IF(OR($R791="",$R791="T"),"",IF($R791="B",$Q791,IF($Q791+1&gt;$K$3,"",$Q791+1)))</f>
        <v/>
      </c>
      <c r="R792">
        <f>IF(OR($R791="",$R791="T"),"",IF($R791="B","S",IF($Q791+1&gt;$K$3,"T",IF(INDEX($M$4:$M$2003,MATCH($Q791+1,$P$4:$P$2003,0))&lt;&gt;INDEX($M$4:$M$2003,MATCH($Q791,$P$4:$P$2003,0)),"B","S"))))</f>
        <v/>
      </c>
      <c r="S792">
        <f>IF(Q792="","",IFERROR(MATCH(Q792,$P$4:$P$2003,0),""))</f>
        <v/>
      </c>
    </row>
    <row r="793">
      <c r="A793" s="4">
        <f>IF($R793="","",IF($R793="T","Gesamtergebnis",IF($R793="B",INDEX($M$4:$M$2003,$S793),INDEX($L$4:$L$2003,$S793))))</f>
        <v/>
      </c>
      <c r="B793" s="4">
        <f>IF($R793="","",IF($R793="T",$K$3,IF($R793="B",COUNTIFS($M$4:$M$2003,INDEX($M$4:$M$2003,$S793),$N$4:$N$2003,1),1)))</f>
        <v/>
      </c>
      <c r="L793">
        <f>IF($K$1="","",IFERROR(INDEX(Lines!$A:$AA,ROW()-2,$K$1),""))</f>
        <v/>
      </c>
      <c r="M793">
        <f>IF($K$2="","",IFERROR(INDEX(Lines!$A:$AA,ROW()-2,$K$2),""))</f>
        <v/>
      </c>
      <c r="N793">
        <f>IF(AND(L793&lt;&gt;"",LEFT(L793,1)="N",M793&lt;&gt;"PICKING",M793&lt;&gt;""),1,0)</f>
        <v/>
      </c>
      <c r="O793">
        <f>IF(N793=1,M793&amp;"|"&amp;L793,REPT("z",40))</f>
        <v/>
      </c>
      <c r="P793">
        <f>IF(N793=1,COUNTIF($O$4:$O$2003,"&lt;"&amp;O793)+1,"")</f>
        <v/>
      </c>
      <c r="Q793">
        <f>IF(OR($R792="",$R792="T"),"",IF($R792="B",$Q792,IF($Q792+1&gt;$K$3,"",$Q792+1)))</f>
        <v/>
      </c>
      <c r="R793">
        <f>IF(OR($R792="",$R792="T"),"",IF($R792="B","S",IF($Q792+1&gt;$K$3,"T",IF(INDEX($M$4:$M$2003,MATCH($Q792+1,$P$4:$P$2003,0))&lt;&gt;INDEX($M$4:$M$2003,MATCH($Q792,$P$4:$P$2003,0)),"B","S"))))</f>
        <v/>
      </c>
      <c r="S793">
        <f>IF(Q793="","",IFERROR(MATCH(Q793,$P$4:$P$2003,0),""))</f>
        <v/>
      </c>
    </row>
    <row r="794">
      <c r="A794" s="4">
        <f>IF($R794="","",IF($R794="T","Gesamtergebnis",IF($R794="B",INDEX($M$4:$M$2003,$S794),INDEX($L$4:$L$2003,$S794))))</f>
        <v/>
      </c>
      <c r="B794" s="4">
        <f>IF($R794="","",IF($R794="T",$K$3,IF($R794="B",COUNTIFS($M$4:$M$2003,INDEX($M$4:$M$2003,$S794),$N$4:$N$2003,1),1)))</f>
        <v/>
      </c>
      <c r="L794">
        <f>IF($K$1="","",IFERROR(INDEX(Lines!$A:$AA,ROW()-2,$K$1),""))</f>
        <v/>
      </c>
      <c r="M794">
        <f>IF($K$2="","",IFERROR(INDEX(Lines!$A:$AA,ROW()-2,$K$2),""))</f>
        <v/>
      </c>
      <c r="N794">
        <f>IF(AND(L794&lt;&gt;"",LEFT(L794,1)="N",M794&lt;&gt;"PICKING",M794&lt;&gt;""),1,0)</f>
        <v/>
      </c>
      <c r="O794">
        <f>IF(N794=1,M794&amp;"|"&amp;L794,REPT("z",40))</f>
        <v/>
      </c>
      <c r="P794">
        <f>IF(N794=1,COUNTIF($O$4:$O$2003,"&lt;"&amp;O794)+1,"")</f>
        <v/>
      </c>
      <c r="Q794">
        <f>IF(OR($R793="",$R793="T"),"",IF($R793="B",$Q793,IF($Q793+1&gt;$K$3,"",$Q793+1)))</f>
        <v/>
      </c>
      <c r="R794">
        <f>IF(OR($R793="",$R793="T"),"",IF($R793="B","S",IF($Q793+1&gt;$K$3,"T",IF(INDEX($M$4:$M$2003,MATCH($Q793+1,$P$4:$P$2003,0))&lt;&gt;INDEX($M$4:$M$2003,MATCH($Q793,$P$4:$P$2003,0)),"B","S"))))</f>
        <v/>
      </c>
      <c r="S794">
        <f>IF(Q794="","",IFERROR(MATCH(Q794,$P$4:$P$2003,0),""))</f>
        <v/>
      </c>
    </row>
    <row r="795">
      <c r="A795" s="4">
        <f>IF($R795="","",IF($R795="T","Gesamtergebnis",IF($R795="B",INDEX($M$4:$M$2003,$S795),INDEX($L$4:$L$2003,$S795))))</f>
        <v/>
      </c>
      <c r="B795" s="4">
        <f>IF($R795="","",IF($R795="T",$K$3,IF($R795="B",COUNTIFS($M$4:$M$2003,INDEX($M$4:$M$2003,$S795),$N$4:$N$2003,1),1)))</f>
        <v/>
      </c>
      <c r="L795">
        <f>IF($K$1="","",IFERROR(INDEX(Lines!$A:$AA,ROW()-2,$K$1),""))</f>
        <v/>
      </c>
      <c r="M795">
        <f>IF($K$2="","",IFERROR(INDEX(Lines!$A:$AA,ROW()-2,$K$2),""))</f>
        <v/>
      </c>
      <c r="N795">
        <f>IF(AND(L795&lt;&gt;"",LEFT(L795,1)="N",M795&lt;&gt;"PICKING",M795&lt;&gt;""),1,0)</f>
        <v/>
      </c>
      <c r="O795">
        <f>IF(N795=1,M795&amp;"|"&amp;L795,REPT("z",40))</f>
        <v/>
      </c>
      <c r="P795">
        <f>IF(N795=1,COUNTIF($O$4:$O$2003,"&lt;"&amp;O795)+1,"")</f>
        <v/>
      </c>
      <c r="Q795">
        <f>IF(OR($R794="",$R794="T"),"",IF($R794="B",$Q794,IF($Q794+1&gt;$K$3,"",$Q794+1)))</f>
        <v/>
      </c>
      <c r="R795">
        <f>IF(OR($R794="",$R794="T"),"",IF($R794="B","S",IF($Q794+1&gt;$K$3,"T",IF(INDEX($M$4:$M$2003,MATCH($Q794+1,$P$4:$P$2003,0))&lt;&gt;INDEX($M$4:$M$2003,MATCH($Q794,$P$4:$P$2003,0)),"B","S"))))</f>
        <v/>
      </c>
      <c r="S795">
        <f>IF(Q795="","",IFERROR(MATCH(Q795,$P$4:$P$2003,0),""))</f>
        <v/>
      </c>
    </row>
    <row r="796">
      <c r="A796" s="4">
        <f>IF($R796="","",IF($R796="T","Gesamtergebnis",IF($R796="B",INDEX($M$4:$M$2003,$S796),INDEX($L$4:$L$2003,$S796))))</f>
        <v/>
      </c>
      <c r="B796" s="4">
        <f>IF($R796="","",IF($R796="T",$K$3,IF($R796="B",COUNTIFS($M$4:$M$2003,INDEX($M$4:$M$2003,$S796),$N$4:$N$2003,1),1)))</f>
        <v/>
      </c>
      <c r="L796">
        <f>IF($K$1="","",IFERROR(INDEX(Lines!$A:$AA,ROW()-2,$K$1),""))</f>
        <v/>
      </c>
      <c r="M796">
        <f>IF($K$2="","",IFERROR(INDEX(Lines!$A:$AA,ROW()-2,$K$2),""))</f>
        <v/>
      </c>
      <c r="N796">
        <f>IF(AND(L796&lt;&gt;"",LEFT(L796,1)="N",M796&lt;&gt;"PICKING",M796&lt;&gt;""),1,0)</f>
        <v/>
      </c>
      <c r="O796">
        <f>IF(N796=1,M796&amp;"|"&amp;L796,REPT("z",40))</f>
        <v/>
      </c>
      <c r="P796">
        <f>IF(N796=1,COUNTIF($O$4:$O$2003,"&lt;"&amp;O796)+1,"")</f>
        <v/>
      </c>
      <c r="Q796">
        <f>IF(OR($R795="",$R795="T"),"",IF($R795="B",$Q795,IF($Q795+1&gt;$K$3,"",$Q795+1)))</f>
        <v/>
      </c>
      <c r="R796">
        <f>IF(OR($R795="",$R795="T"),"",IF($R795="B","S",IF($Q795+1&gt;$K$3,"T",IF(INDEX($M$4:$M$2003,MATCH($Q795+1,$P$4:$P$2003,0))&lt;&gt;INDEX($M$4:$M$2003,MATCH($Q795,$P$4:$P$2003,0)),"B","S"))))</f>
        <v/>
      </c>
      <c r="S796">
        <f>IF(Q796="","",IFERROR(MATCH(Q796,$P$4:$P$2003,0),""))</f>
        <v/>
      </c>
    </row>
    <row r="797">
      <c r="A797" s="4">
        <f>IF($R797="","",IF($R797="T","Gesamtergebnis",IF($R797="B",INDEX($M$4:$M$2003,$S797),INDEX($L$4:$L$2003,$S797))))</f>
        <v/>
      </c>
      <c r="B797" s="4">
        <f>IF($R797="","",IF($R797="T",$K$3,IF($R797="B",COUNTIFS($M$4:$M$2003,INDEX($M$4:$M$2003,$S797),$N$4:$N$2003,1),1)))</f>
        <v/>
      </c>
      <c r="L797">
        <f>IF($K$1="","",IFERROR(INDEX(Lines!$A:$AA,ROW()-2,$K$1),""))</f>
        <v/>
      </c>
      <c r="M797">
        <f>IF($K$2="","",IFERROR(INDEX(Lines!$A:$AA,ROW()-2,$K$2),""))</f>
        <v/>
      </c>
      <c r="N797">
        <f>IF(AND(L797&lt;&gt;"",LEFT(L797,1)="N",M797&lt;&gt;"PICKING",M797&lt;&gt;""),1,0)</f>
        <v/>
      </c>
      <c r="O797">
        <f>IF(N797=1,M797&amp;"|"&amp;L797,REPT("z",40))</f>
        <v/>
      </c>
      <c r="P797">
        <f>IF(N797=1,COUNTIF($O$4:$O$2003,"&lt;"&amp;O797)+1,"")</f>
        <v/>
      </c>
      <c r="Q797">
        <f>IF(OR($R796="",$R796="T"),"",IF($R796="B",$Q796,IF($Q796+1&gt;$K$3,"",$Q796+1)))</f>
        <v/>
      </c>
      <c r="R797">
        <f>IF(OR($R796="",$R796="T"),"",IF($R796="B","S",IF($Q796+1&gt;$K$3,"T",IF(INDEX($M$4:$M$2003,MATCH($Q796+1,$P$4:$P$2003,0))&lt;&gt;INDEX($M$4:$M$2003,MATCH($Q796,$P$4:$P$2003,0)),"B","S"))))</f>
        <v/>
      </c>
      <c r="S797">
        <f>IF(Q797="","",IFERROR(MATCH(Q797,$P$4:$P$2003,0),""))</f>
        <v/>
      </c>
    </row>
    <row r="798">
      <c r="A798" s="4">
        <f>IF($R798="","",IF($R798="T","Gesamtergebnis",IF($R798="B",INDEX($M$4:$M$2003,$S798),INDEX($L$4:$L$2003,$S798))))</f>
        <v/>
      </c>
      <c r="B798" s="4">
        <f>IF($R798="","",IF($R798="T",$K$3,IF($R798="B",COUNTIFS($M$4:$M$2003,INDEX($M$4:$M$2003,$S798),$N$4:$N$2003,1),1)))</f>
        <v/>
      </c>
      <c r="L798">
        <f>IF($K$1="","",IFERROR(INDEX(Lines!$A:$AA,ROW()-2,$K$1),""))</f>
        <v/>
      </c>
      <c r="M798">
        <f>IF($K$2="","",IFERROR(INDEX(Lines!$A:$AA,ROW()-2,$K$2),""))</f>
        <v/>
      </c>
      <c r="N798">
        <f>IF(AND(L798&lt;&gt;"",LEFT(L798,1)="N",M798&lt;&gt;"PICKING",M798&lt;&gt;""),1,0)</f>
        <v/>
      </c>
      <c r="O798">
        <f>IF(N798=1,M798&amp;"|"&amp;L798,REPT("z",40))</f>
        <v/>
      </c>
      <c r="P798">
        <f>IF(N798=1,COUNTIF($O$4:$O$2003,"&lt;"&amp;O798)+1,"")</f>
        <v/>
      </c>
      <c r="Q798">
        <f>IF(OR($R797="",$R797="T"),"",IF($R797="B",$Q797,IF($Q797+1&gt;$K$3,"",$Q797+1)))</f>
        <v/>
      </c>
      <c r="R798">
        <f>IF(OR($R797="",$R797="T"),"",IF($R797="B","S",IF($Q797+1&gt;$K$3,"T",IF(INDEX($M$4:$M$2003,MATCH($Q797+1,$P$4:$P$2003,0))&lt;&gt;INDEX($M$4:$M$2003,MATCH($Q797,$P$4:$P$2003,0)),"B","S"))))</f>
        <v/>
      </c>
      <c r="S798">
        <f>IF(Q798="","",IFERROR(MATCH(Q798,$P$4:$P$2003,0),""))</f>
        <v/>
      </c>
    </row>
    <row r="799">
      <c r="A799" s="4">
        <f>IF($R799="","",IF($R799="T","Gesamtergebnis",IF($R799="B",INDEX($M$4:$M$2003,$S799),INDEX($L$4:$L$2003,$S799))))</f>
        <v/>
      </c>
      <c r="B799" s="4">
        <f>IF($R799="","",IF($R799="T",$K$3,IF($R799="B",COUNTIFS($M$4:$M$2003,INDEX($M$4:$M$2003,$S799),$N$4:$N$2003,1),1)))</f>
        <v/>
      </c>
      <c r="L799">
        <f>IF($K$1="","",IFERROR(INDEX(Lines!$A:$AA,ROW()-2,$K$1),""))</f>
        <v/>
      </c>
      <c r="M799">
        <f>IF($K$2="","",IFERROR(INDEX(Lines!$A:$AA,ROW()-2,$K$2),""))</f>
        <v/>
      </c>
      <c r="N799">
        <f>IF(AND(L799&lt;&gt;"",LEFT(L799,1)="N",M799&lt;&gt;"PICKING",M799&lt;&gt;""),1,0)</f>
        <v/>
      </c>
      <c r="O799">
        <f>IF(N799=1,M799&amp;"|"&amp;L799,REPT("z",40))</f>
        <v/>
      </c>
      <c r="P799">
        <f>IF(N799=1,COUNTIF($O$4:$O$2003,"&lt;"&amp;O799)+1,"")</f>
        <v/>
      </c>
      <c r="Q799">
        <f>IF(OR($R798="",$R798="T"),"",IF($R798="B",$Q798,IF($Q798+1&gt;$K$3,"",$Q798+1)))</f>
        <v/>
      </c>
      <c r="R799">
        <f>IF(OR($R798="",$R798="T"),"",IF($R798="B","S",IF($Q798+1&gt;$K$3,"T",IF(INDEX($M$4:$M$2003,MATCH($Q798+1,$P$4:$P$2003,0))&lt;&gt;INDEX($M$4:$M$2003,MATCH($Q798,$P$4:$P$2003,0)),"B","S"))))</f>
        <v/>
      </c>
      <c r="S799">
        <f>IF(Q799="","",IFERROR(MATCH(Q799,$P$4:$P$2003,0),""))</f>
        <v/>
      </c>
    </row>
    <row r="800">
      <c r="A800" s="4">
        <f>IF($R800="","",IF($R800="T","Gesamtergebnis",IF($R800="B",INDEX($M$4:$M$2003,$S800),INDEX($L$4:$L$2003,$S800))))</f>
        <v/>
      </c>
      <c r="B800" s="4">
        <f>IF($R800="","",IF($R800="T",$K$3,IF($R800="B",COUNTIFS($M$4:$M$2003,INDEX($M$4:$M$2003,$S800),$N$4:$N$2003,1),1)))</f>
        <v/>
      </c>
      <c r="L800">
        <f>IF($K$1="","",IFERROR(INDEX(Lines!$A:$AA,ROW()-2,$K$1),""))</f>
        <v/>
      </c>
      <c r="M800">
        <f>IF($K$2="","",IFERROR(INDEX(Lines!$A:$AA,ROW()-2,$K$2),""))</f>
        <v/>
      </c>
      <c r="N800">
        <f>IF(AND(L800&lt;&gt;"",LEFT(L800,1)="N",M800&lt;&gt;"PICKING",M800&lt;&gt;""),1,0)</f>
        <v/>
      </c>
      <c r="O800">
        <f>IF(N800=1,M800&amp;"|"&amp;L800,REPT("z",40))</f>
        <v/>
      </c>
      <c r="P800">
        <f>IF(N800=1,COUNTIF($O$4:$O$2003,"&lt;"&amp;O800)+1,"")</f>
        <v/>
      </c>
      <c r="Q800">
        <f>IF(OR($R799="",$R799="T"),"",IF($R799="B",$Q799,IF($Q799+1&gt;$K$3,"",$Q799+1)))</f>
        <v/>
      </c>
      <c r="R800">
        <f>IF(OR($R799="",$R799="T"),"",IF($R799="B","S",IF($Q799+1&gt;$K$3,"T",IF(INDEX($M$4:$M$2003,MATCH($Q799+1,$P$4:$P$2003,0))&lt;&gt;INDEX($M$4:$M$2003,MATCH($Q799,$P$4:$P$2003,0)),"B","S"))))</f>
        <v/>
      </c>
      <c r="S800">
        <f>IF(Q800="","",IFERROR(MATCH(Q800,$P$4:$P$2003,0),""))</f>
        <v/>
      </c>
    </row>
    <row r="801">
      <c r="A801" s="4">
        <f>IF($R801="","",IF($R801="T","Gesamtergebnis",IF($R801="B",INDEX($M$4:$M$2003,$S801),INDEX($L$4:$L$2003,$S801))))</f>
        <v/>
      </c>
      <c r="B801" s="4">
        <f>IF($R801="","",IF($R801="T",$K$3,IF($R801="B",COUNTIFS($M$4:$M$2003,INDEX($M$4:$M$2003,$S801),$N$4:$N$2003,1),1)))</f>
        <v/>
      </c>
      <c r="L801">
        <f>IF($K$1="","",IFERROR(INDEX(Lines!$A:$AA,ROW()-2,$K$1),""))</f>
        <v/>
      </c>
      <c r="M801">
        <f>IF($K$2="","",IFERROR(INDEX(Lines!$A:$AA,ROW()-2,$K$2),""))</f>
        <v/>
      </c>
      <c r="N801">
        <f>IF(AND(L801&lt;&gt;"",LEFT(L801,1)="N",M801&lt;&gt;"PICKING",M801&lt;&gt;""),1,0)</f>
        <v/>
      </c>
      <c r="O801">
        <f>IF(N801=1,M801&amp;"|"&amp;L801,REPT("z",40))</f>
        <v/>
      </c>
      <c r="P801">
        <f>IF(N801=1,COUNTIF($O$4:$O$2003,"&lt;"&amp;O801)+1,"")</f>
        <v/>
      </c>
      <c r="Q801">
        <f>IF(OR($R800="",$R800="T"),"",IF($R800="B",$Q800,IF($Q800+1&gt;$K$3,"",$Q800+1)))</f>
        <v/>
      </c>
      <c r="R801">
        <f>IF(OR($R800="",$R800="T"),"",IF($R800="B","S",IF($Q800+1&gt;$K$3,"T",IF(INDEX($M$4:$M$2003,MATCH($Q800+1,$P$4:$P$2003,0))&lt;&gt;INDEX($M$4:$M$2003,MATCH($Q800,$P$4:$P$2003,0)),"B","S"))))</f>
        <v/>
      </c>
      <c r="S801">
        <f>IF(Q801="","",IFERROR(MATCH(Q801,$P$4:$P$2003,0),""))</f>
        <v/>
      </c>
    </row>
    <row r="802">
      <c r="A802" s="4">
        <f>IF($R802="","",IF($R802="T","Gesamtergebnis",IF($R802="B",INDEX($M$4:$M$2003,$S802),INDEX($L$4:$L$2003,$S802))))</f>
        <v/>
      </c>
      <c r="B802" s="4">
        <f>IF($R802="","",IF($R802="T",$K$3,IF($R802="B",COUNTIFS($M$4:$M$2003,INDEX($M$4:$M$2003,$S802),$N$4:$N$2003,1),1)))</f>
        <v/>
      </c>
      <c r="L802">
        <f>IF($K$1="","",IFERROR(INDEX(Lines!$A:$AA,ROW()-2,$K$1),""))</f>
        <v/>
      </c>
      <c r="M802">
        <f>IF($K$2="","",IFERROR(INDEX(Lines!$A:$AA,ROW()-2,$K$2),""))</f>
        <v/>
      </c>
      <c r="N802">
        <f>IF(AND(L802&lt;&gt;"",LEFT(L802,1)="N",M802&lt;&gt;"PICKING",M802&lt;&gt;""),1,0)</f>
        <v/>
      </c>
      <c r="O802">
        <f>IF(N802=1,M802&amp;"|"&amp;L802,REPT("z",40))</f>
        <v/>
      </c>
      <c r="P802">
        <f>IF(N802=1,COUNTIF($O$4:$O$2003,"&lt;"&amp;O802)+1,"")</f>
        <v/>
      </c>
      <c r="Q802">
        <f>IF(OR($R801="",$R801="T"),"",IF($R801="B",$Q801,IF($Q801+1&gt;$K$3,"",$Q801+1)))</f>
        <v/>
      </c>
      <c r="R802">
        <f>IF(OR($R801="",$R801="T"),"",IF($R801="B","S",IF($Q801+1&gt;$K$3,"T",IF(INDEX($M$4:$M$2003,MATCH($Q801+1,$P$4:$P$2003,0))&lt;&gt;INDEX($M$4:$M$2003,MATCH($Q801,$P$4:$P$2003,0)),"B","S"))))</f>
        <v/>
      </c>
      <c r="S802">
        <f>IF(Q802="","",IFERROR(MATCH(Q802,$P$4:$P$2003,0),""))</f>
        <v/>
      </c>
    </row>
    <row r="803">
      <c r="A803" s="4">
        <f>IF($R803="","",IF($R803="T","Gesamtergebnis",IF($R803="B",INDEX($M$4:$M$2003,$S803),INDEX($L$4:$L$2003,$S803))))</f>
        <v/>
      </c>
      <c r="B803" s="4">
        <f>IF($R803="","",IF($R803="T",$K$3,IF($R803="B",COUNTIFS($M$4:$M$2003,INDEX($M$4:$M$2003,$S803),$N$4:$N$2003,1),1)))</f>
        <v/>
      </c>
      <c r="L803">
        <f>IF($K$1="","",IFERROR(INDEX(Lines!$A:$AA,ROW()-2,$K$1),""))</f>
        <v/>
      </c>
      <c r="M803">
        <f>IF($K$2="","",IFERROR(INDEX(Lines!$A:$AA,ROW()-2,$K$2),""))</f>
        <v/>
      </c>
      <c r="N803">
        <f>IF(AND(L803&lt;&gt;"",LEFT(L803,1)="N",M803&lt;&gt;"PICKING",M803&lt;&gt;""),1,0)</f>
        <v/>
      </c>
      <c r="O803">
        <f>IF(N803=1,M803&amp;"|"&amp;L803,REPT("z",40))</f>
        <v/>
      </c>
      <c r="P803">
        <f>IF(N803=1,COUNTIF($O$4:$O$2003,"&lt;"&amp;O803)+1,"")</f>
        <v/>
      </c>
      <c r="Q803">
        <f>IF(OR($R802="",$R802="T"),"",IF($R802="B",$Q802,IF($Q802+1&gt;$K$3,"",$Q802+1)))</f>
        <v/>
      </c>
      <c r="R803">
        <f>IF(OR($R802="",$R802="T"),"",IF($R802="B","S",IF($Q802+1&gt;$K$3,"T",IF(INDEX($M$4:$M$2003,MATCH($Q802+1,$P$4:$P$2003,0))&lt;&gt;INDEX($M$4:$M$2003,MATCH($Q802,$P$4:$P$2003,0)),"B","S"))))</f>
        <v/>
      </c>
      <c r="S803">
        <f>IF(Q803="","",IFERROR(MATCH(Q803,$P$4:$P$2003,0),""))</f>
        <v/>
      </c>
    </row>
    <row r="804">
      <c r="A804" s="4">
        <f>IF($R804="","",IF($R804="T","Gesamtergebnis",IF($R804="B",INDEX($M$4:$M$2003,$S804),INDEX($L$4:$L$2003,$S804))))</f>
        <v/>
      </c>
      <c r="B804" s="4">
        <f>IF($R804="","",IF($R804="T",$K$3,IF($R804="B",COUNTIFS($M$4:$M$2003,INDEX($M$4:$M$2003,$S804),$N$4:$N$2003,1),1)))</f>
        <v/>
      </c>
      <c r="L804">
        <f>IF($K$1="","",IFERROR(INDEX(Lines!$A:$AA,ROW()-2,$K$1),""))</f>
        <v/>
      </c>
      <c r="M804">
        <f>IF($K$2="","",IFERROR(INDEX(Lines!$A:$AA,ROW()-2,$K$2),""))</f>
        <v/>
      </c>
      <c r="N804">
        <f>IF(AND(L804&lt;&gt;"",LEFT(L804,1)="N",M804&lt;&gt;"PICKING",M804&lt;&gt;""),1,0)</f>
        <v/>
      </c>
      <c r="O804">
        <f>IF(N804=1,M804&amp;"|"&amp;L804,REPT("z",40))</f>
        <v/>
      </c>
      <c r="P804">
        <f>IF(N804=1,COUNTIF($O$4:$O$2003,"&lt;"&amp;O804)+1,"")</f>
        <v/>
      </c>
      <c r="Q804">
        <f>IF(OR($R803="",$R803="T"),"",IF($R803="B",$Q803,IF($Q803+1&gt;$K$3,"",$Q803+1)))</f>
        <v/>
      </c>
      <c r="R804">
        <f>IF(OR($R803="",$R803="T"),"",IF($R803="B","S",IF($Q803+1&gt;$K$3,"T",IF(INDEX($M$4:$M$2003,MATCH($Q803+1,$P$4:$P$2003,0))&lt;&gt;INDEX($M$4:$M$2003,MATCH($Q803,$P$4:$P$2003,0)),"B","S"))))</f>
        <v/>
      </c>
      <c r="S804">
        <f>IF(Q804="","",IFERROR(MATCH(Q804,$P$4:$P$2003,0),""))</f>
        <v/>
      </c>
    </row>
    <row r="805">
      <c r="A805" s="4">
        <f>IF($R805="","",IF($R805="T","Gesamtergebnis",IF($R805="B",INDEX($M$4:$M$2003,$S805),INDEX($L$4:$L$2003,$S805))))</f>
        <v/>
      </c>
      <c r="B805" s="4">
        <f>IF($R805="","",IF($R805="T",$K$3,IF($R805="B",COUNTIFS($M$4:$M$2003,INDEX($M$4:$M$2003,$S805),$N$4:$N$2003,1),1)))</f>
        <v/>
      </c>
      <c r="L805">
        <f>IF($K$1="","",IFERROR(INDEX(Lines!$A:$AA,ROW()-2,$K$1),""))</f>
        <v/>
      </c>
      <c r="M805">
        <f>IF($K$2="","",IFERROR(INDEX(Lines!$A:$AA,ROW()-2,$K$2),""))</f>
        <v/>
      </c>
      <c r="N805">
        <f>IF(AND(L805&lt;&gt;"",LEFT(L805,1)="N",M805&lt;&gt;"PICKING",M805&lt;&gt;""),1,0)</f>
        <v/>
      </c>
      <c r="O805">
        <f>IF(N805=1,M805&amp;"|"&amp;L805,REPT("z",40))</f>
        <v/>
      </c>
      <c r="P805">
        <f>IF(N805=1,COUNTIF($O$4:$O$2003,"&lt;"&amp;O805)+1,"")</f>
        <v/>
      </c>
      <c r="Q805">
        <f>IF(OR($R804="",$R804="T"),"",IF($R804="B",$Q804,IF($Q804+1&gt;$K$3,"",$Q804+1)))</f>
        <v/>
      </c>
      <c r="R805">
        <f>IF(OR($R804="",$R804="T"),"",IF($R804="B","S",IF($Q804+1&gt;$K$3,"T",IF(INDEX($M$4:$M$2003,MATCH($Q804+1,$P$4:$P$2003,0))&lt;&gt;INDEX($M$4:$M$2003,MATCH($Q804,$P$4:$P$2003,0)),"B","S"))))</f>
        <v/>
      </c>
      <c r="S805">
        <f>IF(Q805="","",IFERROR(MATCH(Q805,$P$4:$P$2003,0),""))</f>
        <v/>
      </c>
    </row>
    <row r="806">
      <c r="A806" s="4">
        <f>IF($R806="","",IF($R806="T","Gesamtergebnis",IF($R806="B",INDEX($M$4:$M$2003,$S806),INDEX($L$4:$L$2003,$S806))))</f>
        <v/>
      </c>
      <c r="B806" s="4">
        <f>IF($R806="","",IF($R806="T",$K$3,IF($R806="B",COUNTIFS($M$4:$M$2003,INDEX($M$4:$M$2003,$S806),$N$4:$N$2003,1),1)))</f>
        <v/>
      </c>
      <c r="L806">
        <f>IF($K$1="","",IFERROR(INDEX(Lines!$A:$AA,ROW()-2,$K$1),""))</f>
        <v/>
      </c>
      <c r="M806">
        <f>IF($K$2="","",IFERROR(INDEX(Lines!$A:$AA,ROW()-2,$K$2),""))</f>
        <v/>
      </c>
      <c r="N806">
        <f>IF(AND(L806&lt;&gt;"",LEFT(L806,1)="N",M806&lt;&gt;"PICKING",M806&lt;&gt;""),1,0)</f>
        <v/>
      </c>
      <c r="O806">
        <f>IF(N806=1,M806&amp;"|"&amp;L806,REPT("z",40))</f>
        <v/>
      </c>
      <c r="P806">
        <f>IF(N806=1,COUNTIF($O$4:$O$2003,"&lt;"&amp;O806)+1,"")</f>
        <v/>
      </c>
      <c r="Q806">
        <f>IF(OR($R805="",$R805="T"),"",IF($R805="B",$Q805,IF($Q805+1&gt;$K$3,"",$Q805+1)))</f>
        <v/>
      </c>
      <c r="R806">
        <f>IF(OR($R805="",$R805="T"),"",IF($R805="B","S",IF($Q805+1&gt;$K$3,"T",IF(INDEX($M$4:$M$2003,MATCH($Q805+1,$P$4:$P$2003,0))&lt;&gt;INDEX($M$4:$M$2003,MATCH($Q805,$P$4:$P$2003,0)),"B","S"))))</f>
        <v/>
      </c>
      <c r="S806">
        <f>IF(Q806="","",IFERROR(MATCH(Q806,$P$4:$P$2003,0),""))</f>
        <v/>
      </c>
    </row>
    <row r="807">
      <c r="A807" s="4">
        <f>IF($R807="","",IF($R807="T","Gesamtergebnis",IF($R807="B",INDEX($M$4:$M$2003,$S807),INDEX($L$4:$L$2003,$S807))))</f>
        <v/>
      </c>
      <c r="B807" s="4">
        <f>IF($R807="","",IF($R807="T",$K$3,IF($R807="B",COUNTIFS($M$4:$M$2003,INDEX($M$4:$M$2003,$S807),$N$4:$N$2003,1),1)))</f>
        <v/>
      </c>
      <c r="L807">
        <f>IF($K$1="","",IFERROR(INDEX(Lines!$A:$AA,ROW()-2,$K$1),""))</f>
        <v/>
      </c>
      <c r="M807">
        <f>IF($K$2="","",IFERROR(INDEX(Lines!$A:$AA,ROW()-2,$K$2),""))</f>
        <v/>
      </c>
      <c r="N807">
        <f>IF(AND(L807&lt;&gt;"",LEFT(L807,1)="N",M807&lt;&gt;"PICKING",M807&lt;&gt;""),1,0)</f>
        <v/>
      </c>
      <c r="O807">
        <f>IF(N807=1,M807&amp;"|"&amp;L807,REPT("z",40))</f>
        <v/>
      </c>
      <c r="P807">
        <f>IF(N807=1,COUNTIF($O$4:$O$2003,"&lt;"&amp;O807)+1,"")</f>
        <v/>
      </c>
      <c r="Q807">
        <f>IF(OR($R806="",$R806="T"),"",IF($R806="B",$Q806,IF($Q806+1&gt;$K$3,"",$Q806+1)))</f>
        <v/>
      </c>
      <c r="R807">
        <f>IF(OR($R806="",$R806="T"),"",IF($R806="B","S",IF($Q806+1&gt;$K$3,"T",IF(INDEX($M$4:$M$2003,MATCH($Q806+1,$P$4:$P$2003,0))&lt;&gt;INDEX($M$4:$M$2003,MATCH($Q806,$P$4:$P$2003,0)),"B","S"))))</f>
        <v/>
      </c>
      <c r="S807">
        <f>IF(Q807="","",IFERROR(MATCH(Q807,$P$4:$P$2003,0),""))</f>
        <v/>
      </c>
    </row>
    <row r="808">
      <c r="A808" s="4">
        <f>IF($R808="","",IF($R808="T","Gesamtergebnis",IF($R808="B",INDEX($M$4:$M$2003,$S808),INDEX($L$4:$L$2003,$S808))))</f>
        <v/>
      </c>
      <c r="B808" s="4">
        <f>IF($R808="","",IF($R808="T",$K$3,IF($R808="B",COUNTIFS($M$4:$M$2003,INDEX($M$4:$M$2003,$S808),$N$4:$N$2003,1),1)))</f>
        <v/>
      </c>
      <c r="L808">
        <f>IF($K$1="","",IFERROR(INDEX(Lines!$A:$AA,ROW()-2,$K$1),""))</f>
        <v/>
      </c>
      <c r="M808">
        <f>IF($K$2="","",IFERROR(INDEX(Lines!$A:$AA,ROW()-2,$K$2),""))</f>
        <v/>
      </c>
      <c r="N808">
        <f>IF(AND(L808&lt;&gt;"",LEFT(L808,1)="N",M808&lt;&gt;"PICKING",M808&lt;&gt;""),1,0)</f>
        <v/>
      </c>
      <c r="O808">
        <f>IF(N808=1,M808&amp;"|"&amp;L808,REPT("z",40))</f>
        <v/>
      </c>
      <c r="P808">
        <f>IF(N808=1,COUNTIF($O$4:$O$2003,"&lt;"&amp;O808)+1,"")</f>
        <v/>
      </c>
      <c r="Q808">
        <f>IF(OR($R807="",$R807="T"),"",IF($R807="B",$Q807,IF($Q807+1&gt;$K$3,"",$Q807+1)))</f>
        <v/>
      </c>
      <c r="R808">
        <f>IF(OR($R807="",$R807="T"),"",IF($R807="B","S",IF($Q807+1&gt;$K$3,"T",IF(INDEX($M$4:$M$2003,MATCH($Q807+1,$P$4:$P$2003,0))&lt;&gt;INDEX($M$4:$M$2003,MATCH($Q807,$P$4:$P$2003,0)),"B","S"))))</f>
        <v/>
      </c>
      <c r="S808">
        <f>IF(Q808="","",IFERROR(MATCH(Q808,$P$4:$P$2003,0),""))</f>
        <v/>
      </c>
    </row>
    <row r="809">
      <c r="A809" s="4">
        <f>IF($R809="","",IF($R809="T","Gesamtergebnis",IF($R809="B",INDEX($M$4:$M$2003,$S809),INDEX($L$4:$L$2003,$S809))))</f>
        <v/>
      </c>
      <c r="B809" s="4">
        <f>IF($R809="","",IF($R809="T",$K$3,IF($R809="B",COUNTIFS($M$4:$M$2003,INDEX($M$4:$M$2003,$S809),$N$4:$N$2003,1),1)))</f>
        <v/>
      </c>
      <c r="L809">
        <f>IF($K$1="","",IFERROR(INDEX(Lines!$A:$AA,ROW()-2,$K$1),""))</f>
        <v/>
      </c>
      <c r="M809">
        <f>IF($K$2="","",IFERROR(INDEX(Lines!$A:$AA,ROW()-2,$K$2),""))</f>
        <v/>
      </c>
      <c r="N809">
        <f>IF(AND(L809&lt;&gt;"",LEFT(L809,1)="N",M809&lt;&gt;"PICKING",M809&lt;&gt;""),1,0)</f>
        <v/>
      </c>
      <c r="O809">
        <f>IF(N809=1,M809&amp;"|"&amp;L809,REPT("z",40))</f>
        <v/>
      </c>
      <c r="P809">
        <f>IF(N809=1,COUNTIF($O$4:$O$2003,"&lt;"&amp;O809)+1,"")</f>
        <v/>
      </c>
      <c r="Q809">
        <f>IF(OR($R808="",$R808="T"),"",IF($R808="B",$Q808,IF($Q808+1&gt;$K$3,"",$Q808+1)))</f>
        <v/>
      </c>
      <c r="R809">
        <f>IF(OR($R808="",$R808="T"),"",IF($R808="B","S",IF($Q808+1&gt;$K$3,"T",IF(INDEX($M$4:$M$2003,MATCH($Q808+1,$P$4:$P$2003,0))&lt;&gt;INDEX($M$4:$M$2003,MATCH($Q808,$P$4:$P$2003,0)),"B","S"))))</f>
        <v/>
      </c>
      <c r="S809">
        <f>IF(Q809="","",IFERROR(MATCH(Q809,$P$4:$P$2003,0),""))</f>
        <v/>
      </c>
    </row>
    <row r="810">
      <c r="A810" s="4">
        <f>IF($R810="","",IF($R810="T","Gesamtergebnis",IF($R810="B",INDEX($M$4:$M$2003,$S810),INDEX($L$4:$L$2003,$S810))))</f>
        <v/>
      </c>
      <c r="B810" s="4">
        <f>IF($R810="","",IF($R810="T",$K$3,IF($R810="B",COUNTIFS($M$4:$M$2003,INDEX($M$4:$M$2003,$S810),$N$4:$N$2003,1),1)))</f>
        <v/>
      </c>
      <c r="L810">
        <f>IF($K$1="","",IFERROR(INDEX(Lines!$A:$AA,ROW()-2,$K$1),""))</f>
        <v/>
      </c>
      <c r="M810">
        <f>IF($K$2="","",IFERROR(INDEX(Lines!$A:$AA,ROW()-2,$K$2),""))</f>
        <v/>
      </c>
      <c r="N810">
        <f>IF(AND(L810&lt;&gt;"",LEFT(L810,1)="N",M810&lt;&gt;"PICKING",M810&lt;&gt;""),1,0)</f>
        <v/>
      </c>
      <c r="O810">
        <f>IF(N810=1,M810&amp;"|"&amp;L810,REPT("z",40))</f>
        <v/>
      </c>
      <c r="P810">
        <f>IF(N810=1,COUNTIF($O$4:$O$2003,"&lt;"&amp;O810)+1,"")</f>
        <v/>
      </c>
      <c r="Q810">
        <f>IF(OR($R809="",$R809="T"),"",IF($R809="B",$Q809,IF($Q809+1&gt;$K$3,"",$Q809+1)))</f>
        <v/>
      </c>
      <c r="R810">
        <f>IF(OR($R809="",$R809="T"),"",IF($R809="B","S",IF($Q809+1&gt;$K$3,"T",IF(INDEX($M$4:$M$2003,MATCH($Q809+1,$P$4:$P$2003,0))&lt;&gt;INDEX($M$4:$M$2003,MATCH($Q809,$P$4:$P$2003,0)),"B","S"))))</f>
        <v/>
      </c>
      <c r="S810">
        <f>IF(Q810="","",IFERROR(MATCH(Q810,$P$4:$P$2003,0),""))</f>
        <v/>
      </c>
    </row>
    <row r="811">
      <c r="A811" s="4">
        <f>IF($R811="","",IF($R811="T","Gesamtergebnis",IF($R811="B",INDEX($M$4:$M$2003,$S811),INDEX($L$4:$L$2003,$S811))))</f>
        <v/>
      </c>
      <c r="B811" s="4">
        <f>IF($R811="","",IF($R811="T",$K$3,IF($R811="B",COUNTIFS($M$4:$M$2003,INDEX($M$4:$M$2003,$S811),$N$4:$N$2003,1),1)))</f>
        <v/>
      </c>
      <c r="L811">
        <f>IF($K$1="","",IFERROR(INDEX(Lines!$A:$AA,ROW()-2,$K$1),""))</f>
        <v/>
      </c>
      <c r="M811">
        <f>IF($K$2="","",IFERROR(INDEX(Lines!$A:$AA,ROW()-2,$K$2),""))</f>
        <v/>
      </c>
      <c r="N811">
        <f>IF(AND(L811&lt;&gt;"",LEFT(L811,1)="N",M811&lt;&gt;"PICKING",M811&lt;&gt;""),1,0)</f>
        <v/>
      </c>
      <c r="O811">
        <f>IF(N811=1,M811&amp;"|"&amp;L811,REPT("z",40))</f>
        <v/>
      </c>
      <c r="P811">
        <f>IF(N811=1,COUNTIF($O$4:$O$2003,"&lt;"&amp;O811)+1,"")</f>
        <v/>
      </c>
      <c r="Q811">
        <f>IF(OR($R810="",$R810="T"),"",IF($R810="B",$Q810,IF($Q810+1&gt;$K$3,"",$Q810+1)))</f>
        <v/>
      </c>
      <c r="R811">
        <f>IF(OR($R810="",$R810="T"),"",IF($R810="B","S",IF($Q810+1&gt;$K$3,"T",IF(INDEX($M$4:$M$2003,MATCH($Q810+1,$P$4:$P$2003,0))&lt;&gt;INDEX($M$4:$M$2003,MATCH($Q810,$P$4:$P$2003,0)),"B","S"))))</f>
        <v/>
      </c>
      <c r="S811">
        <f>IF(Q811="","",IFERROR(MATCH(Q811,$P$4:$P$2003,0),""))</f>
        <v/>
      </c>
    </row>
    <row r="812">
      <c r="A812" s="4">
        <f>IF($R812="","",IF($R812="T","Gesamtergebnis",IF($R812="B",INDEX($M$4:$M$2003,$S812),INDEX($L$4:$L$2003,$S812))))</f>
        <v/>
      </c>
      <c r="B812" s="4">
        <f>IF($R812="","",IF($R812="T",$K$3,IF($R812="B",COUNTIFS($M$4:$M$2003,INDEX($M$4:$M$2003,$S812),$N$4:$N$2003,1),1)))</f>
        <v/>
      </c>
      <c r="L812">
        <f>IF($K$1="","",IFERROR(INDEX(Lines!$A:$AA,ROW()-2,$K$1),""))</f>
        <v/>
      </c>
      <c r="M812">
        <f>IF($K$2="","",IFERROR(INDEX(Lines!$A:$AA,ROW()-2,$K$2),""))</f>
        <v/>
      </c>
      <c r="N812">
        <f>IF(AND(L812&lt;&gt;"",LEFT(L812,1)="N",M812&lt;&gt;"PICKING",M812&lt;&gt;""),1,0)</f>
        <v/>
      </c>
      <c r="O812">
        <f>IF(N812=1,M812&amp;"|"&amp;L812,REPT("z",40))</f>
        <v/>
      </c>
      <c r="P812">
        <f>IF(N812=1,COUNTIF($O$4:$O$2003,"&lt;"&amp;O812)+1,"")</f>
        <v/>
      </c>
      <c r="Q812">
        <f>IF(OR($R811="",$R811="T"),"",IF($R811="B",$Q811,IF($Q811+1&gt;$K$3,"",$Q811+1)))</f>
        <v/>
      </c>
      <c r="R812">
        <f>IF(OR($R811="",$R811="T"),"",IF($R811="B","S",IF($Q811+1&gt;$K$3,"T",IF(INDEX($M$4:$M$2003,MATCH($Q811+1,$P$4:$P$2003,0))&lt;&gt;INDEX($M$4:$M$2003,MATCH($Q811,$P$4:$P$2003,0)),"B","S"))))</f>
        <v/>
      </c>
      <c r="S812">
        <f>IF(Q812="","",IFERROR(MATCH(Q812,$P$4:$P$2003,0),""))</f>
        <v/>
      </c>
    </row>
    <row r="813">
      <c r="A813" s="4">
        <f>IF($R813="","",IF($R813="T","Gesamtergebnis",IF($R813="B",INDEX($M$4:$M$2003,$S813),INDEX($L$4:$L$2003,$S813))))</f>
        <v/>
      </c>
      <c r="B813" s="4">
        <f>IF($R813="","",IF($R813="T",$K$3,IF($R813="B",COUNTIFS($M$4:$M$2003,INDEX($M$4:$M$2003,$S813),$N$4:$N$2003,1),1)))</f>
        <v/>
      </c>
      <c r="L813">
        <f>IF($K$1="","",IFERROR(INDEX(Lines!$A:$AA,ROW()-2,$K$1),""))</f>
        <v/>
      </c>
      <c r="M813">
        <f>IF($K$2="","",IFERROR(INDEX(Lines!$A:$AA,ROW()-2,$K$2),""))</f>
        <v/>
      </c>
      <c r="N813">
        <f>IF(AND(L813&lt;&gt;"",LEFT(L813,1)="N",M813&lt;&gt;"PICKING",M813&lt;&gt;""),1,0)</f>
        <v/>
      </c>
      <c r="O813">
        <f>IF(N813=1,M813&amp;"|"&amp;L813,REPT("z",40))</f>
        <v/>
      </c>
      <c r="P813">
        <f>IF(N813=1,COUNTIF($O$4:$O$2003,"&lt;"&amp;O813)+1,"")</f>
        <v/>
      </c>
      <c r="Q813">
        <f>IF(OR($R812="",$R812="T"),"",IF($R812="B",$Q812,IF($Q812+1&gt;$K$3,"",$Q812+1)))</f>
        <v/>
      </c>
      <c r="R813">
        <f>IF(OR($R812="",$R812="T"),"",IF($R812="B","S",IF($Q812+1&gt;$K$3,"T",IF(INDEX($M$4:$M$2003,MATCH($Q812+1,$P$4:$P$2003,0))&lt;&gt;INDEX($M$4:$M$2003,MATCH($Q812,$P$4:$P$2003,0)),"B","S"))))</f>
        <v/>
      </c>
      <c r="S813">
        <f>IF(Q813="","",IFERROR(MATCH(Q813,$P$4:$P$2003,0),""))</f>
        <v/>
      </c>
    </row>
    <row r="814">
      <c r="A814" s="4">
        <f>IF($R814="","",IF($R814="T","Gesamtergebnis",IF($R814="B",INDEX($M$4:$M$2003,$S814),INDEX($L$4:$L$2003,$S814))))</f>
        <v/>
      </c>
      <c r="B814" s="4">
        <f>IF($R814="","",IF($R814="T",$K$3,IF($R814="B",COUNTIFS($M$4:$M$2003,INDEX($M$4:$M$2003,$S814),$N$4:$N$2003,1),1)))</f>
        <v/>
      </c>
      <c r="L814">
        <f>IF($K$1="","",IFERROR(INDEX(Lines!$A:$AA,ROW()-2,$K$1),""))</f>
        <v/>
      </c>
      <c r="M814">
        <f>IF($K$2="","",IFERROR(INDEX(Lines!$A:$AA,ROW()-2,$K$2),""))</f>
        <v/>
      </c>
      <c r="N814">
        <f>IF(AND(L814&lt;&gt;"",LEFT(L814,1)="N",M814&lt;&gt;"PICKING",M814&lt;&gt;""),1,0)</f>
        <v/>
      </c>
      <c r="O814">
        <f>IF(N814=1,M814&amp;"|"&amp;L814,REPT("z",40))</f>
        <v/>
      </c>
      <c r="P814">
        <f>IF(N814=1,COUNTIF($O$4:$O$2003,"&lt;"&amp;O814)+1,"")</f>
        <v/>
      </c>
      <c r="Q814">
        <f>IF(OR($R813="",$R813="T"),"",IF($R813="B",$Q813,IF($Q813+1&gt;$K$3,"",$Q813+1)))</f>
        <v/>
      </c>
      <c r="R814">
        <f>IF(OR($R813="",$R813="T"),"",IF($R813="B","S",IF($Q813+1&gt;$K$3,"T",IF(INDEX($M$4:$M$2003,MATCH($Q813+1,$P$4:$P$2003,0))&lt;&gt;INDEX($M$4:$M$2003,MATCH($Q813,$P$4:$P$2003,0)),"B","S"))))</f>
        <v/>
      </c>
      <c r="S814">
        <f>IF(Q814="","",IFERROR(MATCH(Q814,$P$4:$P$2003,0),""))</f>
        <v/>
      </c>
    </row>
    <row r="815">
      <c r="A815" s="4">
        <f>IF($R815="","",IF($R815="T","Gesamtergebnis",IF($R815="B",INDEX($M$4:$M$2003,$S815),INDEX($L$4:$L$2003,$S815))))</f>
        <v/>
      </c>
      <c r="B815" s="4">
        <f>IF($R815="","",IF($R815="T",$K$3,IF($R815="B",COUNTIFS($M$4:$M$2003,INDEX($M$4:$M$2003,$S815),$N$4:$N$2003,1),1)))</f>
        <v/>
      </c>
      <c r="L815">
        <f>IF($K$1="","",IFERROR(INDEX(Lines!$A:$AA,ROW()-2,$K$1),""))</f>
        <v/>
      </c>
      <c r="M815">
        <f>IF($K$2="","",IFERROR(INDEX(Lines!$A:$AA,ROW()-2,$K$2),""))</f>
        <v/>
      </c>
      <c r="N815">
        <f>IF(AND(L815&lt;&gt;"",LEFT(L815,1)="N",M815&lt;&gt;"PICKING",M815&lt;&gt;""),1,0)</f>
        <v/>
      </c>
      <c r="O815">
        <f>IF(N815=1,M815&amp;"|"&amp;L815,REPT("z",40))</f>
        <v/>
      </c>
      <c r="P815">
        <f>IF(N815=1,COUNTIF($O$4:$O$2003,"&lt;"&amp;O815)+1,"")</f>
        <v/>
      </c>
      <c r="Q815">
        <f>IF(OR($R814="",$R814="T"),"",IF($R814="B",$Q814,IF($Q814+1&gt;$K$3,"",$Q814+1)))</f>
        <v/>
      </c>
      <c r="R815">
        <f>IF(OR($R814="",$R814="T"),"",IF($R814="B","S",IF($Q814+1&gt;$K$3,"T",IF(INDEX($M$4:$M$2003,MATCH($Q814+1,$P$4:$P$2003,0))&lt;&gt;INDEX($M$4:$M$2003,MATCH($Q814,$P$4:$P$2003,0)),"B","S"))))</f>
        <v/>
      </c>
      <c r="S815">
        <f>IF(Q815="","",IFERROR(MATCH(Q815,$P$4:$P$2003,0),""))</f>
        <v/>
      </c>
    </row>
    <row r="816">
      <c r="A816" s="4">
        <f>IF($R816="","",IF($R816="T","Gesamtergebnis",IF($R816="B",INDEX($M$4:$M$2003,$S816),INDEX($L$4:$L$2003,$S816))))</f>
        <v/>
      </c>
      <c r="B816" s="4">
        <f>IF($R816="","",IF($R816="T",$K$3,IF($R816="B",COUNTIFS($M$4:$M$2003,INDEX($M$4:$M$2003,$S816),$N$4:$N$2003,1),1)))</f>
        <v/>
      </c>
      <c r="L816">
        <f>IF($K$1="","",IFERROR(INDEX(Lines!$A:$AA,ROW()-2,$K$1),""))</f>
        <v/>
      </c>
      <c r="M816">
        <f>IF($K$2="","",IFERROR(INDEX(Lines!$A:$AA,ROW()-2,$K$2),""))</f>
        <v/>
      </c>
      <c r="N816">
        <f>IF(AND(L816&lt;&gt;"",LEFT(L816,1)="N",M816&lt;&gt;"PICKING",M816&lt;&gt;""),1,0)</f>
        <v/>
      </c>
      <c r="O816">
        <f>IF(N816=1,M816&amp;"|"&amp;L816,REPT("z",40))</f>
        <v/>
      </c>
      <c r="P816">
        <f>IF(N816=1,COUNTIF($O$4:$O$2003,"&lt;"&amp;O816)+1,"")</f>
        <v/>
      </c>
      <c r="Q816">
        <f>IF(OR($R815="",$R815="T"),"",IF($R815="B",$Q815,IF($Q815+1&gt;$K$3,"",$Q815+1)))</f>
        <v/>
      </c>
      <c r="R816">
        <f>IF(OR($R815="",$R815="T"),"",IF($R815="B","S",IF($Q815+1&gt;$K$3,"T",IF(INDEX($M$4:$M$2003,MATCH($Q815+1,$P$4:$P$2003,0))&lt;&gt;INDEX($M$4:$M$2003,MATCH($Q815,$P$4:$P$2003,0)),"B","S"))))</f>
        <v/>
      </c>
      <c r="S816">
        <f>IF(Q816="","",IFERROR(MATCH(Q816,$P$4:$P$2003,0),""))</f>
        <v/>
      </c>
    </row>
    <row r="817">
      <c r="A817" s="4">
        <f>IF($R817="","",IF($R817="T","Gesamtergebnis",IF($R817="B",INDEX($M$4:$M$2003,$S817),INDEX($L$4:$L$2003,$S817))))</f>
        <v/>
      </c>
      <c r="B817" s="4">
        <f>IF($R817="","",IF($R817="T",$K$3,IF($R817="B",COUNTIFS($M$4:$M$2003,INDEX($M$4:$M$2003,$S817),$N$4:$N$2003,1),1)))</f>
        <v/>
      </c>
      <c r="L817">
        <f>IF($K$1="","",IFERROR(INDEX(Lines!$A:$AA,ROW()-2,$K$1),""))</f>
        <v/>
      </c>
      <c r="M817">
        <f>IF($K$2="","",IFERROR(INDEX(Lines!$A:$AA,ROW()-2,$K$2),""))</f>
        <v/>
      </c>
      <c r="N817">
        <f>IF(AND(L817&lt;&gt;"",LEFT(L817,1)="N",M817&lt;&gt;"PICKING",M817&lt;&gt;""),1,0)</f>
        <v/>
      </c>
      <c r="O817">
        <f>IF(N817=1,M817&amp;"|"&amp;L817,REPT("z",40))</f>
        <v/>
      </c>
      <c r="P817">
        <f>IF(N817=1,COUNTIF($O$4:$O$2003,"&lt;"&amp;O817)+1,"")</f>
        <v/>
      </c>
      <c r="Q817">
        <f>IF(OR($R816="",$R816="T"),"",IF($R816="B",$Q816,IF($Q816+1&gt;$K$3,"",$Q816+1)))</f>
        <v/>
      </c>
      <c r="R817">
        <f>IF(OR($R816="",$R816="T"),"",IF($R816="B","S",IF($Q816+1&gt;$K$3,"T",IF(INDEX($M$4:$M$2003,MATCH($Q816+1,$P$4:$P$2003,0))&lt;&gt;INDEX($M$4:$M$2003,MATCH($Q816,$P$4:$P$2003,0)),"B","S"))))</f>
        <v/>
      </c>
      <c r="S817">
        <f>IF(Q817="","",IFERROR(MATCH(Q817,$P$4:$P$2003,0),""))</f>
        <v/>
      </c>
    </row>
    <row r="818">
      <c r="A818" s="4">
        <f>IF($R818="","",IF($R818="T","Gesamtergebnis",IF($R818="B",INDEX($M$4:$M$2003,$S818),INDEX($L$4:$L$2003,$S818))))</f>
        <v/>
      </c>
      <c r="B818" s="4">
        <f>IF($R818="","",IF($R818="T",$K$3,IF($R818="B",COUNTIFS($M$4:$M$2003,INDEX($M$4:$M$2003,$S818),$N$4:$N$2003,1),1)))</f>
        <v/>
      </c>
      <c r="L818">
        <f>IF($K$1="","",IFERROR(INDEX(Lines!$A:$AA,ROW()-2,$K$1),""))</f>
        <v/>
      </c>
      <c r="M818">
        <f>IF($K$2="","",IFERROR(INDEX(Lines!$A:$AA,ROW()-2,$K$2),""))</f>
        <v/>
      </c>
      <c r="N818">
        <f>IF(AND(L818&lt;&gt;"",LEFT(L818,1)="N",M818&lt;&gt;"PICKING",M818&lt;&gt;""),1,0)</f>
        <v/>
      </c>
      <c r="O818">
        <f>IF(N818=1,M818&amp;"|"&amp;L818,REPT("z",40))</f>
        <v/>
      </c>
      <c r="P818">
        <f>IF(N818=1,COUNTIF($O$4:$O$2003,"&lt;"&amp;O818)+1,"")</f>
        <v/>
      </c>
      <c r="Q818">
        <f>IF(OR($R817="",$R817="T"),"",IF($R817="B",$Q817,IF($Q817+1&gt;$K$3,"",$Q817+1)))</f>
        <v/>
      </c>
      <c r="R818">
        <f>IF(OR($R817="",$R817="T"),"",IF($R817="B","S",IF($Q817+1&gt;$K$3,"T",IF(INDEX($M$4:$M$2003,MATCH($Q817+1,$P$4:$P$2003,0))&lt;&gt;INDEX($M$4:$M$2003,MATCH($Q817,$P$4:$P$2003,0)),"B","S"))))</f>
        <v/>
      </c>
      <c r="S818">
        <f>IF(Q818="","",IFERROR(MATCH(Q818,$P$4:$P$2003,0),""))</f>
        <v/>
      </c>
    </row>
    <row r="819">
      <c r="A819" s="4">
        <f>IF($R819="","",IF($R819="T","Gesamtergebnis",IF($R819="B",INDEX($M$4:$M$2003,$S819),INDEX($L$4:$L$2003,$S819))))</f>
        <v/>
      </c>
      <c r="B819" s="4">
        <f>IF($R819="","",IF($R819="T",$K$3,IF($R819="B",COUNTIFS($M$4:$M$2003,INDEX($M$4:$M$2003,$S819),$N$4:$N$2003,1),1)))</f>
        <v/>
      </c>
      <c r="L819">
        <f>IF($K$1="","",IFERROR(INDEX(Lines!$A:$AA,ROW()-2,$K$1),""))</f>
        <v/>
      </c>
      <c r="M819">
        <f>IF($K$2="","",IFERROR(INDEX(Lines!$A:$AA,ROW()-2,$K$2),""))</f>
        <v/>
      </c>
      <c r="N819">
        <f>IF(AND(L819&lt;&gt;"",LEFT(L819,1)="N",M819&lt;&gt;"PICKING",M819&lt;&gt;""),1,0)</f>
        <v/>
      </c>
      <c r="O819">
        <f>IF(N819=1,M819&amp;"|"&amp;L819,REPT("z",40))</f>
        <v/>
      </c>
      <c r="P819">
        <f>IF(N819=1,COUNTIF($O$4:$O$2003,"&lt;"&amp;O819)+1,"")</f>
        <v/>
      </c>
      <c r="Q819">
        <f>IF(OR($R818="",$R818="T"),"",IF($R818="B",$Q818,IF($Q818+1&gt;$K$3,"",$Q818+1)))</f>
        <v/>
      </c>
      <c r="R819">
        <f>IF(OR($R818="",$R818="T"),"",IF($R818="B","S",IF($Q818+1&gt;$K$3,"T",IF(INDEX($M$4:$M$2003,MATCH($Q818+1,$P$4:$P$2003,0))&lt;&gt;INDEX($M$4:$M$2003,MATCH($Q818,$P$4:$P$2003,0)),"B","S"))))</f>
        <v/>
      </c>
      <c r="S819">
        <f>IF(Q819="","",IFERROR(MATCH(Q819,$P$4:$P$2003,0),""))</f>
        <v/>
      </c>
    </row>
    <row r="820">
      <c r="A820" s="4">
        <f>IF($R820="","",IF($R820="T","Gesamtergebnis",IF($R820="B",INDEX($M$4:$M$2003,$S820),INDEX($L$4:$L$2003,$S820))))</f>
        <v/>
      </c>
      <c r="B820" s="4">
        <f>IF($R820="","",IF($R820="T",$K$3,IF($R820="B",COUNTIFS($M$4:$M$2003,INDEX($M$4:$M$2003,$S820),$N$4:$N$2003,1),1)))</f>
        <v/>
      </c>
      <c r="L820">
        <f>IF($K$1="","",IFERROR(INDEX(Lines!$A:$AA,ROW()-2,$K$1),""))</f>
        <v/>
      </c>
      <c r="M820">
        <f>IF($K$2="","",IFERROR(INDEX(Lines!$A:$AA,ROW()-2,$K$2),""))</f>
        <v/>
      </c>
      <c r="N820">
        <f>IF(AND(L820&lt;&gt;"",LEFT(L820,1)="N",M820&lt;&gt;"PICKING",M820&lt;&gt;""),1,0)</f>
        <v/>
      </c>
      <c r="O820">
        <f>IF(N820=1,M820&amp;"|"&amp;L820,REPT("z",40))</f>
        <v/>
      </c>
      <c r="P820">
        <f>IF(N820=1,COUNTIF($O$4:$O$2003,"&lt;"&amp;O820)+1,"")</f>
        <v/>
      </c>
      <c r="Q820">
        <f>IF(OR($R819="",$R819="T"),"",IF($R819="B",$Q819,IF($Q819+1&gt;$K$3,"",$Q819+1)))</f>
        <v/>
      </c>
      <c r="R820">
        <f>IF(OR($R819="",$R819="T"),"",IF($R819="B","S",IF($Q819+1&gt;$K$3,"T",IF(INDEX($M$4:$M$2003,MATCH($Q819+1,$P$4:$P$2003,0))&lt;&gt;INDEX($M$4:$M$2003,MATCH($Q819,$P$4:$P$2003,0)),"B","S"))))</f>
        <v/>
      </c>
      <c r="S820">
        <f>IF(Q820="","",IFERROR(MATCH(Q820,$P$4:$P$2003,0),""))</f>
        <v/>
      </c>
    </row>
    <row r="821">
      <c r="A821" s="4">
        <f>IF($R821="","",IF($R821="T","Gesamtergebnis",IF($R821="B",INDEX($M$4:$M$2003,$S821),INDEX($L$4:$L$2003,$S821))))</f>
        <v/>
      </c>
      <c r="B821" s="4">
        <f>IF($R821="","",IF($R821="T",$K$3,IF($R821="B",COUNTIFS($M$4:$M$2003,INDEX($M$4:$M$2003,$S821),$N$4:$N$2003,1),1)))</f>
        <v/>
      </c>
      <c r="L821">
        <f>IF($K$1="","",IFERROR(INDEX(Lines!$A:$AA,ROW()-2,$K$1),""))</f>
        <v/>
      </c>
      <c r="M821">
        <f>IF($K$2="","",IFERROR(INDEX(Lines!$A:$AA,ROW()-2,$K$2),""))</f>
        <v/>
      </c>
      <c r="N821">
        <f>IF(AND(L821&lt;&gt;"",LEFT(L821,1)="N",M821&lt;&gt;"PICKING",M821&lt;&gt;""),1,0)</f>
        <v/>
      </c>
      <c r="O821">
        <f>IF(N821=1,M821&amp;"|"&amp;L821,REPT("z",40))</f>
        <v/>
      </c>
      <c r="P821">
        <f>IF(N821=1,COUNTIF($O$4:$O$2003,"&lt;"&amp;O821)+1,"")</f>
        <v/>
      </c>
      <c r="Q821">
        <f>IF(OR($R820="",$R820="T"),"",IF($R820="B",$Q820,IF($Q820+1&gt;$K$3,"",$Q820+1)))</f>
        <v/>
      </c>
      <c r="R821">
        <f>IF(OR($R820="",$R820="T"),"",IF($R820="B","S",IF($Q820+1&gt;$K$3,"T",IF(INDEX($M$4:$M$2003,MATCH($Q820+1,$P$4:$P$2003,0))&lt;&gt;INDEX($M$4:$M$2003,MATCH($Q820,$P$4:$P$2003,0)),"B","S"))))</f>
        <v/>
      </c>
      <c r="S821">
        <f>IF(Q821="","",IFERROR(MATCH(Q821,$P$4:$P$2003,0),""))</f>
        <v/>
      </c>
    </row>
    <row r="822">
      <c r="A822" s="4">
        <f>IF($R822="","",IF($R822="T","Gesamtergebnis",IF($R822="B",INDEX($M$4:$M$2003,$S822),INDEX($L$4:$L$2003,$S822))))</f>
        <v/>
      </c>
      <c r="B822" s="4">
        <f>IF($R822="","",IF($R822="T",$K$3,IF($R822="B",COUNTIFS($M$4:$M$2003,INDEX($M$4:$M$2003,$S822),$N$4:$N$2003,1),1)))</f>
        <v/>
      </c>
      <c r="L822">
        <f>IF($K$1="","",IFERROR(INDEX(Lines!$A:$AA,ROW()-2,$K$1),""))</f>
        <v/>
      </c>
      <c r="M822">
        <f>IF($K$2="","",IFERROR(INDEX(Lines!$A:$AA,ROW()-2,$K$2),""))</f>
        <v/>
      </c>
      <c r="N822">
        <f>IF(AND(L822&lt;&gt;"",LEFT(L822,1)="N",M822&lt;&gt;"PICKING",M822&lt;&gt;""),1,0)</f>
        <v/>
      </c>
      <c r="O822">
        <f>IF(N822=1,M822&amp;"|"&amp;L822,REPT("z",40))</f>
        <v/>
      </c>
      <c r="P822">
        <f>IF(N822=1,COUNTIF($O$4:$O$2003,"&lt;"&amp;O822)+1,"")</f>
        <v/>
      </c>
      <c r="Q822">
        <f>IF(OR($R821="",$R821="T"),"",IF($R821="B",$Q821,IF($Q821+1&gt;$K$3,"",$Q821+1)))</f>
        <v/>
      </c>
      <c r="R822">
        <f>IF(OR($R821="",$R821="T"),"",IF($R821="B","S",IF($Q821+1&gt;$K$3,"T",IF(INDEX($M$4:$M$2003,MATCH($Q821+1,$P$4:$P$2003,0))&lt;&gt;INDEX($M$4:$M$2003,MATCH($Q821,$P$4:$P$2003,0)),"B","S"))))</f>
        <v/>
      </c>
      <c r="S822">
        <f>IF(Q822="","",IFERROR(MATCH(Q822,$P$4:$P$2003,0),""))</f>
        <v/>
      </c>
    </row>
    <row r="823">
      <c r="A823" s="4">
        <f>IF($R823="","",IF($R823="T","Gesamtergebnis",IF($R823="B",INDEX($M$4:$M$2003,$S823),INDEX($L$4:$L$2003,$S823))))</f>
        <v/>
      </c>
      <c r="B823" s="4">
        <f>IF($R823="","",IF($R823="T",$K$3,IF($R823="B",COUNTIFS($M$4:$M$2003,INDEX($M$4:$M$2003,$S823),$N$4:$N$2003,1),1)))</f>
        <v/>
      </c>
      <c r="L823">
        <f>IF($K$1="","",IFERROR(INDEX(Lines!$A:$AA,ROW()-2,$K$1),""))</f>
        <v/>
      </c>
      <c r="M823">
        <f>IF($K$2="","",IFERROR(INDEX(Lines!$A:$AA,ROW()-2,$K$2),""))</f>
        <v/>
      </c>
      <c r="N823">
        <f>IF(AND(L823&lt;&gt;"",LEFT(L823,1)="N",M823&lt;&gt;"PICKING",M823&lt;&gt;""),1,0)</f>
        <v/>
      </c>
      <c r="O823">
        <f>IF(N823=1,M823&amp;"|"&amp;L823,REPT("z",40))</f>
        <v/>
      </c>
      <c r="P823">
        <f>IF(N823=1,COUNTIF($O$4:$O$2003,"&lt;"&amp;O823)+1,"")</f>
        <v/>
      </c>
      <c r="Q823">
        <f>IF(OR($R822="",$R822="T"),"",IF($R822="B",$Q822,IF($Q822+1&gt;$K$3,"",$Q822+1)))</f>
        <v/>
      </c>
      <c r="R823">
        <f>IF(OR($R822="",$R822="T"),"",IF($R822="B","S",IF($Q822+1&gt;$K$3,"T",IF(INDEX($M$4:$M$2003,MATCH($Q822+1,$P$4:$P$2003,0))&lt;&gt;INDEX($M$4:$M$2003,MATCH($Q822,$P$4:$P$2003,0)),"B","S"))))</f>
        <v/>
      </c>
      <c r="S823">
        <f>IF(Q823="","",IFERROR(MATCH(Q823,$P$4:$P$2003,0),""))</f>
        <v/>
      </c>
    </row>
    <row r="824">
      <c r="A824" s="4">
        <f>IF($R824="","",IF($R824="T","Gesamtergebnis",IF($R824="B",INDEX($M$4:$M$2003,$S824),INDEX($L$4:$L$2003,$S824))))</f>
        <v/>
      </c>
      <c r="B824" s="4">
        <f>IF($R824="","",IF($R824="T",$K$3,IF($R824="B",COUNTIFS($M$4:$M$2003,INDEX($M$4:$M$2003,$S824),$N$4:$N$2003,1),1)))</f>
        <v/>
      </c>
      <c r="L824">
        <f>IF($K$1="","",IFERROR(INDEX(Lines!$A:$AA,ROW()-2,$K$1),""))</f>
        <v/>
      </c>
      <c r="M824">
        <f>IF($K$2="","",IFERROR(INDEX(Lines!$A:$AA,ROW()-2,$K$2),""))</f>
        <v/>
      </c>
      <c r="N824">
        <f>IF(AND(L824&lt;&gt;"",LEFT(L824,1)="N",M824&lt;&gt;"PICKING",M824&lt;&gt;""),1,0)</f>
        <v/>
      </c>
      <c r="O824">
        <f>IF(N824=1,M824&amp;"|"&amp;L824,REPT("z",40))</f>
        <v/>
      </c>
      <c r="P824">
        <f>IF(N824=1,COUNTIF($O$4:$O$2003,"&lt;"&amp;O824)+1,"")</f>
        <v/>
      </c>
      <c r="Q824">
        <f>IF(OR($R823="",$R823="T"),"",IF($R823="B",$Q823,IF($Q823+1&gt;$K$3,"",$Q823+1)))</f>
        <v/>
      </c>
      <c r="R824">
        <f>IF(OR($R823="",$R823="T"),"",IF($R823="B","S",IF($Q823+1&gt;$K$3,"T",IF(INDEX($M$4:$M$2003,MATCH($Q823+1,$P$4:$P$2003,0))&lt;&gt;INDEX($M$4:$M$2003,MATCH($Q823,$P$4:$P$2003,0)),"B","S"))))</f>
        <v/>
      </c>
      <c r="S824">
        <f>IF(Q824="","",IFERROR(MATCH(Q824,$P$4:$P$2003,0),""))</f>
        <v/>
      </c>
    </row>
    <row r="825">
      <c r="A825" s="4">
        <f>IF($R825="","",IF($R825="T","Gesamtergebnis",IF($R825="B",INDEX($M$4:$M$2003,$S825),INDEX($L$4:$L$2003,$S825))))</f>
        <v/>
      </c>
      <c r="B825" s="4">
        <f>IF($R825="","",IF($R825="T",$K$3,IF($R825="B",COUNTIFS($M$4:$M$2003,INDEX($M$4:$M$2003,$S825),$N$4:$N$2003,1),1)))</f>
        <v/>
      </c>
      <c r="L825">
        <f>IF($K$1="","",IFERROR(INDEX(Lines!$A:$AA,ROW()-2,$K$1),""))</f>
        <v/>
      </c>
      <c r="M825">
        <f>IF($K$2="","",IFERROR(INDEX(Lines!$A:$AA,ROW()-2,$K$2),""))</f>
        <v/>
      </c>
      <c r="N825">
        <f>IF(AND(L825&lt;&gt;"",LEFT(L825,1)="N",M825&lt;&gt;"PICKING",M825&lt;&gt;""),1,0)</f>
        <v/>
      </c>
      <c r="O825">
        <f>IF(N825=1,M825&amp;"|"&amp;L825,REPT("z",40))</f>
        <v/>
      </c>
      <c r="P825">
        <f>IF(N825=1,COUNTIF($O$4:$O$2003,"&lt;"&amp;O825)+1,"")</f>
        <v/>
      </c>
      <c r="Q825">
        <f>IF(OR($R824="",$R824="T"),"",IF($R824="B",$Q824,IF($Q824+1&gt;$K$3,"",$Q824+1)))</f>
        <v/>
      </c>
      <c r="R825">
        <f>IF(OR($R824="",$R824="T"),"",IF($R824="B","S",IF($Q824+1&gt;$K$3,"T",IF(INDEX($M$4:$M$2003,MATCH($Q824+1,$P$4:$P$2003,0))&lt;&gt;INDEX($M$4:$M$2003,MATCH($Q824,$P$4:$P$2003,0)),"B","S"))))</f>
        <v/>
      </c>
      <c r="S825">
        <f>IF(Q825="","",IFERROR(MATCH(Q825,$P$4:$P$2003,0),""))</f>
        <v/>
      </c>
    </row>
    <row r="826">
      <c r="A826" s="4">
        <f>IF($R826="","",IF($R826="T","Gesamtergebnis",IF($R826="B",INDEX($M$4:$M$2003,$S826),INDEX($L$4:$L$2003,$S826))))</f>
        <v/>
      </c>
      <c r="B826" s="4">
        <f>IF($R826="","",IF($R826="T",$K$3,IF($R826="B",COUNTIFS($M$4:$M$2003,INDEX($M$4:$M$2003,$S826),$N$4:$N$2003,1),1)))</f>
        <v/>
      </c>
      <c r="L826">
        <f>IF($K$1="","",IFERROR(INDEX(Lines!$A:$AA,ROW()-2,$K$1),""))</f>
        <v/>
      </c>
      <c r="M826">
        <f>IF($K$2="","",IFERROR(INDEX(Lines!$A:$AA,ROW()-2,$K$2),""))</f>
        <v/>
      </c>
      <c r="N826">
        <f>IF(AND(L826&lt;&gt;"",LEFT(L826,1)="N",M826&lt;&gt;"PICKING",M826&lt;&gt;""),1,0)</f>
        <v/>
      </c>
      <c r="O826">
        <f>IF(N826=1,M826&amp;"|"&amp;L826,REPT("z",40))</f>
        <v/>
      </c>
      <c r="P826">
        <f>IF(N826=1,COUNTIF($O$4:$O$2003,"&lt;"&amp;O826)+1,"")</f>
        <v/>
      </c>
      <c r="Q826">
        <f>IF(OR($R825="",$R825="T"),"",IF($R825="B",$Q825,IF($Q825+1&gt;$K$3,"",$Q825+1)))</f>
        <v/>
      </c>
      <c r="R826">
        <f>IF(OR($R825="",$R825="T"),"",IF($R825="B","S",IF($Q825+1&gt;$K$3,"T",IF(INDEX($M$4:$M$2003,MATCH($Q825+1,$P$4:$P$2003,0))&lt;&gt;INDEX($M$4:$M$2003,MATCH($Q825,$P$4:$P$2003,0)),"B","S"))))</f>
        <v/>
      </c>
      <c r="S826">
        <f>IF(Q826="","",IFERROR(MATCH(Q826,$P$4:$P$2003,0),""))</f>
        <v/>
      </c>
    </row>
    <row r="827">
      <c r="A827" s="4">
        <f>IF($R827="","",IF($R827="T","Gesamtergebnis",IF($R827="B",INDEX($M$4:$M$2003,$S827),INDEX($L$4:$L$2003,$S827))))</f>
        <v/>
      </c>
      <c r="B827" s="4">
        <f>IF($R827="","",IF($R827="T",$K$3,IF($R827="B",COUNTIFS($M$4:$M$2003,INDEX($M$4:$M$2003,$S827),$N$4:$N$2003,1),1)))</f>
        <v/>
      </c>
      <c r="L827">
        <f>IF($K$1="","",IFERROR(INDEX(Lines!$A:$AA,ROW()-2,$K$1),""))</f>
        <v/>
      </c>
      <c r="M827">
        <f>IF($K$2="","",IFERROR(INDEX(Lines!$A:$AA,ROW()-2,$K$2),""))</f>
        <v/>
      </c>
      <c r="N827">
        <f>IF(AND(L827&lt;&gt;"",LEFT(L827,1)="N",M827&lt;&gt;"PICKING",M827&lt;&gt;""),1,0)</f>
        <v/>
      </c>
      <c r="O827">
        <f>IF(N827=1,M827&amp;"|"&amp;L827,REPT("z",40))</f>
        <v/>
      </c>
      <c r="P827">
        <f>IF(N827=1,COUNTIF($O$4:$O$2003,"&lt;"&amp;O827)+1,"")</f>
        <v/>
      </c>
      <c r="Q827">
        <f>IF(OR($R826="",$R826="T"),"",IF($R826="B",$Q826,IF($Q826+1&gt;$K$3,"",$Q826+1)))</f>
        <v/>
      </c>
      <c r="R827">
        <f>IF(OR($R826="",$R826="T"),"",IF($R826="B","S",IF($Q826+1&gt;$K$3,"T",IF(INDEX($M$4:$M$2003,MATCH($Q826+1,$P$4:$P$2003,0))&lt;&gt;INDEX($M$4:$M$2003,MATCH($Q826,$P$4:$P$2003,0)),"B","S"))))</f>
        <v/>
      </c>
      <c r="S827">
        <f>IF(Q827="","",IFERROR(MATCH(Q827,$P$4:$P$2003,0),""))</f>
        <v/>
      </c>
    </row>
    <row r="828">
      <c r="A828" s="4">
        <f>IF($R828="","",IF($R828="T","Gesamtergebnis",IF($R828="B",INDEX($M$4:$M$2003,$S828),INDEX($L$4:$L$2003,$S828))))</f>
        <v/>
      </c>
      <c r="B828" s="4">
        <f>IF($R828="","",IF($R828="T",$K$3,IF($R828="B",COUNTIFS($M$4:$M$2003,INDEX($M$4:$M$2003,$S828),$N$4:$N$2003,1),1)))</f>
        <v/>
      </c>
      <c r="L828">
        <f>IF($K$1="","",IFERROR(INDEX(Lines!$A:$AA,ROW()-2,$K$1),""))</f>
        <v/>
      </c>
      <c r="M828">
        <f>IF($K$2="","",IFERROR(INDEX(Lines!$A:$AA,ROW()-2,$K$2),""))</f>
        <v/>
      </c>
      <c r="N828">
        <f>IF(AND(L828&lt;&gt;"",LEFT(L828,1)="N",M828&lt;&gt;"PICKING",M828&lt;&gt;""),1,0)</f>
        <v/>
      </c>
      <c r="O828">
        <f>IF(N828=1,M828&amp;"|"&amp;L828,REPT("z",40))</f>
        <v/>
      </c>
      <c r="P828">
        <f>IF(N828=1,COUNTIF($O$4:$O$2003,"&lt;"&amp;O828)+1,"")</f>
        <v/>
      </c>
      <c r="Q828">
        <f>IF(OR($R827="",$R827="T"),"",IF($R827="B",$Q827,IF($Q827+1&gt;$K$3,"",$Q827+1)))</f>
        <v/>
      </c>
      <c r="R828">
        <f>IF(OR($R827="",$R827="T"),"",IF($R827="B","S",IF($Q827+1&gt;$K$3,"T",IF(INDEX($M$4:$M$2003,MATCH($Q827+1,$P$4:$P$2003,0))&lt;&gt;INDEX($M$4:$M$2003,MATCH($Q827,$P$4:$P$2003,0)),"B","S"))))</f>
        <v/>
      </c>
      <c r="S828">
        <f>IF(Q828="","",IFERROR(MATCH(Q828,$P$4:$P$2003,0),""))</f>
        <v/>
      </c>
    </row>
    <row r="829">
      <c r="A829" s="4">
        <f>IF($R829="","",IF($R829="T","Gesamtergebnis",IF($R829="B",INDEX($M$4:$M$2003,$S829),INDEX($L$4:$L$2003,$S829))))</f>
        <v/>
      </c>
      <c r="B829" s="4">
        <f>IF($R829="","",IF($R829="T",$K$3,IF($R829="B",COUNTIFS($M$4:$M$2003,INDEX($M$4:$M$2003,$S829),$N$4:$N$2003,1),1)))</f>
        <v/>
      </c>
      <c r="L829">
        <f>IF($K$1="","",IFERROR(INDEX(Lines!$A:$AA,ROW()-2,$K$1),""))</f>
        <v/>
      </c>
      <c r="M829">
        <f>IF($K$2="","",IFERROR(INDEX(Lines!$A:$AA,ROW()-2,$K$2),""))</f>
        <v/>
      </c>
      <c r="N829">
        <f>IF(AND(L829&lt;&gt;"",LEFT(L829,1)="N",M829&lt;&gt;"PICKING",M829&lt;&gt;""),1,0)</f>
        <v/>
      </c>
      <c r="O829">
        <f>IF(N829=1,M829&amp;"|"&amp;L829,REPT("z",40))</f>
        <v/>
      </c>
      <c r="P829">
        <f>IF(N829=1,COUNTIF($O$4:$O$2003,"&lt;"&amp;O829)+1,"")</f>
        <v/>
      </c>
      <c r="Q829">
        <f>IF(OR($R828="",$R828="T"),"",IF($R828="B",$Q828,IF($Q828+1&gt;$K$3,"",$Q828+1)))</f>
        <v/>
      </c>
      <c r="R829">
        <f>IF(OR($R828="",$R828="T"),"",IF($R828="B","S",IF($Q828+1&gt;$K$3,"T",IF(INDEX($M$4:$M$2003,MATCH($Q828+1,$P$4:$P$2003,0))&lt;&gt;INDEX($M$4:$M$2003,MATCH($Q828,$P$4:$P$2003,0)),"B","S"))))</f>
        <v/>
      </c>
      <c r="S829">
        <f>IF(Q829="","",IFERROR(MATCH(Q829,$P$4:$P$2003,0),""))</f>
        <v/>
      </c>
    </row>
    <row r="830">
      <c r="A830" s="4">
        <f>IF($R830="","",IF($R830="T","Gesamtergebnis",IF($R830="B",INDEX($M$4:$M$2003,$S830),INDEX($L$4:$L$2003,$S830))))</f>
        <v/>
      </c>
      <c r="B830" s="4">
        <f>IF($R830="","",IF($R830="T",$K$3,IF($R830="B",COUNTIFS($M$4:$M$2003,INDEX($M$4:$M$2003,$S830),$N$4:$N$2003,1),1)))</f>
        <v/>
      </c>
      <c r="L830">
        <f>IF($K$1="","",IFERROR(INDEX(Lines!$A:$AA,ROW()-2,$K$1),""))</f>
        <v/>
      </c>
      <c r="M830">
        <f>IF($K$2="","",IFERROR(INDEX(Lines!$A:$AA,ROW()-2,$K$2),""))</f>
        <v/>
      </c>
      <c r="N830">
        <f>IF(AND(L830&lt;&gt;"",LEFT(L830,1)="N",M830&lt;&gt;"PICKING",M830&lt;&gt;""),1,0)</f>
        <v/>
      </c>
      <c r="O830">
        <f>IF(N830=1,M830&amp;"|"&amp;L830,REPT("z",40))</f>
        <v/>
      </c>
      <c r="P830">
        <f>IF(N830=1,COUNTIF($O$4:$O$2003,"&lt;"&amp;O830)+1,"")</f>
        <v/>
      </c>
      <c r="Q830">
        <f>IF(OR($R829="",$R829="T"),"",IF($R829="B",$Q829,IF($Q829+1&gt;$K$3,"",$Q829+1)))</f>
        <v/>
      </c>
      <c r="R830">
        <f>IF(OR($R829="",$R829="T"),"",IF($R829="B","S",IF($Q829+1&gt;$K$3,"T",IF(INDEX($M$4:$M$2003,MATCH($Q829+1,$P$4:$P$2003,0))&lt;&gt;INDEX($M$4:$M$2003,MATCH($Q829,$P$4:$P$2003,0)),"B","S"))))</f>
        <v/>
      </c>
      <c r="S830">
        <f>IF(Q830="","",IFERROR(MATCH(Q830,$P$4:$P$2003,0),""))</f>
        <v/>
      </c>
    </row>
    <row r="831">
      <c r="A831" s="4">
        <f>IF($R831="","",IF($R831="T","Gesamtergebnis",IF($R831="B",INDEX($M$4:$M$2003,$S831),INDEX($L$4:$L$2003,$S831))))</f>
        <v/>
      </c>
      <c r="B831" s="4">
        <f>IF($R831="","",IF($R831="T",$K$3,IF($R831="B",COUNTIFS($M$4:$M$2003,INDEX($M$4:$M$2003,$S831),$N$4:$N$2003,1),1)))</f>
        <v/>
      </c>
      <c r="L831">
        <f>IF($K$1="","",IFERROR(INDEX(Lines!$A:$AA,ROW()-2,$K$1),""))</f>
        <v/>
      </c>
      <c r="M831">
        <f>IF($K$2="","",IFERROR(INDEX(Lines!$A:$AA,ROW()-2,$K$2),""))</f>
        <v/>
      </c>
      <c r="N831">
        <f>IF(AND(L831&lt;&gt;"",LEFT(L831,1)="N",M831&lt;&gt;"PICKING",M831&lt;&gt;""),1,0)</f>
        <v/>
      </c>
      <c r="O831">
        <f>IF(N831=1,M831&amp;"|"&amp;L831,REPT("z",40))</f>
        <v/>
      </c>
      <c r="P831">
        <f>IF(N831=1,COUNTIF($O$4:$O$2003,"&lt;"&amp;O831)+1,"")</f>
        <v/>
      </c>
      <c r="Q831">
        <f>IF(OR($R830="",$R830="T"),"",IF($R830="B",$Q830,IF($Q830+1&gt;$K$3,"",$Q830+1)))</f>
        <v/>
      </c>
      <c r="R831">
        <f>IF(OR($R830="",$R830="T"),"",IF($R830="B","S",IF($Q830+1&gt;$K$3,"T",IF(INDEX($M$4:$M$2003,MATCH($Q830+1,$P$4:$P$2003,0))&lt;&gt;INDEX($M$4:$M$2003,MATCH($Q830,$P$4:$P$2003,0)),"B","S"))))</f>
        <v/>
      </c>
      <c r="S831">
        <f>IF(Q831="","",IFERROR(MATCH(Q831,$P$4:$P$2003,0),""))</f>
        <v/>
      </c>
    </row>
    <row r="832">
      <c r="A832" s="4">
        <f>IF($R832="","",IF($R832="T","Gesamtergebnis",IF($R832="B",INDEX($M$4:$M$2003,$S832),INDEX($L$4:$L$2003,$S832))))</f>
        <v/>
      </c>
      <c r="B832" s="4">
        <f>IF($R832="","",IF($R832="T",$K$3,IF($R832="B",COUNTIFS($M$4:$M$2003,INDEX($M$4:$M$2003,$S832),$N$4:$N$2003,1),1)))</f>
        <v/>
      </c>
      <c r="L832">
        <f>IF($K$1="","",IFERROR(INDEX(Lines!$A:$AA,ROW()-2,$K$1),""))</f>
        <v/>
      </c>
      <c r="M832">
        <f>IF($K$2="","",IFERROR(INDEX(Lines!$A:$AA,ROW()-2,$K$2),""))</f>
        <v/>
      </c>
      <c r="N832">
        <f>IF(AND(L832&lt;&gt;"",LEFT(L832,1)="N",M832&lt;&gt;"PICKING",M832&lt;&gt;""),1,0)</f>
        <v/>
      </c>
      <c r="O832">
        <f>IF(N832=1,M832&amp;"|"&amp;L832,REPT("z",40))</f>
        <v/>
      </c>
      <c r="P832">
        <f>IF(N832=1,COUNTIF($O$4:$O$2003,"&lt;"&amp;O832)+1,"")</f>
        <v/>
      </c>
      <c r="Q832">
        <f>IF(OR($R831="",$R831="T"),"",IF($R831="B",$Q831,IF($Q831+1&gt;$K$3,"",$Q831+1)))</f>
        <v/>
      </c>
      <c r="R832">
        <f>IF(OR($R831="",$R831="T"),"",IF($R831="B","S",IF($Q831+1&gt;$K$3,"T",IF(INDEX($M$4:$M$2003,MATCH($Q831+1,$P$4:$P$2003,0))&lt;&gt;INDEX($M$4:$M$2003,MATCH($Q831,$P$4:$P$2003,0)),"B","S"))))</f>
        <v/>
      </c>
      <c r="S832">
        <f>IF(Q832="","",IFERROR(MATCH(Q832,$P$4:$P$2003,0),""))</f>
        <v/>
      </c>
    </row>
    <row r="833">
      <c r="A833" s="4">
        <f>IF($R833="","",IF($R833="T","Gesamtergebnis",IF($R833="B",INDEX($M$4:$M$2003,$S833),INDEX($L$4:$L$2003,$S833))))</f>
        <v/>
      </c>
      <c r="B833" s="4">
        <f>IF($R833="","",IF($R833="T",$K$3,IF($R833="B",COUNTIFS($M$4:$M$2003,INDEX($M$4:$M$2003,$S833),$N$4:$N$2003,1),1)))</f>
        <v/>
      </c>
      <c r="L833">
        <f>IF($K$1="","",IFERROR(INDEX(Lines!$A:$AA,ROW()-2,$K$1),""))</f>
        <v/>
      </c>
      <c r="M833">
        <f>IF($K$2="","",IFERROR(INDEX(Lines!$A:$AA,ROW()-2,$K$2),""))</f>
        <v/>
      </c>
      <c r="N833">
        <f>IF(AND(L833&lt;&gt;"",LEFT(L833,1)="N",M833&lt;&gt;"PICKING",M833&lt;&gt;""),1,0)</f>
        <v/>
      </c>
      <c r="O833">
        <f>IF(N833=1,M833&amp;"|"&amp;L833,REPT("z",40))</f>
        <v/>
      </c>
      <c r="P833">
        <f>IF(N833=1,COUNTIF($O$4:$O$2003,"&lt;"&amp;O833)+1,"")</f>
        <v/>
      </c>
      <c r="Q833">
        <f>IF(OR($R832="",$R832="T"),"",IF($R832="B",$Q832,IF($Q832+1&gt;$K$3,"",$Q832+1)))</f>
        <v/>
      </c>
      <c r="R833">
        <f>IF(OR($R832="",$R832="T"),"",IF($R832="B","S",IF($Q832+1&gt;$K$3,"T",IF(INDEX($M$4:$M$2003,MATCH($Q832+1,$P$4:$P$2003,0))&lt;&gt;INDEX($M$4:$M$2003,MATCH($Q832,$P$4:$P$2003,0)),"B","S"))))</f>
        <v/>
      </c>
      <c r="S833">
        <f>IF(Q833="","",IFERROR(MATCH(Q833,$P$4:$P$2003,0),""))</f>
        <v/>
      </c>
    </row>
    <row r="834">
      <c r="A834" s="4">
        <f>IF($R834="","",IF($R834="T","Gesamtergebnis",IF($R834="B",INDEX($M$4:$M$2003,$S834),INDEX($L$4:$L$2003,$S834))))</f>
        <v/>
      </c>
      <c r="B834" s="4">
        <f>IF($R834="","",IF($R834="T",$K$3,IF($R834="B",COUNTIFS($M$4:$M$2003,INDEX($M$4:$M$2003,$S834),$N$4:$N$2003,1),1)))</f>
        <v/>
      </c>
      <c r="L834">
        <f>IF($K$1="","",IFERROR(INDEX(Lines!$A:$AA,ROW()-2,$K$1),""))</f>
        <v/>
      </c>
      <c r="M834">
        <f>IF($K$2="","",IFERROR(INDEX(Lines!$A:$AA,ROW()-2,$K$2),""))</f>
        <v/>
      </c>
      <c r="N834">
        <f>IF(AND(L834&lt;&gt;"",LEFT(L834,1)="N",M834&lt;&gt;"PICKING",M834&lt;&gt;""),1,0)</f>
        <v/>
      </c>
      <c r="O834">
        <f>IF(N834=1,M834&amp;"|"&amp;L834,REPT("z",40))</f>
        <v/>
      </c>
      <c r="P834">
        <f>IF(N834=1,COUNTIF($O$4:$O$2003,"&lt;"&amp;O834)+1,"")</f>
        <v/>
      </c>
      <c r="Q834">
        <f>IF(OR($R833="",$R833="T"),"",IF($R833="B",$Q833,IF($Q833+1&gt;$K$3,"",$Q833+1)))</f>
        <v/>
      </c>
      <c r="R834">
        <f>IF(OR($R833="",$R833="T"),"",IF($R833="B","S",IF($Q833+1&gt;$K$3,"T",IF(INDEX($M$4:$M$2003,MATCH($Q833+1,$P$4:$P$2003,0))&lt;&gt;INDEX($M$4:$M$2003,MATCH($Q833,$P$4:$P$2003,0)),"B","S"))))</f>
        <v/>
      </c>
      <c r="S834">
        <f>IF(Q834="","",IFERROR(MATCH(Q834,$P$4:$P$2003,0),""))</f>
        <v/>
      </c>
    </row>
    <row r="835">
      <c r="A835" s="4">
        <f>IF($R835="","",IF($R835="T","Gesamtergebnis",IF($R835="B",INDEX($M$4:$M$2003,$S835),INDEX($L$4:$L$2003,$S835))))</f>
        <v/>
      </c>
      <c r="B835" s="4">
        <f>IF($R835="","",IF($R835="T",$K$3,IF($R835="B",COUNTIFS($M$4:$M$2003,INDEX($M$4:$M$2003,$S835),$N$4:$N$2003,1),1)))</f>
        <v/>
      </c>
      <c r="L835">
        <f>IF($K$1="","",IFERROR(INDEX(Lines!$A:$AA,ROW()-2,$K$1),""))</f>
        <v/>
      </c>
      <c r="M835">
        <f>IF($K$2="","",IFERROR(INDEX(Lines!$A:$AA,ROW()-2,$K$2),""))</f>
        <v/>
      </c>
      <c r="N835">
        <f>IF(AND(L835&lt;&gt;"",LEFT(L835,1)="N",M835&lt;&gt;"PICKING",M835&lt;&gt;""),1,0)</f>
        <v/>
      </c>
      <c r="O835">
        <f>IF(N835=1,M835&amp;"|"&amp;L835,REPT("z",40))</f>
        <v/>
      </c>
      <c r="P835">
        <f>IF(N835=1,COUNTIF($O$4:$O$2003,"&lt;"&amp;O835)+1,"")</f>
        <v/>
      </c>
      <c r="Q835">
        <f>IF(OR($R834="",$R834="T"),"",IF($R834="B",$Q834,IF($Q834+1&gt;$K$3,"",$Q834+1)))</f>
        <v/>
      </c>
      <c r="R835">
        <f>IF(OR($R834="",$R834="T"),"",IF($R834="B","S",IF($Q834+1&gt;$K$3,"T",IF(INDEX($M$4:$M$2003,MATCH($Q834+1,$P$4:$P$2003,0))&lt;&gt;INDEX($M$4:$M$2003,MATCH($Q834,$P$4:$P$2003,0)),"B","S"))))</f>
        <v/>
      </c>
      <c r="S835">
        <f>IF(Q835="","",IFERROR(MATCH(Q835,$P$4:$P$2003,0),""))</f>
        <v/>
      </c>
    </row>
    <row r="836">
      <c r="A836" s="4">
        <f>IF($R836="","",IF($R836="T","Gesamtergebnis",IF($R836="B",INDEX($M$4:$M$2003,$S836),INDEX($L$4:$L$2003,$S836))))</f>
        <v/>
      </c>
      <c r="B836" s="4">
        <f>IF($R836="","",IF($R836="T",$K$3,IF($R836="B",COUNTIFS($M$4:$M$2003,INDEX($M$4:$M$2003,$S836),$N$4:$N$2003,1),1)))</f>
        <v/>
      </c>
      <c r="L836">
        <f>IF($K$1="","",IFERROR(INDEX(Lines!$A:$AA,ROW()-2,$K$1),""))</f>
        <v/>
      </c>
      <c r="M836">
        <f>IF($K$2="","",IFERROR(INDEX(Lines!$A:$AA,ROW()-2,$K$2),""))</f>
        <v/>
      </c>
      <c r="N836">
        <f>IF(AND(L836&lt;&gt;"",LEFT(L836,1)="N",M836&lt;&gt;"PICKING",M836&lt;&gt;""),1,0)</f>
        <v/>
      </c>
      <c r="O836">
        <f>IF(N836=1,M836&amp;"|"&amp;L836,REPT("z",40))</f>
        <v/>
      </c>
      <c r="P836">
        <f>IF(N836=1,COUNTIF($O$4:$O$2003,"&lt;"&amp;O836)+1,"")</f>
        <v/>
      </c>
      <c r="Q836">
        <f>IF(OR($R835="",$R835="T"),"",IF($R835="B",$Q835,IF($Q835+1&gt;$K$3,"",$Q835+1)))</f>
        <v/>
      </c>
      <c r="R836">
        <f>IF(OR($R835="",$R835="T"),"",IF($R835="B","S",IF($Q835+1&gt;$K$3,"T",IF(INDEX($M$4:$M$2003,MATCH($Q835+1,$P$4:$P$2003,0))&lt;&gt;INDEX($M$4:$M$2003,MATCH($Q835,$P$4:$P$2003,0)),"B","S"))))</f>
        <v/>
      </c>
      <c r="S836">
        <f>IF(Q836="","",IFERROR(MATCH(Q836,$P$4:$P$2003,0),""))</f>
        <v/>
      </c>
    </row>
    <row r="837">
      <c r="A837" s="4">
        <f>IF($R837="","",IF($R837="T","Gesamtergebnis",IF($R837="B",INDEX($M$4:$M$2003,$S837),INDEX($L$4:$L$2003,$S837))))</f>
        <v/>
      </c>
      <c r="B837" s="4">
        <f>IF($R837="","",IF($R837="T",$K$3,IF($R837="B",COUNTIFS($M$4:$M$2003,INDEX($M$4:$M$2003,$S837),$N$4:$N$2003,1),1)))</f>
        <v/>
      </c>
      <c r="L837">
        <f>IF($K$1="","",IFERROR(INDEX(Lines!$A:$AA,ROW()-2,$K$1),""))</f>
        <v/>
      </c>
      <c r="M837">
        <f>IF($K$2="","",IFERROR(INDEX(Lines!$A:$AA,ROW()-2,$K$2),""))</f>
        <v/>
      </c>
      <c r="N837">
        <f>IF(AND(L837&lt;&gt;"",LEFT(L837,1)="N",M837&lt;&gt;"PICKING",M837&lt;&gt;""),1,0)</f>
        <v/>
      </c>
      <c r="O837">
        <f>IF(N837=1,M837&amp;"|"&amp;L837,REPT("z",40))</f>
        <v/>
      </c>
      <c r="P837">
        <f>IF(N837=1,COUNTIF($O$4:$O$2003,"&lt;"&amp;O837)+1,"")</f>
        <v/>
      </c>
      <c r="Q837">
        <f>IF(OR($R836="",$R836="T"),"",IF($R836="B",$Q836,IF($Q836+1&gt;$K$3,"",$Q836+1)))</f>
        <v/>
      </c>
      <c r="R837">
        <f>IF(OR($R836="",$R836="T"),"",IF($R836="B","S",IF($Q836+1&gt;$K$3,"T",IF(INDEX($M$4:$M$2003,MATCH($Q836+1,$P$4:$P$2003,0))&lt;&gt;INDEX($M$4:$M$2003,MATCH($Q836,$P$4:$P$2003,0)),"B","S"))))</f>
        <v/>
      </c>
      <c r="S837">
        <f>IF(Q837="","",IFERROR(MATCH(Q837,$P$4:$P$2003,0),""))</f>
        <v/>
      </c>
    </row>
    <row r="838">
      <c r="A838" s="4">
        <f>IF($R838="","",IF($R838="T","Gesamtergebnis",IF($R838="B",INDEX($M$4:$M$2003,$S838),INDEX($L$4:$L$2003,$S838))))</f>
        <v/>
      </c>
      <c r="B838" s="4">
        <f>IF($R838="","",IF($R838="T",$K$3,IF($R838="B",COUNTIFS($M$4:$M$2003,INDEX($M$4:$M$2003,$S838),$N$4:$N$2003,1),1)))</f>
        <v/>
      </c>
      <c r="L838">
        <f>IF($K$1="","",IFERROR(INDEX(Lines!$A:$AA,ROW()-2,$K$1),""))</f>
        <v/>
      </c>
      <c r="M838">
        <f>IF($K$2="","",IFERROR(INDEX(Lines!$A:$AA,ROW()-2,$K$2),""))</f>
        <v/>
      </c>
      <c r="N838">
        <f>IF(AND(L838&lt;&gt;"",LEFT(L838,1)="N",M838&lt;&gt;"PICKING",M838&lt;&gt;""),1,0)</f>
        <v/>
      </c>
      <c r="O838">
        <f>IF(N838=1,M838&amp;"|"&amp;L838,REPT("z",40))</f>
        <v/>
      </c>
      <c r="P838">
        <f>IF(N838=1,COUNTIF($O$4:$O$2003,"&lt;"&amp;O838)+1,"")</f>
        <v/>
      </c>
      <c r="Q838">
        <f>IF(OR($R837="",$R837="T"),"",IF($R837="B",$Q837,IF($Q837+1&gt;$K$3,"",$Q837+1)))</f>
        <v/>
      </c>
      <c r="R838">
        <f>IF(OR($R837="",$R837="T"),"",IF($R837="B","S",IF($Q837+1&gt;$K$3,"T",IF(INDEX($M$4:$M$2003,MATCH($Q837+1,$P$4:$P$2003,0))&lt;&gt;INDEX($M$4:$M$2003,MATCH($Q837,$P$4:$P$2003,0)),"B","S"))))</f>
        <v/>
      </c>
      <c r="S838">
        <f>IF(Q838="","",IFERROR(MATCH(Q838,$P$4:$P$2003,0),""))</f>
        <v/>
      </c>
    </row>
    <row r="839">
      <c r="A839" s="4">
        <f>IF($R839="","",IF($R839="T","Gesamtergebnis",IF($R839="B",INDEX($M$4:$M$2003,$S839),INDEX($L$4:$L$2003,$S839))))</f>
        <v/>
      </c>
      <c r="B839" s="4">
        <f>IF($R839="","",IF($R839="T",$K$3,IF($R839="B",COUNTIFS($M$4:$M$2003,INDEX($M$4:$M$2003,$S839),$N$4:$N$2003,1),1)))</f>
        <v/>
      </c>
      <c r="L839">
        <f>IF($K$1="","",IFERROR(INDEX(Lines!$A:$AA,ROW()-2,$K$1),""))</f>
        <v/>
      </c>
      <c r="M839">
        <f>IF($K$2="","",IFERROR(INDEX(Lines!$A:$AA,ROW()-2,$K$2),""))</f>
        <v/>
      </c>
      <c r="N839">
        <f>IF(AND(L839&lt;&gt;"",LEFT(L839,1)="N",M839&lt;&gt;"PICKING",M839&lt;&gt;""),1,0)</f>
        <v/>
      </c>
      <c r="O839">
        <f>IF(N839=1,M839&amp;"|"&amp;L839,REPT("z",40))</f>
        <v/>
      </c>
      <c r="P839">
        <f>IF(N839=1,COUNTIF($O$4:$O$2003,"&lt;"&amp;O839)+1,"")</f>
        <v/>
      </c>
      <c r="Q839">
        <f>IF(OR($R838="",$R838="T"),"",IF($R838="B",$Q838,IF($Q838+1&gt;$K$3,"",$Q838+1)))</f>
        <v/>
      </c>
      <c r="R839">
        <f>IF(OR($R838="",$R838="T"),"",IF($R838="B","S",IF($Q838+1&gt;$K$3,"T",IF(INDEX($M$4:$M$2003,MATCH($Q838+1,$P$4:$P$2003,0))&lt;&gt;INDEX($M$4:$M$2003,MATCH($Q838,$P$4:$P$2003,0)),"B","S"))))</f>
        <v/>
      </c>
      <c r="S839">
        <f>IF(Q839="","",IFERROR(MATCH(Q839,$P$4:$P$2003,0),""))</f>
        <v/>
      </c>
    </row>
    <row r="840">
      <c r="A840" s="4">
        <f>IF($R840="","",IF($R840="T","Gesamtergebnis",IF($R840="B",INDEX($M$4:$M$2003,$S840),INDEX($L$4:$L$2003,$S840))))</f>
        <v/>
      </c>
      <c r="B840" s="4">
        <f>IF($R840="","",IF($R840="T",$K$3,IF($R840="B",COUNTIFS($M$4:$M$2003,INDEX($M$4:$M$2003,$S840),$N$4:$N$2003,1),1)))</f>
        <v/>
      </c>
      <c r="L840">
        <f>IF($K$1="","",IFERROR(INDEX(Lines!$A:$AA,ROW()-2,$K$1),""))</f>
        <v/>
      </c>
      <c r="M840">
        <f>IF($K$2="","",IFERROR(INDEX(Lines!$A:$AA,ROW()-2,$K$2),""))</f>
        <v/>
      </c>
      <c r="N840">
        <f>IF(AND(L840&lt;&gt;"",LEFT(L840,1)="N",M840&lt;&gt;"PICKING",M840&lt;&gt;""),1,0)</f>
        <v/>
      </c>
      <c r="O840">
        <f>IF(N840=1,M840&amp;"|"&amp;L840,REPT("z",40))</f>
        <v/>
      </c>
      <c r="P840">
        <f>IF(N840=1,COUNTIF($O$4:$O$2003,"&lt;"&amp;O840)+1,"")</f>
        <v/>
      </c>
      <c r="Q840">
        <f>IF(OR($R839="",$R839="T"),"",IF($R839="B",$Q839,IF($Q839+1&gt;$K$3,"",$Q839+1)))</f>
        <v/>
      </c>
      <c r="R840">
        <f>IF(OR($R839="",$R839="T"),"",IF($R839="B","S",IF($Q839+1&gt;$K$3,"T",IF(INDEX($M$4:$M$2003,MATCH($Q839+1,$P$4:$P$2003,0))&lt;&gt;INDEX($M$4:$M$2003,MATCH($Q839,$P$4:$P$2003,0)),"B","S"))))</f>
        <v/>
      </c>
      <c r="S840">
        <f>IF(Q840="","",IFERROR(MATCH(Q840,$P$4:$P$2003,0),""))</f>
        <v/>
      </c>
    </row>
    <row r="841">
      <c r="A841" s="4">
        <f>IF($R841="","",IF($R841="T","Gesamtergebnis",IF($R841="B",INDEX($M$4:$M$2003,$S841),INDEX($L$4:$L$2003,$S841))))</f>
        <v/>
      </c>
      <c r="B841" s="4">
        <f>IF($R841="","",IF($R841="T",$K$3,IF($R841="B",COUNTIFS($M$4:$M$2003,INDEX($M$4:$M$2003,$S841),$N$4:$N$2003,1),1)))</f>
        <v/>
      </c>
      <c r="L841">
        <f>IF($K$1="","",IFERROR(INDEX(Lines!$A:$AA,ROW()-2,$K$1),""))</f>
        <v/>
      </c>
      <c r="M841">
        <f>IF($K$2="","",IFERROR(INDEX(Lines!$A:$AA,ROW()-2,$K$2),""))</f>
        <v/>
      </c>
      <c r="N841">
        <f>IF(AND(L841&lt;&gt;"",LEFT(L841,1)="N",M841&lt;&gt;"PICKING",M841&lt;&gt;""),1,0)</f>
        <v/>
      </c>
      <c r="O841">
        <f>IF(N841=1,M841&amp;"|"&amp;L841,REPT("z",40))</f>
        <v/>
      </c>
      <c r="P841">
        <f>IF(N841=1,COUNTIF($O$4:$O$2003,"&lt;"&amp;O841)+1,"")</f>
        <v/>
      </c>
      <c r="Q841">
        <f>IF(OR($R840="",$R840="T"),"",IF($R840="B",$Q840,IF($Q840+1&gt;$K$3,"",$Q840+1)))</f>
        <v/>
      </c>
      <c r="R841">
        <f>IF(OR($R840="",$R840="T"),"",IF($R840="B","S",IF($Q840+1&gt;$K$3,"T",IF(INDEX($M$4:$M$2003,MATCH($Q840+1,$P$4:$P$2003,0))&lt;&gt;INDEX($M$4:$M$2003,MATCH($Q840,$P$4:$P$2003,0)),"B","S"))))</f>
        <v/>
      </c>
      <c r="S841">
        <f>IF(Q841="","",IFERROR(MATCH(Q841,$P$4:$P$2003,0),""))</f>
        <v/>
      </c>
    </row>
    <row r="842">
      <c r="A842" s="4">
        <f>IF($R842="","",IF($R842="T","Gesamtergebnis",IF($R842="B",INDEX($M$4:$M$2003,$S842),INDEX($L$4:$L$2003,$S842))))</f>
        <v/>
      </c>
      <c r="B842" s="4">
        <f>IF($R842="","",IF($R842="T",$K$3,IF($R842="B",COUNTIFS($M$4:$M$2003,INDEX($M$4:$M$2003,$S842),$N$4:$N$2003,1),1)))</f>
        <v/>
      </c>
      <c r="L842">
        <f>IF($K$1="","",IFERROR(INDEX(Lines!$A:$AA,ROW()-2,$K$1),""))</f>
        <v/>
      </c>
      <c r="M842">
        <f>IF($K$2="","",IFERROR(INDEX(Lines!$A:$AA,ROW()-2,$K$2),""))</f>
        <v/>
      </c>
      <c r="N842">
        <f>IF(AND(L842&lt;&gt;"",LEFT(L842,1)="N",M842&lt;&gt;"PICKING",M842&lt;&gt;""),1,0)</f>
        <v/>
      </c>
      <c r="O842">
        <f>IF(N842=1,M842&amp;"|"&amp;L842,REPT("z",40))</f>
        <v/>
      </c>
      <c r="P842">
        <f>IF(N842=1,COUNTIF($O$4:$O$2003,"&lt;"&amp;O842)+1,"")</f>
        <v/>
      </c>
      <c r="Q842">
        <f>IF(OR($R841="",$R841="T"),"",IF($R841="B",$Q841,IF($Q841+1&gt;$K$3,"",$Q841+1)))</f>
        <v/>
      </c>
      <c r="R842">
        <f>IF(OR($R841="",$R841="T"),"",IF($R841="B","S",IF($Q841+1&gt;$K$3,"T",IF(INDEX($M$4:$M$2003,MATCH($Q841+1,$P$4:$P$2003,0))&lt;&gt;INDEX($M$4:$M$2003,MATCH($Q841,$P$4:$P$2003,0)),"B","S"))))</f>
        <v/>
      </c>
      <c r="S842">
        <f>IF(Q842="","",IFERROR(MATCH(Q842,$P$4:$P$2003,0),""))</f>
        <v/>
      </c>
    </row>
    <row r="843">
      <c r="A843" s="4">
        <f>IF($R843="","",IF($R843="T","Gesamtergebnis",IF($R843="B",INDEX($M$4:$M$2003,$S843),INDEX($L$4:$L$2003,$S843))))</f>
        <v/>
      </c>
      <c r="B843" s="4">
        <f>IF($R843="","",IF($R843="T",$K$3,IF($R843="B",COUNTIFS($M$4:$M$2003,INDEX($M$4:$M$2003,$S843),$N$4:$N$2003,1),1)))</f>
        <v/>
      </c>
      <c r="L843">
        <f>IF($K$1="","",IFERROR(INDEX(Lines!$A:$AA,ROW()-2,$K$1),""))</f>
        <v/>
      </c>
      <c r="M843">
        <f>IF($K$2="","",IFERROR(INDEX(Lines!$A:$AA,ROW()-2,$K$2),""))</f>
        <v/>
      </c>
      <c r="N843">
        <f>IF(AND(L843&lt;&gt;"",LEFT(L843,1)="N",M843&lt;&gt;"PICKING",M843&lt;&gt;""),1,0)</f>
        <v/>
      </c>
      <c r="O843">
        <f>IF(N843=1,M843&amp;"|"&amp;L843,REPT("z",40))</f>
        <v/>
      </c>
      <c r="P843">
        <f>IF(N843=1,COUNTIF($O$4:$O$2003,"&lt;"&amp;O843)+1,"")</f>
        <v/>
      </c>
      <c r="Q843">
        <f>IF(OR($R842="",$R842="T"),"",IF($R842="B",$Q842,IF($Q842+1&gt;$K$3,"",$Q842+1)))</f>
        <v/>
      </c>
      <c r="R843">
        <f>IF(OR($R842="",$R842="T"),"",IF($R842="B","S",IF($Q842+1&gt;$K$3,"T",IF(INDEX($M$4:$M$2003,MATCH($Q842+1,$P$4:$P$2003,0))&lt;&gt;INDEX($M$4:$M$2003,MATCH($Q842,$P$4:$P$2003,0)),"B","S"))))</f>
        <v/>
      </c>
      <c r="S843">
        <f>IF(Q843="","",IFERROR(MATCH(Q843,$P$4:$P$2003,0),""))</f>
        <v/>
      </c>
    </row>
    <row r="844">
      <c r="A844" s="4">
        <f>IF($R844="","",IF($R844="T","Gesamtergebnis",IF($R844="B",INDEX($M$4:$M$2003,$S844),INDEX($L$4:$L$2003,$S844))))</f>
        <v/>
      </c>
      <c r="B844" s="4">
        <f>IF($R844="","",IF($R844="T",$K$3,IF($R844="B",COUNTIFS($M$4:$M$2003,INDEX($M$4:$M$2003,$S844),$N$4:$N$2003,1),1)))</f>
        <v/>
      </c>
      <c r="L844">
        <f>IF($K$1="","",IFERROR(INDEX(Lines!$A:$AA,ROW()-2,$K$1),""))</f>
        <v/>
      </c>
      <c r="M844">
        <f>IF($K$2="","",IFERROR(INDEX(Lines!$A:$AA,ROW()-2,$K$2),""))</f>
        <v/>
      </c>
      <c r="N844">
        <f>IF(AND(L844&lt;&gt;"",LEFT(L844,1)="N",M844&lt;&gt;"PICKING",M844&lt;&gt;""),1,0)</f>
        <v/>
      </c>
      <c r="O844">
        <f>IF(N844=1,M844&amp;"|"&amp;L844,REPT("z",40))</f>
        <v/>
      </c>
      <c r="P844">
        <f>IF(N844=1,COUNTIF($O$4:$O$2003,"&lt;"&amp;O844)+1,"")</f>
        <v/>
      </c>
      <c r="Q844">
        <f>IF(OR($R843="",$R843="T"),"",IF($R843="B",$Q843,IF($Q843+1&gt;$K$3,"",$Q843+1)))</f>
        <v/>
      </c>
      <c r="R844">
        <f>IF(OR($R843="",$R843="T"),"",IF($R843="B","S",IF($Q843+1&gt;$K$3,"T",IF(INDEX($M$4:$M$2003,MATCH($Q843+1,$P$4:$P$2003,0))&lt;&gt;INDEX($M$4:$M$2003,MATCH($Q843,$P$4:$P$2003,0)),"B","S"))))</f>
        <v/>
      </c>
      <c r="S844">
        <f>IF(Q844="","",IFERROR(MATCH(Q844,$P$4:$P$2003,0),""))</f>
        <v/>
      </c>
    </row>
    <row r="845">
      <c r="A845" s="4">
        <f>IF($R845="","",IF($R845="T","Gesamtergebnis",IF($R845="B",INDEX($M$4:$M$2003,$S845),INDEX($L$4:$L$2003,$S845))))</f>
        <v/>
      </c>
      <c r="B845" s="4">
        <f>IF($R845="","",IF($R845="T",$K$3,IF($R845="B",COUNTIFS($M$4:$M$2003,INDEX($M$4:$M$2003,$S845),$N$4:$N$2003,1),1)))</f>
        <v/>
      </c>
      <c r="L845">
        <f>IF($K$1="","",IFERROR(INDEX(Lines!$A:$AA,ROW()-2,$K$1),""))</f>
        <v/>
      </c>
      <c r="M845">
        <f>IF($K$2="","",IFERROR(INDEX(Lines!$A:$AA,ROW()-2,$K$2),""))</f>
        <v/>
      </c>
      <c r="N845">
        <f>IF(AND(L845&lt;&gt;"",LEFT(L845,1)="N",M845&lt;&gt;"PICKING",M845&lt;&gt;""),1,0)</f>
        <v/>
      </c>
      <c r="O845">
        <f>IF(N845=1,M845&amp;"|"&amp;L845,REPT("z",40))</f>
        <v/>
      </c>
      <c r="P845">
        <f>IF(N845=1,COUNTIF($O$4:$O$2003,"&lt;"&amp;O845)+1,"")</f>
        <v/>
      </c>
      <c r="Q845">
        <f>IF(OR($R844="",$R844="T"),"",IF($R844="B",$Q844,IF($Q844+1&gt;$K$3,"",$Q844+1)))</f>
        <v/>
      </c>
      <c r="R845">
        <f>IF(OR($R844="",$R844="T"),"",IF($R844="B","S",IF($Q844+1&gt;$K$3,"T",IF(INDEX($M$4:$M$2003,MATCH($Q844+1,$P$4:$P$2003,0))&lt;&gt;INDEX($M$4:$M$2003,MATCH($Q844,$P$4:$P$2003,0)),"B","S"))))</f>
        <v/>
      </c>
      <c r="S845">
        <f>IF(Q845="","",IFERROR(MATCH(Q845,$P$4:$P$2003,0),""))</f>
        <v/>
      </c>
    </row>
    <row r="846">
      <c r="A846" s="4">
        <f>IF($R846="","",IF($R846="T","Gesamtergebnis",IF($R846="B",INDEX($M$4:$M$2003,$S846),INDEX($L$4:$L$2003,$S846))))</f>
        <v/>
      </c>
      <c r="B846" s="4">
        <f>IF($R846="","",IF($R846="T",$K$3,IF($R846="B",COUNTIFS($M$4:$M$2003,INDEX($M$4:$M$2003,$S846),$N$4:$N$2003,1),1)))</f>
        <v/>
      </c>
      <c r="L846">
        <f>IF($K$1="","",IFERROR(INDEX(Lines!$A:$AA,ROW()-2,$K$1),""))</f>
        <v/>
      </c>
      <c r="M846">
        <f>IF($K$2="","",IFERROR(INDEX(Lines!$A:$AA,ROW()-2,$K$2),""))</f>
        <v/>
      </c>
      <c r="N846">
        <f>IF(AND(L846&lt;&gt;"",LEFT(L846,1)="N",M846&lt;&gt;"PICKING",M846&lt;&gt;""),1,0)</f>
        <v/>
      </c>
      <c r="O846">
        <f>IF(N846=1,M846&amp;"|"&amp;L846,REPT("z",40))</f>
        <v/>
      </c>
      <c r="P846">
        <f>IF(N846=1,COUNTIF($O$4:$O$2003,"&lt;"&amp;O846)+1,"")</f>
        <v/>
      </c>
      <c r="Q846">
        <f>IF(OR($R845="",$R845="T"),"",IF($R845="B",$Q845,IF($Q845+1&gt;$K$3,"",$Q845+1)))</f>
        <v/>
      </c>
      <c r="R846">
        <f>IF(OR($R845="",$R845="T"),"",IF($R845="B","S",IF($Q845+1&gt;$K$3,"T",IF(INDEX($M$4:$M$2003,MATCH($Q845+1,$P$4:$P$2003,0))&lt;&gt;INDEX($M$4:$M$2003,MATCH($Q845,$P$4:$P$2003,0)),"B","S"))))</f>
        <v/>
      </c>
      <c r="S846">
        <f>IF(Q846="","",IFERROR(MATCH(Q846,$P$4:$P$2003,0),""))</f>
        <v/>
      </c>
    </row>
    <row r="847">
      <c r="A847" s="4">
        <f>IF($R847="","",IF($R847="T","Gesamtergebnis",IF($R847="B",INDEX($M$4:$M$2003,$S847),INDEX($L$4:$L$2003,$S847))))</f>
        <v/>
      </c>
      <c r="B847" s="4">
        <f>IF($R847="","",IF($R847="T",$K$3,IF($R847="B",COUNTIFS($M$4:$M$2003,INDEX($M$4:$M$2003,$S847),$N$4:$N$2003,1),1)))</f>
        <v/>
      </c>
      <c r="L847">
        <f>IF($K$1="","",IFERROR(INDEX(Lines!$A:$AA,ROW()-2,$K$1),""))</f>
        <v/>
      </c>
      <c r="M847">
        <f>IF($K$2="","",IFERROR(INDEX(Lines!$A:$AA,ROW()-2,$K$2),""))</f>
        <v/>
      </c>
      <c r="N847">
        <f>IF(AND(L847&lt;&gt;"",LEFT(L847,1)="N",M847&lt;&gt;"PICKING",M847&lt;&gt;""),1,0)</f>
        <v/>
      </c>
      <c r="O847">
        <f>IF(N847=1,M847&amp;"|"&amp;L847,REPT("z",40))</f>
        <v/>
      </c>
      <c r="P847">
        <f>IF(N847=1,COUNTIF($O$4:$O$2003,"&lt;"&amp;O847)+1,"")</f>
        <v/>
      </c>
      <c r="Q847">
        <f>IF(OR($R846="",$R846="T"),"",IF($R846="B",$Q846,IF($Q846+1&gt;$K$3,"",$Q846+1)))</f>
        <v/>
      </c>
      <c r="R847">
        <f>IF(OR($R846="",$R846="T"),"",IF($R846="B","S",IF($Q846+1&gt;$K$3,"T",IF(INDEX($M$4:$M$2003,MATCH($Q846+1,$P$4:$P$2003,0))&lt;&gt;INDEX($M$4:$M$2003,MATCH($Q846,$P$4:$P$2003,0)),"B","S"))))</f>
        <v/>
      </c>
      <c r="S847">
        <f>IF(Q847="","",IFERROR(MATCH(Q847,$P$4:$P$2003,0),""))</f>
        <v/>
      </c>
    </row>
    <row r="848">
      <c r="A848" s="4">
        <f>IF($R848="","",IF($R848="T","Gesamtergebnis",IF($R848="B",INDEX($M$4:$M$2003,$S848),INDEX($L$4:$L$2003,$S848))))</f>
        <v/>
      </c>
      <c r="B848" s="4">
        <f>IF($R848="","",IF($R848="T",$K$3,IF($R848="B",COUNTIFS($M$4:$M$2003,INDEX($M$4:$M$2003,$S848),$N$4:$N$2003,1),1)))</f>
        <v/>
      </c>
      <c r="L848">
        <f>IF($K$1="","",IFERROR(INDEX(Lines!$A:$AA,ROW()-2,$K$1),""))</f>
        <v/>
      </c>
      <c r="M848">
        <f>IF($K$2="","",IFERROR(INDEX(Lines!$A:$AA,ROW()-2,$K$2),""))</f>
        <v/>
      </c>
      <c r="N848">
        <f>IF(AND(L848&lt;&gt;"",LEFT(L848,1)="N",M848&lt;&gt;"PICKING",M848&lt;&gt;""),1,0)</f>
        <v/>
      </c>
      <c r="O848">
        <f>IF(N848=1,M848&amp;"|"&amp;L848,REPT("z",40))</f>
        <v/>
      </c>
      <c r="P848">
        <f>IF(N848=1,COUNTIF($O$4:$O$2003,"&lt;"&amp;O848)+1,"")</f>
        <v/>
      </c>
      <c r="Q848">
        <f>IF(OR($R847="",$R847="T"),"",IF($R847="B",$Q847,IF($Q847+1&gt;$K$3,"",$Q847+1)))</f>
        <v/>
      </c>
      <c r="R848">
        <f>IF(OR($R847="",$R847="T"),"",IF($R847="B","S",IF($Q847+1&gt;$K$3,"T",IF(INDEX($M$4:$M$2003,MATCH($Q847+1,$P$4:$P$2003,0))&lt;&gt;INDEX($M$4:$M$2003,MATCH($Q847,$P$4:$P$2003,0)),"B","S"))))</f>
        <v/>
      </c>
      <c r="S848">
        <f>IF(Q848="","",IFERROR(MATCH(Q848,$P$4:$P$2003,0),""))</f>
        <v/>
      </c>
    </row>
    <row r="849">
      <c r="A849" s="4">
        <f>IF($R849="","",IF($R849="T","Gesamtergebnis",IF($R849="B",INDEX($M$4:$M$2003,$S849),INDEX($L$4:$L$2003,$S849))))</f>
        <v/>
      </c>
      <c r="B849" s="4">
        <f>IF($R849="","",IF($R849="T",$K$3,IF($R849="B",COUNTIFS($M$4:$M$2003,INDEX($M$4:$M$2003,$S849),$N$4:$N$2003,1),1)))</f>
        <v/>
      </c>
      <c r="L849">
        <f>IF($K$1="","",IFERROR(INDEX(Lines!$A:$AA,ROW()-2,$K$1),""))</f>
        <v/>
      </c>
      <c r="M849">
        <f>IF($K$2="","",IFERROR(INDEX(Lines!$A:$AA,ROW()-2,$K$2),""))</f>
        <v/>
      </c>
      <c r="N849">
        <f>IF(AND(L849&lt;&gt;"",LEFT(L849,1)="N",M849&lt;&gt;"PICKING",M849&lt;&gt;""),1,0)</f>
        <v/>
      </c>
      <c r="O849">
        <f>IF(N849=1,M849&amp;"|"&amp;L849,REPT("z",40))</f>
        <v/>
      </c>
      <c r="P849">
        <f>IF(N849=1,COUNTIF($O$4:$O$2003,"&lt;"&amp;O849)+1,"")</f>
        <v/>
      </c>
      <c r="Q849">
        <f>IF(OR($R848="",$R848="T"),"",IF($R848="B",$Q848,IF($Q848+1&gt;$K$3,"",$Q848+1)))</f>
        <v/>
      </c>
      <c r="R849">
        <f>IF(OR($R848="",$R848="T"),"",IF($R848="B","S",IF($Q848+1&gt;$K$3,"T",IF(INDEX($M$4:$M$2003,MATCH($Q848+1,$P$4:$P$2003,0))&lt;&gt;INDEX($M$4:$M$2003,MATCH($Q848,$P$4:$P$2003,0)),"B","S"))))</f>
        <v/>
      </c>
      <c r="S849">
        <f>IF(Q849="","",IFERROR(MATCH(Q849,$P$4:$P$2003,0),""))</f>
        <v/>
      </c>
    </row>
    <row r="850">
      <c r="A850" s="4">
        <f>IF($R850="","",IF($R850="T","Gesamtergebnis",IF($R850="B",INDEX($M$4:$M$2003,$S850),INDEX($L$4:$L$2003,$S850))))</f>
        <v/>
      </c>
      <c r="B850" s="4">
        <f>IF($R850="","",IF($R850="T",$K$3,IF($R850="B",COUNTIFS($M$4:$M$2003,INDEX($M$4:$M$2003,$S850),$N$4:$N$2003,1),1)))</f>
        <v/>
      </c>
      <c r="L850">
        <f>IF($K$1="","",IFERROR(INDEX(Lines!$A:$AA,ROW()-2,$K$1),""))</f>
        <v/>
      </c>
      <c r="M850">
        <f>IF($K$2="","",IFERROR(INDEX(Lines!$A:$AA,ROW()-2,$K$2),""))</f>
        <v/>
      </c>
      <c r="N850">
        <f>IF(AND(L850&lt;&gt;"",LEFT(L850,1)="N",M850&lt;&gt;"PICKING",M850&lt;&gt;""),1,0)</f>
        <v/>
      </c>
      <c r="O850">
        <f>IF(N850=1,M850&amp;"|"&amp;L850,REPT("z",40))</f>
        <v/>
      </c>
      <c r="P850">
        <f>IF(N850=1,COUNTIF($O$4:$O$2003,"&lt;"&amp;O850)+1,"")</f>
        <v/>
      </c>
      <c r="Q850">
        <f>IF(OR($R849="",$R849="T"),"",IF($R849="B",$Q849,IF($Q849+1&gt;$K$3,"",$Q849+1)))</f>
        <v/>
      </c>
      <c r="R850">
        <f>IF(OR($R849="",$R849="T"),"",IF($R849="B","S",IF($Q849+1&gt;$K$3,"T",IF(INDEX($M$4:$M$2003,MATCH($Q849+1,$P$4:$P$2003,0))&lt;&gt;INDEX($M$4:$M$2003,MATCH($Q849,$P$4:$P$2003,0)),"B","S"))))</f>
        <v/>
      </c>
      <c r="S850">
        <f>IF(Q850="","",IFERROR(MATCH(Q850,$P$4:$P$2003,0),""))</f>
        <v/>
      </c>
    </row>
    <row r="851">
      <c r="A851" s="4">
        <f>IF($R851="","",IF($R851="T","Gesamtergebnis",IF($R851="B",INDEX($M$4:$M$2003,$S851),INDEX($L$4:$L$2003,$S851))))</f>
        <v/>
      </c>
      <c r="B851" s="4">
        <f>IF($R851="","",IF($R851="T",$K$3,IF($R851="B",COUNTIFS($M$4:$M$2003,INDEX($M$4:$M$2003,$S851),$N$4:$N$2003,1),1)))</f>
        <v/>
      </c>
      <c r="L851">
        <f>IF($K$1="","",IFERROR(INDEX(Lines!$A:$AA,ROW()-2,$K$1),""))</f>
        <v/>
      </c>
      <c r="M851">
        <f>IF($K$2="","",IFERROR(INDEX(Lines!$A:$AA,ROW()-2,$K$2),""))</f>
        <v/>
      </c>
      <c r="N851">
        <f>IF(AND(L851&lt;&gt;"",LEFT(L851,1)="N",M851&lt;&gt;"PICKING",M851&lt;&gt;""),1,0)</f>
        <v/>
      </c>
      <c r="O851">
        <f>IF(N851=1,M851&amp;"|"&amp;L851,REPT("z",40))</f>
        <v/>
      </c>
      <c r="P851">
        <f>IF(N851=1,COUNTIF($O$4:$O$2003,"&lt;"&amp;O851)+1,"")</f>
        <v/>
      </c>
      <c r="Q851">
        <f>IF(OR($R850="",$R850="T"),"",IF($R850="B",$Q850,IF($Q850+1&gt;$K$3,"",$Q850+1)))</f>
        <v/>
      </c>
      <c r="R851">
        <f>IF(OR($R850="",$R850="T"),"",IF($R850="B","S",IF($Q850+1&gt;$K$3,"T",IF(INDEX($M$4:$M$2003,MATCH($Q850+1,$P$4:$P$2003,0))&lt;&gt;INDEX($M$4:$M$2003,MATCH($Q850,$P$4:$P$2003,0)),"B","S"))))</f>
        <v/>
      </c>
      <c r="S851">
        <f>IF(Q851="","",IFERROR(MATCH(Q851,$P$4:$P$2003,0),""))</f>
        <v/>
      </c>
    </row>
    <row r="852">
      <c r="A852" s="4">
        <f>IF($R852="","",IF($R852="T","Gesamtergebnis",IF($R852="B",INDEX($M$4:$M$2003,$S852),INDEX($L$4:$L$2003,$S852))))</f>
        <v/>
      </c>
      <c r="B852" s="4">
        <f>IF($R852="","",IF($R852="T",$K$3,IF($R852="B",COUNTIFS($M$4:$M$2003,INDEX($M$4:$M$2003,$S852),$N$4:$N$2003,1),1)))</f>
        <v/>
      </c>
      <c r="L852">
        <f>IF($K$1="","",IFERROR(INDEX(Lines!$A:$AA,ROW()-2,$K$1),""))</f>
        <v/>
      </c>
      <c r="M852">
        <f>IF($K$2="","",IFERROR(INDEX(Lines!$A:$AA,ROW()-2,$K$2),""))</f>
        <v/>
      </c>
      <c r="N852">
        <f>IF(AND(L852&lt;&gt;"",LEFT(L852,1)="N",M852&lt;&gt;"PICKING",M852&lt;&gt;""),1,0)</f>
        <v/>
      </c>
      <c r="O852">
        <f>IF(N852=1,M852&amp;"|"&amp;L852,REPT("z",40))</f>
        <v/>
      </c>
      <c r="P852">
        <f>IF(N852=1,COUNTIF($O$4:$O$2003,"&lt;"&amp;O852)+1,"")</f>
        <v/>
      </c>
      <c r="Q852">
        <f>IF(OR($R851="",$R851="T"),"",IF($R851="B",$Q851,IF($Q851+1&gt;$K$3,"",$Q851+1)))</f>
        <v/>
      </c>
      <c r="R852">
        <f>IF(OR($R851="",$R851="T"),"",IF($R851="B","S",IF($Q851+1&gt;$K$3,"T",IF(INDEX($M$4:$M$2003,MATCH($Q851+1,$P$4:$P$2003,0))&lt;&gt;INDEX($M$4:$M$2003,MATCH($Q851,$P$4:$P$2003,0)),"B","S"))))</f>
        <v/>
      </c>
      <c r="S852">
        <f>IF(Q852="","",IFERROR(MATCH(Q852,$P$4:$P$2003,0),""))</f>
        <v/>
      </c>
    </row>
    <row r="853">
      <c r="A853" s="4">
        <f>IF($R853="","",IF($R853="T","Gesamtergebnis",IF($R853="B",INDEX($M$4:$M$2003,$S853),INDEX($L$4:$L$2003,$S853))))</f>
        <v/>
      </c>
      <c r="B853" s="4">
        <f>IF($R853="","",IF($R853="T",$K$3,IF($R853="B",COUNTIFS($M$4:$M$2003,INDEX($M$4:$M$2003,$S853),$N$4:$N$2003,1),1)))</f>
        <v/>
      </c>
      <c r="L853">
        <f>IF($K$1="","",IFERROR(INDEX(Lines!$A:$AA,ROW()-2,$K$1),""))</f>
        <v/>
      </c>
      <c r="M853">
        <f>IF($K$2="","",IFERROR(INDEX(Lines!$A:$AA,ROW()-2,$K$2),""))</f>
        <v/>
      </c>
      <c r="N853">
        <f>IF(AND(L853&lt;&gt;"",LEFT(L853,1)="N",M853&lt;&gt;"PICKING",M853&lt;&gt;""),1,0)</f>
        <v/>
      </c>
      <c r="O853">
        <f>IF(N853=1,M853&amp;"|"&amp;L853,REPT("z",40))</f>
        <v/>
      </c>
      <c r="P853">
        <f>IF(N853=1,COUNTIF($O$4:$O$2003,"&lt;"&amp;O853)+1,"")</f>
        <v/>
      </c>
      <c r="Q853">
        <f>IF(OR($R852="",$R852="T"),"",IF($R852="B",$Q852,IF($Q852+1&gt;$K$3,"",$Q852+1)))</f>
        <v/>
      </c>
      <c r="R853">
        <f>IF(OR($R852="",$R852="T"),"",IF($R852="B","S",IF($Q852+1&gt;$K$3,"T",IF(INDEX($M$4:$M$2003,MATCH($Q852+1,$P$4:$P$2003,0))&lt;&gt;INDEX($M$4:$M$2003,MATCH($Q852,$P$4:$P$2003,0)),"B","S"))))</f>
        <v/>
      </c>
      <c r="S853">
        <f>IF(Q853="","",IFERROR(MATCH(Q853,$P$4:$P$2003,0),""))</f>
        <v/>
      </c>
    </row>
    <row r="854">
      <c r="A854" s="4">
        <f>IF($R854="","",IF($R854="T","Gesamtergebnis",IF($R854="B",INDEX($M$4:$M$2003,$S854),INDEX($L$4:$L$2003,$S854))))</f>
        <v/>
      </c>
      <c r="B854" s="4">
        <f>IF($R854="","",IF($R854="T",$K$3,IF($R854="B",COUNTIFS($M$4:$M$2003,INDEX($M$4:$M$2003,$S854),$N$4:$N$2003,1),1)))</f>
        <v/>
      </c>
      <c r="L854">
        <f>IF($K$1="","",IFERROR(INDEX(Lines!$A:$AA,ROW()-2,$K$1),""))</f>
        <v/>
      </c>
      <c r="M854">
        <f>IF($K$2="","",IFERROR(INDEX(Lines!$A:$AA,ROW()-2,$K$2),""))</f>
        <v/>
      </c>
      <c r="N854">
        <f>IF(AND(L854&lt;&gt;"",LEFT(L854,1)="N",M854&lt;&gt;"PICKING",M854&lt;&gt;""),1,0)</f>
        <v/>
      </c>
      <c r="O854">
        <f>IF(N854=1,M854&amp;"|"&amp;L854,REPT("z",40))</f>
        <v/>
      </c>
      <c r="P854">
        <f>IF(N854=1,COUNTIF($O$4:$O$2003,"&lt;"&amp;O854)+1,"")</f>
        <v/>
      </c>
      <c r="Q854">
        <f>IF(OR($R853="",$R853="T"),"",IF($R853="B",$Q853,IF($Q853+1&gt;$K$3,"",$Q853+1)))</f>
        <v/>
      </c>
      <c r="R854">
        <f>IF(OR($R853="",$R853="T"),"",IF($R853="B","S",IF($Q853+1&gt;$K$3,"T",IF(INDEX($M$4:$M$2003,MATCH($Q853+1,$P$4:$P$2003,0))&lt;&gt;INDEX($M$4:$M$2003,MATCH($Q853,$P$4:$P$2003,0)),"B","S"))))</f>
        <v/>
      </c>
      <c r="S854">
        <f>IF(Q854="","",IFERROR(MATCH(Q854,$P$4:$P$2003,0),""))</f>
        <v/>
      </c>
    </row>
    <row r="855">
      <c r="A855" s="4">
        <f>IF($R855="","",IF($R855="T","Gesamtergebnis",IF($R855="B",INDEX($M$4:$M$2003,$S855),INDEX($L$4:$L$2003,$S855))))</f>
        <v/>
      </c>
      <c r="B855" s="4">
        <f>IF($R855="","",IF($R855="T",$K$3,IF($R855="B",COUNTIFS($M$4:$M$2003,INDEX($M$4:$M$2003,$S855),$N$4:$N$2003,1),1)))</f>
        <v/>
      </c>
      <c r="L855">
        <f>IF($K$1="","",IFERROR(INDEX(Lines!$A:$AA,ROW()-2,$K$1),""))</f>
        <v/>
      </c>
      <c r="M855">
        <f>IF($K$2="","",IFERROR(INDEX(Lines!$A:$AA,ROW()-2,$K$2),""))</f>
        <v/>
      </c>
      <c r="N855">
        <f>IF(AND(L855&lt;&gt;"",LEFT(L855,1)="N",M855&lt;&gt;"PICKING",M855&lt;&gt;""),1,0)</f>
        <v/>
      </c>
      <c r="O855">
        <f>IF(N855=1,M855&amp;"|"&amp;L855,REPT("z",40))</f>
        <v/>
      </c>
      <c r="P855">
        <f>IF(N855=1,COUNTIF($O$4:$O$2003,"&lt;"&amp;O855)+1,"")</f>
        <v/>
      </c>
      <c r="Q855">
        <f>IF(OR($R854="",$R854="T"),"",IF($R854="B",$Q854,IF($Q854+1&gt;$K$3,"",$Q854+1)))</f>
        <v/>
      </c>
      <c r="R855">
        <f>IF(OR($R854="",$R854="T"),"",IF($R854="B","S",IF($Q854+1&gt;$K$3,"T",IF(INDEX($M$4:$M$2003,MATCH($Q854+1,$P$4:$P$2003,0))&lt;&gt;INDEX($M$4:$M$2003,MATCH($Q854,$P$4:$P$2003,0)),"B","S"))))</f>
        <v/>
      </c>
      <c r="S855">
        <f>IF(Q855="","",IFERROR(MATCH(Q855,$P$4:$P$2003,0),""))</f>
        <v/>
      </c>
    </row>
    <row r="856">
      <c r="A856" s="4">
        <f>IF($R856="","",IF($R856="T","Gesamtergebnis",IF($R856="B",INDEX($M$4:$M$2003,$S856),INDEX($L$4:$L$2003,$S856))))</f>
        <v/>
      </c>
      <c r="B856" s="4">
        <f>IF($R856="","",IF($R856="T",$K$3,IF($R856="B",COUNTIFS($M$4:$M$2003,INDEX($M$4:$M$2003,$S856),$N$4:$N$2003,1),1)))</f>
        <v/>
      </c>
      <c r="L856">
        <f>IF($K$1="","",IFERROR(INDEX(Lines!$A:$AA,ROW()-2,$K$1),""))</f>
        <v/>
      </c>
      <c r="M856">
        <f>IF($K$2="","",IFERROR(INDEX(Lines!$A:$AA,ROW()-2,$K$2),""))</f>
        <v/>
      </c>
      <c r="N856">
        <f>IF(AND(L856&lt;&gt;"",LEFT(L856,1)="N",M856&lt;&gt;"PICKING",M856&lt;&gt;""),1,0)</f>
        <v/>
      </c>
      <c r="O856">
        <f>IF(N856=1,M856&amp;"|"&amp;L856,REPT("z",40))</f>
        <v/>
      </c>
      <c r="P856">
        <f>IF(N856=1,COUNTIF($O$4:$O$2003,"&lt;"&amp;O856)+1,"")</f>
        <v/>
      </c>
      <c r="Q856">
        <f>IF(OR($R855="",$R855="T"),"",IF($R855="B",$Q855,IF($Q855+1&gt;$K$3,"",$Q855+1)))</f>
        <v/>
      </c>
      <c r="R856">
        <f>IF(OR($R855="",$R855="T"),"",IF($R855="B","S",IF($Q855+1&gt;$K$3,"T",IF(INDEX($M$4:$M$2003,MATCH($Q855+1,$P$4:$P$2003,0))&lt;&gt;INDEX($M$4:$M$2003,MATCH($Q855,$P$4:$P$2003,0)),"B","S"))))</f>
        <v/>
      </c>
      <c r="S856">
        <f>IF(Q856="","",IFERROR(MATCH(Q856,$P$4:$P$2003,0),""))</f>
        <v/>
      </c>
    </row>
    <row r="857">
      <c r="A857" s="4">
        <f>IF($R857="","",IF($R857="T","Gesamtergebnis",IF($R857="B",INDEX($M$4:$M$2003,$S857),INDEX($L$4:$L$2003,$S857))))</f>
        <v/>
      </c>
      <c r="B857" s="4">
        <f>IF($R857="","",IF($R857="T",$K$3,IF($R857="B",COUNTIFS($M$4:$M$2003,INDEX($M$4:$M$2003,$S857),$N$4:$N$2003,1),1)))</f>
        <v/>
      </c>
      <c r="L857">
        <f>IF($K$1="","",IFERROR(INDEX(Lines!$A:$AA,ROW()-2,$K$1),""))</f>
        <v/>
      </c>
      <c r="M857">
        <f>IF($K$2="","",IFERROR(INDEX(Lines!$A:$AA,ROW()-2,$K$2),""))</f>
        <v/>
      </c>
      <c r="N857">
        <f>IF(AND(L857&lt;&gt;"",LEFT(L857,1)="N",M857&lt;&gt;"PICKING",M857&lt;&gt;""),1,0)</f>
        <v/>
      </c>
      <c r="O857">
        <f>IF(N857=1,M857&amp;"|"&amp;L857,REPT("z",40))</f>
        <v/>
      </c>
      <c r="P857">
        <f>IF(N857=1,COUNTIF($O$4:$O$2003,"&lt;"&amp;O857)+1,"")</f>
        <v/>
      </c>
      <c r="Q857">
        <f>IF(OR($R856="",$R856="T"),"",IF($R856="B",$Q856,IF($Q856+1&gt;$K$3,"",$Q856+1)))</f>
        <v/>
      </c>
      <c r="R857">
        <f>IF(OR($R856="",$R856="T"),"",IF($R856="B","S",IF($Q856+1&gt;$K$3,"T",IF(INDEX($M$4:$M$2003,MATCH($Q856+1,$P$4:$P$2003,0))&lt;&gt;INDEX($M$4:$M$2003,MATCH($Q856,$P$4:$P$2003,0)),"B","S"))))</f>
        <v/>
      </c>
      <c r="S857">
        <f>IF(Q857="","",IFERROR(MATCH(Q857,$P$4:$P$2003,0),""))</f>
        <v/>
      </c>
    </row>
    <row r="858">
      <c r="A858" s="4">
        <f>IF($R858="","",IF($R858="T","Gesamtergebnis",IF($R858="B",INDEX($M$4:$M$2003,$S858),INDEX($L$4:$L$2003,$S858))))</f>
        <v/>
      </c>
      <c r="B858" s="4">
        <f>IF($R858="","",IF($R858="T",$K$3,IF($R858="B",COUNTIFS($M$4:$M$2003,INDEX($M$4:$M$2003,$S858),$N$4:$N$2003,1),1)))</f>
        <v/>
      </c>
      <c r="L858">
        <f>IF($K$1="","",IFERROR(INDEX(Lines!$A:$AA,ROW()-2,$K$1),""))</f>
        <v/>
      </c>
      <c r="M858">
        <f>IF($K$2="","",IFERROR(INDEX(Lines!$A:$AA,ROW()-2,$K$2),""))</f>
        <v/>
      </c>
      <c r="N858">
        <f>IF(AND(L858&lt;&gt;"",LEFT(L858,1)="N",M858&lt;&gt;"PICKING",M858&lt;&gt;""),1,0)</f>
        <v/>
      </c>
      <c r="O858">
        <f>IF(N858=1,M858&amp;"|"&amp;L858,REPT("z",40))</f>
        <v/>
      </c>
      <c r="P858">
        <f>IF(N858=1,COUNTIF($O$4:$O$2003,"&lt;"&amp;O858)+1,"")</f>
        <v/>
      </c>
      <c r="Q858">
        <f>IF(OR($R857="",$R857="T"),"",IF($R857="B",$Q857,IF($Q857+1&gt;$K$3,"",$Q857+1)))</f>
        <v/>
      </c>
      <c r="R858">
        <f>IF(OR($R857="",$R857="T"),"",IF($R857="B","S",IF($Q857+1&gt;$K$3,"T",IF(INDEX($M$4:$M$2003,MATCH($Q857+1,$P$4:$P$2003,0))&lt;&gt;INDEX($M$4:$M$2003,MATCH($Q857,$P$4:$P$2003,0)),"B","S"))))</f>
        <v/>
      </c>
      <c r="S858">
        <f>IF(Q858="","",IFERROR(MATCH(Q858,$P$4:$P$2003,0),""))</f>
        <v/>
      </c>
    </row>
    <row r="859">
      <c r="A859" s="4">
        <f>IF($R859="","",IF($R859="T","Gesamtergebnis",IF($R859="B",INDEX($M$4:$M$2003,$S859),INDEX($L$4:$L$2003,$S859))))</f>
        <v/>
      </c>
      <c r="B859" s="4">
        <f>IF($R859="","",IF($R859="T",$K$3,IF($R859="B",COUNTIFS($M$4:$M$2003,INDEX($M$4:$M$2003,$S859),$N$4:$N$2003,1),1)))</f>
        <v/>
      </c>
      <c r="L859">
        <f>IF($K$1="","",IFERROR(INDEX(Lines!$A:$AA,ROW()-2,$K$1),""))</f>
        <v/>
      </c>
      <c r="M859">
        <f>IF($K$2="","",IFERROR(INDEX(Lines!$A:$AA,ROW()-2,$K$2),""))</f>
        <v/>
      </c>
      <c r="N859">
        <f>IF(AND(L859&lt;&gt;"",LEFT(L859,1)="N",M859&lt;&gt;"PICKING",M859&lt;&gt;""),1,0)</f>
        <v/>
      </c>
      <c r="O859">
        <f>IF(N859=1,M859&amp;"|"&amp;L859,REPT("z",40))</f>
        <v/>
      </c>
      <c r="P859">
        <f>IF(N859=1,COUNTIF($O$4:$O$2003,"&lt;"&amp;O859)+1,"")</f>
        <v/>
      </c>
      <c r="Q859">
        <f>IF(OR($R858="",$R858="T"),"",IF($R858="B",$Q858,IF($Q858+1&gt;$K$3,"",$Q858+1)))</f>
        <v/>
      </c>
      <c r="R859">
        <f>IF(OR($R858="",$R858="T"),"",IF($R858="B","S",IF($Q858+1&gt;$K$3,"T",IF(INDEX($M$4:$M$2003,MATCH($Q858+1,$P$4:$P$2003,0))&lt;&gt;INDEX($M$4:$M$2003,MATCH($Q858,$P$4:$P$2003,0)),"B","S"))))</f>
        <v/>
      </c>
      <c r="S859">
        <f>IF(Q859="","",IFERROR(MATCH(Q859,$P$4:$P$2003,0),""))</f>
        <v/>
      </c>
    </row>
    <row r="860">
      <c r="A860" s="4">
        <f>IF($R860="","",IF($R860="T","Gesamtergebnis",IF($R860="B",INDEX($M$4:$M$2003,$S860),INDEX($L$4:$L$2003,$S860))))</f>
        <v/>
      </c>
      <c r="B860" s="4">
        <f>IF($R860="","",IF($R860="T",$K$3,IF($R860="B",COUNTIFS($M$4:$M$2003,INDEX($M$4:$M$2003,$S860),$N$4:$N$2003,1),1)))</f>
        <v/>
      </c>
      <c r="L860">
        <f>IF($K$1="","",IFERROR(INDEX(Lines!$A:$AA,ROW()-2,$K$1),""))</f>
        <v/>
      </c>
      <c r="M860">
        <f>IF($K$2="","",IFERROR(INDEX(Lines!$A:$AA,ROW()-2,$K$2),""))</f>
        <v/>
      </c>
      <c r="N860">
        <f>IF(AND(L860&lt;&gt;"",LEFT(L860,1)="N",M860&lt;&gt;"PICKING",M860&lt;&gt;""),1,0)</f>
        <v/>
      </c>
      <c r="O860">
        <f>IF(N860=1,M860&amp;"|"&amp;L860,REPT("z",40))</f>
        <v/>
      </c>
      <c r="P860">
        <f>IF(N860=1,COUNTIF($O$4:$O$2003,"&lt;"&amp;O860)+1,"")</f>
        <v/>
      </c>
      <c r="Q860">
        <f>IF(OR($R859="",$R859="T"),"",IF($R859="B",$Q859,IF($Q859+1&gt;$K$3,"",$Q859+1)))</f>
        <v/>
      </c>
      <c r="R860">
        <f>IF(OR($R859="",$R859="T"),"",IF($R859="B","S",IF($Q859+1&gt;$K$3,"T",IF(INDEX($M$4:$M$2003,MATCH($Q859+1,$P$4:$P$2003,0))&lt;&gt;INDEX($M$4:$M$2003,MATCH($Q859,$P$4:$P$2003,0)),"B","S"))))</f>
        <v/>
      </c>
      <c r="S860">
        <f>IF(Q860="","",IFERROR(MATCH(Q860,$P$4:$P$2003,0),""))</f>
        <v/>
      </c>
    </row>
    <row r="861">
      <c r="A861" s="4">
        <f>IF($R861="","",IF($R861="T","Gesamtergebnis",IF($R861="B",INDEX($M$4:$M$2003,$S861),INDEX($L$4:$L$2003,$S861))))</f>
        <v/>
      </c>
      <c r="B861" s="4">
        <f>IF($R861="","",IF($R861="T",$K$3,IF($R861="B",COUNTIFS($M$4:$M$2003,INDEX($M$4:$M$2003,$S861),$N$4:$N$2003,1),1)))</f>
        <v/>
      </c>
      <c r="L861">
        <f>IF($K$1="","",IFERROR(INDEX(Lines!$A:$AA,ROW()-2,$K$1),""))</f>
        <v/>
      </c>
      <c r="M861">
        <f>IF($K$2="","",IFERROR(INDEX(Lines!$A:$AA,ROW()-2,$K$2),""))</f>
        <v/>
      </c>
      <c r="N861">
        <f>IF(AND(L861&lt;&gt;"",LEFT(L861,1)="N",M861&lt;&gt;"PICKING",M861&lt;&gt;""),1,0)</f>
        <v/>
      </c>
      <c r="O861">
        <f>IF(N861=1,M861&amp;"|"&amp;L861,REPT("z",40))</f>
        <v/>
      </c>
      <c r="P861">
        <f>IF(N861=1,COUNTIF($O$4:$O$2003,"&lt;"&amp;O861)+1,"")</f>
        <v/>
      </c>
      <c r="Q861">
        <f>IF(OR($R860="",$R860="T"),"",IF($R860="B",$Q860,IF($Q860+1&gt;$K$3,"",$Q860+1)))</f>
        <v/>
      </c>
      <c r="R861">
        <f>IF(OR($R860="",$R860="T"),"",IF($R860="B","S",IF($Q860+1&gt;$K$3,"T",IF(INDEX($M$4:$M$2003,MATCH($Q860+1,$P$4:$P$2003,0))&lt;&gt;INDEX($M$4:$M$2003,MATCH($Q860,$P$4:$P$2003,0)),"B","S"))))</f>
        <v/>
      </c>
      <c r="S861">
        <f>IF(Q861="","",IFERROR(MATCH(Q861,$P$4:$P$2003,0),""))</f>
        <v/>
      </c>
    </row>
    <row r="862">
      <c r="A862" s="4">
        <f>IF($R862="","",IF($R862="T","Gesamtergebnis",IF($R862="B",INDEX($M$4:$M$2003,$S862),INDEX($L$4:$L$2003,$S862))))</f>
        <v/>
      </c>
      <c r="B862" s="4">
        <f>IF($R862="","",IF($R862="T",$K$3,IF($R862="B",COUNTIFS($M$4:$M$2003,INDEX($M$4:$M$2003,$S862),$N$4:$N$2003,1),1)))</f>
        <v/>
      </c>
      <c r="L862">
        <f>IF($K$1="","",IFERROR(INDEX(Lines!$A:$AA,ROW()-2,$K$1),""))</f>
        <v/>
      </c>
      <c r="M862">
        <f>IF($K$2="","",IFERROR(INDEX(Lines!$A:$AA,ROW()-2,$K$2),""))</f>
        <v/>
      </c>
      <c r="N862">
        <f>IF(AND(L862&lt;&gt;"",LEFT(L862,1)="N",M862&lt;&gt;"PICKING",M862&lt;&gt;""),1,0)</f>
        <v/>
      </c>
      <c r="O862">
        <f>IF(N862=1,M862&amp;"|"&amp;L862,REPT("z",40))</f>
        <v/>
      </c>
      <c r="P862">
        <f>IF(N862=1,COUNTIF($O$4:$O$2003,"&lt;"&amp;O862)+1,"")</f>
        <v/>
      </c>
      <c r="Q862">
        <f>IF(OR($R861="",$R861="T"),"",IF($R861="B",$Q861,IF($Q861+1&gt;$K$3,"",$Q861+1)))</f>
        <v/>
      </c>
      <c r="R862">
        <f>IF(OR($R861="",$R861="T"),"",IF($R861="B","S",IF($Q861+1&gt;$K$3,"T",IF(INDEX($M$4:$M$2003,MATCH($Q861+1,$P$4:$P$2003,0))&lt;&gt;INDEX($M$4:$M$2003,MATCH($Q861,$P$4:$P$2003,0)),"B","S"))))</f>
        <v/>
      </c>
      <c r="S862">
        <f>IF(Q862="","",IFERROR(MATCH(Q862,$P$4:$P$2003,0),""))</f>
        <v/>
      </c>
    </row>
    <row r="863">
      <c r="A863" s="4">
        <f>IF($R863="","",IF($R863="T","Gesamtergebnis",IF($R863="B",INDEX($M$4:$M$2003,$S863),INDEX($L$4:$L$2003,$S863))))</f>
        <v/>
      </c>
      <c r="B863" s="4">
        <f>IF($R863="","",IF($R863="T",$K$3,IF($R863="B",COUNTIFS($M$4:$M$2003,INDEX($M$4:$M$2003,$S863),$N$4:$N$2003,1),1)))</f>
        <v/>
      </c>
      <c r="L863">
        <f>IF($K$1="","",IFERROR(INDEX(Lines!$A:$AA,ROW()-2,$K$1),""))</f>
        <v/>
      </c>
      <c r="M863">
        <f>IF($K$2="","",IFERROR(INDEX(Lines!$A:$AA,ROW()-2,$K$2),""))</f>
        <v/>
      </c>
      <c r="N863">
        <f>IF(AND(L863&lt;&gt;"",LEFT(L863,1)="N",M863&lt;&gt;"PICKING",M863&lt;&gt;""),1,0)</f>
        <v/>
      </c>
      <c r="O863">
        <f>IF(N863=1,M863&amp;"|"&amp;L863,REPT("z",40))</f>
        <v/>
      </c>
      <c r="P863">
        <f>IF(N863=1,COUNTIF($O$4:$O$2003,"&lt;"&amp;O863)+1,"")</f>
        <v/>
      </c>
      <c r="Q863">
        <f>IF(OR($R862="",$R862="T"),"",IF($R862="B",$Q862,IF($Q862+1&gt;$K$3,"",$Q862+1)))</f>
        <v/>
      </c>
      <c r="R863">
        <f>IF(OR($R862="",$R862="T"),"",IF($R862="B","S",IF($Q862+1&gt;$K$3,"T",IF(INDEX($M$4:$M$2003,MATCH($Q862+1,$P$4:$P$2003,0))&lt;&gt;INDEX($M$4:$M$2003,MATCH($Q862,$P$4:$P$2003,0)),"B","S"))))</f>
        <v/>
      </c>
      <c r="S863">
        <f>IF(Q863="","",IFERROR(MATCH(Q863,$P$4:$P$2003,0),""))</f>
        <v/>
      </c>
    </row>
    <row r="864">
      <c r="A864" s="4">
        <f>IF($R864="","",IF($R864="T","Gesamtergebnis",IF($R864="B",INDEX($M$4:$M$2003,$S864),INDEX($L$4:$L$2003,$S864))))</f>
        <v/>
      </c>
      <c r="B864" s="4">
        <f>IF($R864="","",IF($R864="T",$K$3,IF($R864="B",COUNTIFS($M$4:$M$2003,INDEX($M$4:$M$2003,$S864),$N$4:$N$2003,1),1)))</f>
        <v/>
      </c>
      <c r="L864">
        <f>IF($K$1="","",IFERROR(INDEX(Lines!$A:$AA,ROW()-2,$K$1),""))</f>
        <v/>
      </c>
      <c r="M864">
        <f>IF($K$2="","",IFERROR(INDEX(Lines!$A:$AA,ROW()-2,$K$2),""))</f>
        <v/>
      </c>
      <c r="N864">
        <f>IF(AND(L864&lt;&gt;"",LEFT(L864,1)="N",M864&lt;&gt;"PICKING",M864&lt;&gt;""),1,0)</f>
        <v/>
      </c>
      <c r="O864">
        <f>IF(N864=1,M864&amp;"|"&amp;L864,REPT("z",40))</f>
        <v/>
      </c>
      <c r="P864">
        <f>IF(N864=1,COUNTIF($O$4:$O$2003,"&lt;"&amp;O864)+1,"")</f>
        <v/>
      </c>
      <c r="Q864">
        <f>IF(OR($R863="",$R863="T"),"",IF($R863="B",$Q863,IF($Q863+1&gt;$K$3,"",$Q863+1)))</f>
        <v/>
      </c>
      <c r="R864">
        <f>IF(OR($R863="",$R863="T"),"",IF($R863="B","S",IF($Q863+1&gt;$K$3,"T",IF(INDEX($M$4:$M$2003,MATCH($Q863+1,$P$4:$P$2003,0))&lt;&gt;INDEX($M$4:$M$2003,MATCH($Q863,$P$4:$P$2003,0)),"B","S"))))</f>
        <v/>
      </c>
      <c r="S864">
        <f>IF(Q864="","",IFERROR(MATCH(Q864,$P$4:$P$2003,0),""))</f>
        <v/>
      </c>
    </row>
    <row r="865">
      <c r="A865" s="4">
        <f>IF($R865="","",IF($R865="T","Gesamtergebnis",IF($R865="B",INDEX($M$4:$M$2003,$S865),INDEX($L$4:$L$2003,$S865))))</f>
        <v/>
      </c>
      <c r="B865" s="4">
        <f>IF($R865="","",IF($R865="T",$K$3,IF($R865="B",COUNTIFS($M$4:$M$2003,INDEX($M$4:$M$2003,$S865),$N$4:$N$2003,1),1)))</f>
        <v/>
      </c>
      <c r="L865">
        <f>IF($K$1="","",IFERROR(INDEX(Lines!$A:$AA,ROW()-2,$K$1),""))</f>
        <v/>
      </c>
      <c r="M865">
        <f>IF($K$2="","",IFERROR(INDEX(Lines!$A:$AA,ROW()-2,$K$2),""))</f>
        <v/>
      </c>
      <c r="N865">
        <f>IF(AND(L865&lt;&gt;"",LEFT(L865,1)="N",M865&lt;&gt;"PICKING",M865&lt;&gt;""),1,0)</f>
        <v/>
      </c>
      <c r="O865">
        <f>IF(N865=1,M865&amp;"|"&amp;L865,REPT("z",40))</f>
        <v/>
      </c>
      <c r="P865">
        <f>IF(N865=1,COUNTIF($O$4:$O$2003,"&lt;"&amp;O865)+1,"")</f>
        <v/>
      </c>
      <c r="Q865">
        <f>IF(OR($R864="",$R864="T"),"",IF($R864="B",$Q864,IF($Q864+1&gt;$K$3,"",$Q864+1)))</f>
        <v/>
      </c>
      <c r="R865">
        <f>IF(OR($R864="",$R864="T"),"",IF($R864="B","S",IF($Q864+1&gt;$K$3,"T",IF(INDEX($M$4:$M$2003,MATCH($Q864+1,$P$4:$P$2003,0))&lt;&gt;INDEX($M$4:$M$2003,MATCH($Q864,$P$4:$P$2003,0)),"B","S"))))</f>
        <v/>
      </c>
      <c r="S865">
        <f>IF(Q865="","",IFERROR(MATCH(Q865,$P$4:$P$2003,0),""))</f>
        <v/>
      </c>
    </row>
    <row r="866">
      <c r="A866" s="4">
        <f>IF($R866="","",IF($R866="T","Gesamtergebnis",IF($R866="B",INDEX($M$4:$M$2003,$S866),INDEX($L$4:$L$2003,$S866))))</f>
        <v/>
      </c>
      <c r="B866" s="4">
        <f>IF($R866="","",IF($R866="T",$K$3,IF($R866="B",COUNTIFS($M$4:$M$2003,INDEX($M$4:$M$2003,$S866),$N$4:$N$2003,1),1)))</f>
        <v/>
      </c>
      <c r="L866">
        <f>IF($K$1="","",IFERROR(INDEX(Lines!$A:$AA,ROW()-2,$K$1),""))</f>
        <v/>
      </c>
      <c r="M866">
        <f>IF($K$2="","",IFERROR(INDEX(Lines!$A:$AA,ROW()-2,$K$2),""))</f>
        <v/>
      </c>
      <c r="N866">
        <f>IF(AND(L866&lt;&gt;"",LEFT(L866,1)="N",M866&lt;&gt;"PICKING",M866&lt;&gt;""),1,0)</f>
        <v/>
      </c>
      <c r="O866">
        <f>IF(N866=1,M866&amp;"|"&amp;L866,REPT("z",40))</f>
        <v/>
      </c>
      <c r="P866">
        <f>IF(N866=1,COUNTIF($O$4:$O$2003,"&lt;"&amp;O866)+1,"")</f>
        <v/>
      </c>
      <c r="Q866">
        <f>IF(OR($R865="",$R865="T"),"",IF($R865="B",$Q865,IF($Q865+1&gt;$K$3,"",$Q865+1)))</f>
        <v/>
      </c>
      <c r="R866">
        <f>IF(OR($R865="",$R865="T"),"",IF($R865="B","S",IF($Q865+1&gt;$K$3,"T",IF(INDEX($M$4:$M$2003,MATCH($Q865+1,$P$4:$P$2003,0))&lt;&gt;INDEX($M$4:$M$2003,MATCH($Q865,$P$4:$P$2003,0)),"B","S"))))</f>
        <v/>
      </c>
      <c r="S866">
        <f>IF(Q866="","",IFERROR(MATCH(Q866,$P$4:$P$2003,0),""))</f>
        <v/>
      </c>
    </row>
    <row r="867">
      <c r="A867" s="4">
        <f>IF($R867="","",IF($R867="T","Gesamtergebnis",IF($R867="B",INDEX($M$4:$M$2003,$S867),INDEX($L$4:$L$2003,$S867))))</f>
        <v/>
      </c>
      <c r="B867" s="4">
        <f>IF($R867="","",IF($R867="T",$K$3,IF($R867="B",COUNTIFS($M$4:$M$2003,INDEX($M$4:$M$2003,$S867),$N$4:$N$2003,1),1)))</f>
        <v/>
      </c>
      <c r="L867">
        <f>IF($K$1="","",IFERROR(INDEX(Lines!$A:$AA,ROW()-2,$K$1),""))</f>
        <v/>
      </c>
      <c r="M867">
        <f>IF($K$2="","",IFERROR(INDEX(Lines!$A:$AA,ROW()-2,$K$2),""))</f>
        <v/>
      </c>
      <c r="N867">
        <f>IF(AND(L867&lt;&gt;"",LEFT(L867,1)="N",M867&lt;&gt;"PICKING",M867&lt;&gt;""),1,0)</f>
        <v/>
      </c>
      <c r="O867">
        <f>IF(N867=1,M867&amp;"|"&amp;L867,REPT("z",40))</f>
        <v/>
      </c>
      <c r="P867">
        <f>IF(N867=1,COUNTIF($O$4:$O$2003,"&lt;"&amp;O867)+1,"")</f>
        <v/>
      </c>
      <c r="Q867">
        <f>IF(OR($R866="",$R866="T"),"",IF($R866="B",$Q866,IF($Q866+1&gt;$K$3,"",$Q866+1)))</f>
        <v/>
      </c>
      <c r="R867">
        <f>IF(OR($R866="",$R866="T"),"",IF($R866="B","S",IF($Q866+1&gt;$K$3,"T",IF(INDEX($M$4:$M$2003,MATCH($Q866+1,$P$4:$P$2003,0))&lt;&gt;INDEX($M$4:$M$2003,MATCH($Q866,$P$4:$P$2003,0)),"B","S"))))</f>
        <v/>
      </c>
      <c r="S867">
        <f>IF(Q867="","",IFERROR(MATCH(Q867,$P$4:$P$2003,0),""))</f>
        <v/>
      </c>
    </row>
    <row r="868">
      <c r="A868" s="4">
        <f>IF($R868="","",IF($R868="T","Gesamtergebnis",IF($R868="B",INDEX($M$4:$M$2003,$S868),INDEX($L$4:$L$2003,$S868))))</f>
        <v/>
      </c>
      <c r="B868" s="4">
        <f>IF($R868="","",IF($R868="T",$K$3,IF($R868="B",COUNTIFS($M$4:$M$2003,INDEX($M$4:$M$2003,$S868),$N$4:$N$2003,1),1)))</f>
        <v/>
      </c>
      <c r="L868">
        <f>IF($K$1="","",IFERROR(INDEX(Lines!$A:$AA,ROW()-2,$K$1),""))</f>
        <v/>
      </c>
      <c r="M868">
        <f>IF($K$2="","",IFERROR(INDEX(Lines!$A:$AA,ROW()-2,$K$2),""))</f>
        <v/>
      </c>
      <c r="N868">
        <f>IF(AND(L868&lt;&gt;"",LEFT(L868,1)="N",M868&lt;&gt;"PICKING",M868&lt;&gt;""),1,0)</f>
        <v/>
      </c>
      <c r="O868">
        <f>IF(N868=1,M868&amp;"|"&amp;L868,REPT("z",40))</f>
        <v/>
      </c>
      <c r="P868">
        <f>IF(N868=1,COUNTIF($O$4:$O$2003,"&lt;"&amp;O868)+1,"")</f>
        <v/>
      </c>
      <c r="Q868">
        <f>IF(OR($R867="",$R867="T"),"",IF($R867="B",$Q867,IF($Q867+1&gt;$K$3,"",$Q867+1)))</f>
        <v/>
      </c>
      <c r="R868">
        <f>IF(OR($R867="",$R867="T"),"",IF($R867="B","S",IF($Q867+1&gt;$K$3,"T",IF(INDEX($M$4:$M$2003,MATCH($Q867+1,$P$4:$P$2003,0))&lt;&gt;INDEX($M$4:$M$2003,MATCH($Q867,$P$4:$P$2003,0)),"B","S"))))</f>
        <v/>
      </c>
      <c r="S868">
        <f>IF(Q868="","",IFERROR(MATCH(Q868,$P$4:$P$2003,0),""))</f>
        <v/>
      </c>
    </row>
    <row r="869">
      <c r="A869" s="4">
        <f>IF($R869="","",IF($R869="T","Gesamtergebnis",IF($R869="B",INDEX($M$4:$M$2003,$S869),INDEX($L$4:$L$2003,$S869))))</f>
        <v/>
      </c>
      <c r="B869" s="4">
        <f>IF($R869="","",IF($R869="T",$K$3,IF($R869="B",COUNTIFS($M$4:$M$2003,INDEX($M$4:$M$2003,$S869),$N$4:$N$2003,1),1)))</f>
        <v/>
      </c>
      <c r="L869">
        <f>IF($K$1="","",IFERROR(INDEX(Lines!$A:$AA,ROW()-2,$K$1),""))</f>
        <v/>
      </c>
      <c r="M869">
        <f>IF($K$2="","",IFERROR(INDEX(Lines!$A:$AA,ROW()-2,$K$2),""))</f>
        <v/>
      </c>
      <c r="N869">
        <f>IF(AND(L869&lt;&gt;"",LEFT(L869,1)="N",M869&lt;&gt;"PICKING",M869&lt;&gt;""),1,0)</f>
        <v/>
      </c>
      <c r="O869">
        <f>IF(N869=1,M869&amp;"|"&amp;L869,REPT("z",40))</f>
        <v/>
      </c>
      <c r="P869">
        <f>IF(N869=1,COUNTIF($O$4:$O$2003,"&lt;"&amp;O869)+1,"")</f>
        <v/>
      </c>
      <c r="Q869">
        <f>IF(OR($R868="",$R868="T"),"",IF($R868="B",$Q868,IF($Q868+1&gt;$K$3,"",$Q868+1)))</f>
        <v/>
      </c>
      <c r="R869">
        <f>IF(OR($R868="",$R868="T"),"",IF($R868="B","S",IF($Q868+1&gt;$K$3,"T",IF(INDEX($M$4:$M$2003,MATCH($Q868+1,$P$4:$P$2003,0))&lt;&gt;INDEX($M$4:$M$2003,MATCH($Q868,$P$4:$P$2003,0)),"B","S"))))</f>
        <v/>
      </c>
      <c r="S869">
        <f>IF(Q869="","",IFERROR(MATCH(Q869,$P$4:$P$2003,0),""))</f>
        <v/>
      </c>
    </row>
    <row r="870">
      <c r="A870" s="4">
        <f>IF($R870="","",IF($R870="T","Gesamtergebnis",IF($R870="B",INDEX($M$4:$M$2003,$S870),INDEX($L$4:$L$2003,$S870))))</f>
        <v/>
      </c>
      <c r="B870" s="4">
        <f>IF($R870="","",IF($R870="T",$K$3,IF($R870="B",COUNTIFS($M$4:$M$2003,INDEX($M$4:$M$2003,$S870),$N$4:$N$2003,1),1)))</f>
        <v/>
      </c>
      <c r="L870">
        <f>IF($K$1="","",IFERROR(INDEX(Lines!$A:$AA,ROW()-2,$K$1),""))</f>
        <v/>
      </c>
      <c r="M870">
        <f>IF($K$2="","",IFERROR(INDEX(Lines!$A:$AA,ROW()-2,$K$2),""))</f>
        <v/>
      </c>
      <c r="N870">
        <f>IF(AND(L870&lt;&gt;"",LEFT(L870,1)="N",M870&lt;&gt;"PICKING",M870&lt;&gt;""),1,0)</f>
        <v/>
      </c>
      <c r="O870">
        <f>IF(N870=1,M870&amp;"|"&amp;L870,REPT("z",40))</f>
        <v/>
      </c>
      <c r="P870">
        <f>IF(N870=1,COUNTIF($O$4:$O$2003,"&lt;"&amp;O870)+1,"")</f>
        <v/>
      </c>
      <c r="Q870">
        <f>IF(OR($R869="",$R869="T"),"",IF($R869="B",$Q869,IF($Q869+1&gt;$K$3,"",$Q869+1)))</f>
        <v/>
      </c>
      <c r="R870">
        <f>IF(OR($R869="",$R869="T"),"",IF($R869="B","S",IF($Q869+1&gt;$K$3,"T",IF(INDEX($M$4:$M$2003,MATCH($Q869+1,$P$4:$P$2003,0))&lt;&gt;INDEX($M$4:$M$2003,MATCH($Q869,$P$4:$P$2003,0)),"B","S"))))</f>
        <v/>
      </c>
      <c r="S870">
        <f>IF(Q870="","",IFERROR(MATCH(Q870,$P$4:$P$2003,0),""))</f>
        <v/>
      </c>
    </row>
    <row r="871">
      <c r="A871" s="4">
        <f>IF($R871="","",IF($R871="T","Gesamtergebnis",IF($R871="B",INDEX($M$4:$M$2003,$S871),INDEX($L$4:$L$2003,$S871))))</f>
        <v/>
      </c>
      <c r="B871" s="4">
        <f>IF($R871="","",IF($R871="T",$K$3,IF($R871="B",COUNTIFS($M$4:$M$2003,INDEX($M$4:$M$2003,$S871),$N$4:$N$2003,1),1)))</f>
        <v/>
      </c>
      <c r="L871">
        <f>IF($K$1="","",IFERROR(INDEX(Lines!$A:$AA,ROW()-2,$K$1),""))</f>
        <v/>
      </c>
      <c r="M871">
        <f>IF($K$2="","",IFERROR(INDEX(Lines!$A:$AA,ROW()-2,$K$2),""))</f>
        <v/>
      </c>
      <c r="N871">
        <f>IF(AND(L871&lt;&gt;"",LEFT(L871,1)="N",M871&lt;&gt;"PICKING",M871&lt;&gt;""),1,0)</f>
        <v/>
      </c>
      <c r="O871">
        <f>IF(N871=1,M871&amp;"|"&amp;L871,REPT("z",40))</f>
        <v/>
      </c>
      <c r="P871">
        <f>IF(N871=1,COUNTIF($O$4:$O$2003,"&lt;"&amp;O871)+1,"")</f>
        <v/>
      </c>
      <c r="Q871">
        <f>IF(OR($R870="",$R870="T"),"",IF($R870="B",$Q870,IF($Q870+1&gt;$K$3,"",$Q870+1)))</f>
        <v/>
      </c>
      <c r="R871">
        <f>IF(OR($R870="",$R870="T"),"",IF($R870="B","S",IF($Q870+1&gt;$K$3,"T",IF(INDEX($M$4:$M$2003,MATCH($Q870+1,$P$4:$P$2003,0))&lt;&gt;INDEX($M$4:$M$2003,MATCH($Q870,$P$4:$P$2003,0)),"B","S"))))</f>
        <v/>
      </c>
      <c r="S871">
        <f>IF(Q871="","",IFERROR(MATCH(Q871,$P$4:$P$2003,0),""))</f>
        <v/>
      </c>
    </row>
    <row r="872">
      <c r="A872" s="4">
        <f>IF($R872="","",IF($R872="T","Gesamtergebnis",IF($R872="B",INDEX($M$4:$M$2003,$S872),INDEX($L$4:$L$2003,$S872))))</f>
        <v/>
      </c>
      <c r="B872" s="4">
        <f>IF($R872="","",IF($R872="T",$K$3,IF($R872="B",COUNTIFS($M$4:$M$2003,INDEX($M$4:$M$2003,$S872),$N$4:$N$2003,1),1)))</f>
        <v/>
      </c>
      <c r="L872">
        <f>IF($K$1="","",IFERROR(INDEX(Lines!$A:$AA,ROW()-2,$K$1),""))</f>
        <v/>
      </c>
      <c r="M872">
        <f>IF($K$2="","",IFERROR(INDEX(Lines!$A:$AA,ROW()-2,$K$2),""))</f>
        <v/>
      </c>
      <c r="N872">
        <f>IF(AND(L872&lt;&gt;"",LEFT(L872,1)="N",M872&lt;&gt;"PICKING",M872&lt;&gt;""),1,0)</f>
        <v/>
      </c>
      <c r="O872">
        <f>IF(N872=1,M872&amp;"|"&amp;L872,REPT("z",40))</f>
        <v/>
      </c>
      <c r="P872">
        <f>IF(N872=1,COUNTIF($O$4:$O$2003,"&lt;"&amp;O872)+1,"")</f>
        <v/>
      </c>
      <c r="Q872">
        <f>IF(OR($R871="",$R871="T"),"",IF($R871="B",$Q871,IF($Q871+1&gt;$K$3,"",$Q871+1)))</f>
        <v/>
      </c>
      <c r="R872">
        <f>IF(OR($R871="",$R871="T"),"",IF($R871="B","S",IF($Q871+1&gt;$K$3,"T",IF(INDEX($M$4:$M$2003,MATCH($Q871+1,$P$4:$P$2003,0))&lt;&gt;INDEX($M$4:$M$2003,MATCH($Q871,$P$4:$P$2003,0)),"B","S"))))</f>
        <v/>
      </c>
      <c r="S872">
        <f>IF(Q872="","",IFERROR(MATCH(Q872,$P$4:$P$2003,0),""))</f>
        <v/>
      </c>
    </row>
    <row r="873">
      <c r="A873" s="4">
        <f>IF($R873="","",IF($R873="T","Gesamtergebnis",IF($R873="B",INDEX($M$4:$M$2003,$S873),INDEX($L$4:$L$2003,$S873))))</f>
        <v/>
      </c>
      <c r="B873" s="4">
        <f>IF($R873="","",IF($R873="T",$K$3,IF($R873="B",COUNTIFS($M$4:$M$2003,INDEX($M$4:$M$2003,$S873),$N$4:$N$2003,1),1)))</f>
        <v/>
      </c>
      <c r="L873">
        <f>IF($K$1="","",IFERROR(INDEX(Lines!$A:$AA,ROW()-2,$K$1),""))</f>
        <v/>
      </c>
      <c r="M873">
        <f>IF($K$2="","",IFERROR(INDEX(Lines!$A:$AA,ROW()-2,$K$2),""))</f>
        <v/>
      </c>
      <c r="N873">
        <f>IF(AND(L873&lt;&gt;"",LEFT(L873,1)="N",M873&lt;&gt;"PICKING",M873&lt;&gt;""),1,0)</f>
        <v/>
      </c>
      <c r="O873">
        <f>IF(N873=1,M873&amp;"|"&amp;L873,REPT("z",40))</f>
        <v/>
      </c>
      <c r="P873">
        <f>IF(N873=1,COUNTIF($O$4:$O$2003,"&lt;"&amp;O873)+1,"")</f>
        <v/>
      </c>
      <c r="Q873">
        <f>IF(OR($R872="",$R872="T"),"",IF($R872="B",$Q872,IF($Q872+1&gt;$K$3,"",$Q872+1)))</f>
        <v/>
      </c>
      <c r="R873">
        <f>IF(OR($R872="",$R872="T"),"",IF($R872="B","S",IF($Q872+1&gt;$K$3,"T",IF(INDEX($M$4:$M$2003,MATCH($Q872+1,$P$4:$P$2003,0))&lt;&gt;INDEX($M$4:$M$2003,MATCH($Q872,$P$4:$P$2003,0)),"B","S"))))</f>
        <v/>
      </c>
      <c r="S873">
        <f>IF(Q873="","",IFERROR(MATCH(Q873,$P$4:$P$2003,0),""))</f>
        <v/>
      </c>
    </row>
    <row r="874">
      <c r="A874" s="4">
        <f>IF($R874="","",IF($R874="T","Gesamtergebnis",IF($R874="B",INDEX($M$4:$M$2003,$S874),INDEX($L$4:$L$2003,$S874))))</f>
        <v/>
      </c>
      <c r="B874" s="4">
        <f>IF($R874="","",IF($R874="T",$K$3,IF($R874="B",COUNTIFS($M$4:$M$2003,INDEX($M$4:$M$2003,$S874),$N$4:$N$2003,1),1)))</f>
        <v/>
      </c>
      <c r="L874">
        <f>IF($K$1="","",IFERROR(INDEX(Lines!$A:$AA,ROW()-2,$K$1),""))</f>
        <v/>
      </c>
      <c r="M874">
        <f>IF($K$2="","",IFERROR(INDEX(Lines!$A:$AA,ROW()-2,$K$2),""))</f>
        <v/>
      </c>
      <c r="N874">
        <f>IF(AND(L874&lt;&gt;"",LEFT(L874,1)="N",M874&lt;&gt;"PICKING",M874&lt;&gt;""),1,0)</f>
        <v/>
      </c>
      <c r="O874">
        <f>IF(N874=1,M874&amp;"|"&amp;L874,REPT("z",40))</f>
        <v/>
      </c>
      <c r="P874">
        <f>IF(N874=1,COUNTIF($O$4:$O$2003,"&lt;"&amp;O874)+1,"")</f>
        <v/>
      </c>
      <c r="Q874">
        <f>IF(OR($R873="",$R873="T"),"",IF($R873="B",$Q873,IF($Q873+1&gt;$K$3,"",$Q873+1)))</f>
        <v/>
      </c>
      <c r="R874">
        <f>IF(OR($R873="",$R873="T"),"",IF($R873="B","S",IF($Q873+1&gt;$K$3,"T",IF(INDEX($M$4:$M$2003,MATCH($Q873+1,$P$4:$P$2003,0))&lt;&gt;INDEX($M$4:$M$2003,MATCH($Q873,$P$4:$P$2003,0)),"B","S"))))</f>
        <v/>
      </c>
      <c r="S874">
        <f>IF(Q874="","",IFERROR(MATCH(Q874,$P$4:$P$2003,0),""))</f>
        <v/>
      </c>
    </row>
    <row r="875">
      <c r="A875" s="4">
        <f>IF($R875="","",IF($R875="T","Gesamtergebnis",IF($R875="B",INDEX($M$4:$M$2003,$S875),INDEX($L$4:$L$2003,$S875))))</f>
        <v/>
      </c>
      <c r="B875" s="4">
        <f>IF($R875="","",IF($R875="T",$K$3,IF($R875="B",COUNTIFS($M$4:$M$2003,INDEX($M$4:$M$2003,$S875),$N$4:$N$2003,1),1)))</f>
        <v/>
      </c>
      <c r="L875">
        <f>IF($K$1="","",IFERROR(INDEX(Lines!$A:$AA,ROW()-2,$K$1),""))</f>
        <v/>
      </c>
      <c r="M875">
        <f>IF($K$2="","",IFERROR(INDEX(Lines!$A:$AA,ROW()-2,$K$2),""))</f>
        <v/>
      </c>
      <c r="N875">
        <f>IF(AND(L875&lt;&gt;"",LEFT(L875,1)="N",M875&lt;&gt;"PICKING",M875&lt;&gt;""),1,0)</f>
        <v/>
      </c>
      <c r="O875">
        <f>IF(N875=1,M875&amp;"|"&amp;L875,REPT("z",40))</f>
        <v/>
      </c>
      <c r="P875">
        <f>IF(N875=1,COUNTIF($O$4:$O$2003,"&lt;"&amp;O875)+1,"")</f>
        <v/>
      </c>
      <c r="Q875">
        <f>IF(OR($R874="",$R874="T"),"",IF($R874="B",$Q874,IF($Q874+1&gt;$K$3,"",$Q874+1)))</f>
        <v/>
      </c>
      <c r="R875">
        <f>IF(OR($R874="",$R874="T"),"",IF($R874="B","S",IF($Q874+1&gt;$K$3,"T",IF(INDEX($M$4:$M$2003,MATCH($Q874+1,$P$4:$P$2003,0))&lt;&gt;INDEX($M$4:$M$2003,MATCH($Q874,$P$4:$P$2003,0)),"B","S"))))</f>
        <v/>
      </c>
      <c r="S875">
        <f>IF(Q875="","",IFERROR(MATCH(Q875,$P$4:$P$2003,0),""))</f>
        <v/>
      </c>
    </row>
    <row r="876">
      <c r="A876" s="4">
        <f>IF($R876="","",IF($R876="T","Gesamtergebnis",IF($R876="B",INDEX($M$4:$M$2003,$S876),INDEX($L$4:$L$2003,$S876))))</f>
        <v/>
      </c>
      <c r="B876" s="4">
        <f>IF($R876="","",IF($R876="T",$K$3,IF($R876="B",COUNTIFS($M$4:$M$2003,INDEX($M$4:$M$2003,$S876),$N$4:$N$2003,1),1)))</f>
        <v/>
      </c>
      <c r="L876">
        <f>IF($K$1="","",IFERROR(INDEX(Lines!$A:$AA,ROW()-2,$K$1),""))</f>
        <v/>
      </c>
      <c r="M876">
        <f>IF($K$2="","",IFERROR(INDEX(Lines!$A:$AA,ROW()-2,$K$2),""))</f>
        <v/>
      </c>
      <c r="N876">
        <f>IF(AND(L876&lt;&gt;"",LEFT(L876,1)="N",M876&lt;&gt;"PICKING",M876&lt;&gt;""),1,0)</f>
        <v/>
      </c>
      <c r="O876">
        <f>IF(N876=1,M876&amp;"|"&amp;L876,REPT("z",40))</f>
        <v/>
      </c>
      <c r="P876">
        <f>IF(N876=1,COUNTIF($O$4:$O$2003,"&lt;"&amp;O876)+1,"")</f>
        <v/>
      </c>
      <c r="Q876">
        <f>IF(OR($R875="",$R875="T"),"",IF($R875="B",$Q875,IF($Q875+1&gt;$K$3,"",$Q875+1)))</f>
        <v/>
      </c>
      <c r="R876">
        <f>IF(OR($R875="",$R875="T"),"",IF($R875="B","S",IF($Q875+1&gt;$K$3,"T",IF(INDEX($M$4:$M$2003,MATCH($Q875+1,$P$4:$P$2003,0))&lt;&gt;INDEX($M$4:$M$2003,MATCH($Q875,$P$4:$P$2003,0)),"B","S"))))</f>
        <v/>
      </c>
      <c r="S876">
        <f>IF(Q876="","",IFERROR(MATCH(Q876,$P$4:$P$2003,0),""))</f>
        <v/>
      </c>
    </row>
    <row r="877">
      <c r="A877" s="4">
        <f>IF($R877="","",IF($R877="T","Gesamtergebnis",IF($R877="B",INDEX($M$4:$M$2003,$S877),INDEX($L$4:$L$2003,$S877))))</f>
        <v/>
      </c>
      <c r="B877" s="4">
        <f>IF($R877="","",IF($R877="T",$K$3,IF($R877="B",COUNTIFS($M$4:$M$2003,INDEX($M$4:$M$2003,$S877),$N$4:$N$2003,1),1)))</f>
        <v/>
      </c>
      <c r="L877">
        <f>IF($K$1="","",IFERROR(INDEX(Lines!$A:$AA,ROW()-2,$K$1),""))</f>
        <v/>
      </c>
      <c r="M877">
        <f>IF($K$2="","",IFERROR(INDEX(Lines!$A:$AA,ROW()-2,$K$2),""))</f>
        <v/>
      </c>
      <c r="N877">
        <f>IF(AND(L877&lt;&gt;"",LEFT(L877,1)="N",M877&lt;&gt;"PICKING",M877&lt;&gt;""),1,0)</f>
        <v/>
      </c>
      <c r="O877">
        <f>IF(N877=1,M877&amp;"|"&amp;L877,REPT("z",40))</f>
        <v/>
      </c>
      <c r="P877">
        <f>IF(N877=1,COUNTIF($O$4:$O$2003,"&lt;"&amp;O877)+1,"")</f>
        <v/>
      </c>
      <c r="Q877">
        <f>IF(OR($R876="",$R876="T"),"",IF($R876="B",$Q876,IF($Q876+1&gt;$K$3,"",$Q876+1)))</f>
        <v/>
      </c>
      <c r="R877">
        <f>IF(OR($R876="",$R876="T"),"",IF($R876="B","S",IF($Q876+1&gt;$K$3,"T",IF(INDEX($M$4:$M$2003,MATCH($Q876+1,$P$4:$P$2003,0))&lt;&gt;INDEX($M$4:$M$2003,MATCH($Q876,$P$4:$P$2003,0)),"B","S"))))</f>
        <v/>
      </c>
      <c r="S877">
        <f>IF(Q877="","",IFERROR(MATCH(Q877,$P$4:$P$2003,0),""))</f>
        <v/>
      </c>
    </row>
    <row r="878">
      <c r="A878" s="4">
        <f>IF($R878="","",IF($R878="T","Gesamtergebnis",IF($R878="B",INDEX($M$4:$M$2003,$S878),INDEX($L$4:$L$2003,$S878))))</f>
        <v/>
      </c>
      <c r="B878" s="4">
        <f>IF($R878="","",IF($R878="T",$K$3,IF($R878="B",COUNTIFS($M$4:$M$2003,INDEX($M$4:$M$2003,$S878),$N$4:$N$2003,1),1)))</f>
        <v/>
      </c>
      <c r="L878">
        <f>IF($K$1="","",IFERROR(INDEX(Lines!$A:$AA,ROW()-2,$K$1),""))</f>
        <v/>
      </c>
      <c r="M878">
        <f>IF($K$2="","",IFERROR(INDEX(Lines!$A:$AA,ROW()-2,$K$2),""))</f>
        <v/>
      </c>
      <c r="N878">
        <f>IF(AND(L878&lt;&gt;"",LEFT(L878,1)="N",M878&lt;&gt;"PICKING",M878&lt;&gt;""),1,0)</f>
        <v/>
      </c>
      <c r="O878">
        <f>IF(N878=1,M878&amp;"|"&amp;L878,REPT("z",40))</f>
        <v/>
      </c>
      <c r="P878">
        <f>IF(N878=1,COUNTIF($O$4:$O$2003,"&lt;"&amp;O878)+1,"")</f>
        <v/>
      </c>
      <c r="Q878">
        <f>IF(OR($R877="",$R877="T"),"",IF($R877="B",$Q877,IF($Q877+1&gt;$K$3,"",$Q877+1)))</f>
        <v/>
      </c>
      <c r="R878">
        <f>IF(OR($R877="",$R877="T"),"",IF($R877="B","S",IF($Q877+1&gt;$K$3,"T",IF(INDEX($M$4:$M$2003,MATCH($Q877+1,$P$4:$P$2003,0))&lt;&gt;INDEX($M$4:$M$2003,MATCH($Q877,$P$4:$P$2003,0)),"B","S"))))</f>
        <v/>
      </c>
      <c r="S878">
        <f>IF(Q878="","",IFERROR(MATCH(Q878,$P$4:$P$2003,0),""))</f>
        <v/>
      </c>
    </row>
    <row r="879">
      <c r="A879" s="4">
        <f>IF($R879="","",IF($R879="T","Gesamtergebnis",IF($R879="B",INDEX($M$4:$M$2003,$S879),INDEX($L$4:$L$2003,$S879))))</f>
        <v/>
      </c>
      <c r="B879" s="4">
        <f>IF($R879="","",IF($R879="T",$K$3,IF($R879="B",COUNTIFS($M$4:$M$2003,INDEX($M$4:$M$2003,$S879),$N$4:$N$2003,1),1)))</f>
        <v/>
      </c>
      <c r="L879">
        <f>IF($K$1="","",IFERROR(INDEX(Lines!$A:$AA,ROW()-2,$K$1),""))</f>
        <v/>
      </c>
      <c r="M879">
        <f>IF($K$2="","",IFERROR(INDEX(Lines!$A:$AA,ROW()-2,$K$2),""))</f>
        <v/>
      </c>
      <c r="N879">
        <f>IF(AND(L879&lt;&gt;"",LEFT(L879,1)="N",M879&lt;&gt;"PICKING",M879&lt;&gt;""),1,0)</f>
        <v/>
      </c>
      <c r="O879">
        <f>IF(N879=1,M879&amp;"|"&amp;L879,REPT("z",40))</f>
        <v/>
      </c>
      <c r="P879">
        <f>IF(N879=1,COUNTIF($O$4:$O$2003,"&lt;"&amp;O879)+1,"")</f>
        <v/>
      </c>
      <c r="Q879">
        <f>IF(OR($R878="",$R878="T"),"",IF($R878="B",$Q878,IF($Q878+1&gt;$K$3,"",$Q878+1)))</f>
        <v/>
      </c>
      <c r="R879">
        <f>IF(OR($R878="",$R878="T"),"",IF($R878="B","S",IF($Q878+1&gt;$K$3,"T",IF(INDEX($M$4:$M$2003,MATCH($Q878+1,$P$4:$P$2003,0))&lt;&gt;INDEX($M$4:$M$2003,MATCH($Q878,$P$4:$P$2003,0)),"B","S"))))</f>
        <v/>
      </c>
      <c r="S879">
        <f>IF(Q879="","",IFERROR(MATCH(Q879,$P$4:$P$2003,0),""))</f>
        <v/>
      </c>
    </row>
    <row r="880">
      <c r="A880" s="4">
        <f>IF($R880="","",IF($R880="T","Gesamtergebnis",IF($R880="B",INDEX($M$4:$M$2003,$S880),INDEX($L$4:$L$2003,$S880))))</f>
        <v/>
      </c>
      <c r="B880" s="4">
        <f>IF($R880="","",IF($R880="T",$K$3,IF($R880="B",COUNTIFS($M$4:$M$2003,INDEX($M$4:$M$2003,$S880),$N$4:$N$2003,1),1)))</f>
        <v/>
      </c>
      <c r="L880">
        <f>IF($K$1="","",IFERROR(INDEX(Lines!$A:$AA,ROW()-2,$K$1),""))</f>
        <v/>
      </c>
      <c r="M880">
        <f>IF($K$2="","",IFERROR(INDEX(Lines!$A:$AA,ROW()-2,$K$2),""))</f>
        <v/>
      </c>
      <c r="N880">
        <f>IF(AND(L880&lt;&gt;"",LEFT(L880,1)="N",M880&lt;&gt;"PICKING",M880&lt;&gt;""),1,0)</f>
        <v/>
      </c>
      <c r="O880">
        <f>IF(N880=1,M880&amp;"|"&amp;L880,REPT("z",40))</f>
        <v/>
      </c>
      <c r="P880">
        <f>IF(N880=1,COUNTIF($O$4:$O$2003,"&lt;"&amp;O880)+1,"")</f>
        <v/>
      </c>
      <c r="Q880">
        <f>IF(OR($R879="",$R879="T"),"",IF($R879="B",$Q879,IF($Q879+1&gt;$K$3,"",$Q879+1)))</f>
        <v/>
      </c>
      <c r="R880">
        <f>IF(OR($R879="",$R879="T"),"",IF($R879="B","S",IF($Q879+1&gt;$K$3,"T",IF(INDEX($M$4:$M$2003,MATCH($Q879+1,$P$4:$P$2003,0))&lt;&gt;INDEX($M$4:$M$2003,MATCH($Q879,$P$4:$P$2003,0)),"B","S"))))</f>
        <v/>
      </c>
      <c r="S880">
        <f>IF(Q880="","",IFERROR(MATCH(Q880,$P$4:$P$2003,0),""))</f>
        <v/>
      </c>
    </row>
    <row r="881">
      <c r="A881" s="4">
        <f>IF($R881="","",IF($R881="T","Gesamtergebnis",IF($R881="B",INDEX($M$4:$M$2003,$S881),INDEX($L$4:$L$2003,$S881))))</f>
        <v/>
      </c>
      <c r="B881" s="4">
        <f>IF($R881="","",IF($R881="T",$K$3,IF($R881="B",COUNTIFS($M$4:$M$2003,INDEX($M$4:$M$2003,$S881),$N$4:$N$2003,1),1)))</f>
        <v/>
      </c>
      <c r="L881">
        <f>IF($K$1="","",IFERROR(INDEX(Lines!$A:$AA,ROW()-2,$K$1),""))</f>
        <v/>
      </c>
      <c r="M881">
        <f>IF($K$2="","",IFERROR(INDEX(Lines!$A:$AA,ROW()-2,$K$2),""))</f>
        <v/>
      </c>
      <c r="N881">
        <f>IF(AND(L881&lt;&gt;"",LEFT(L881,1)="N",M881&lt;&gt;"PICKING",M881&lt;&gt;""),1,0)</f>
        <v/>
      </c>
      <c r="O881">
        <f>IF(N881=1,M881&amp;"|"&amp;L881,REPT("z",40))</f>
        <v/>
      </c>
      <c r="P881">
        <f>IF(N881=1,COUNTIF($O$4:$O$2003,"&lt;"&amp;O881)+1,"")</f>
        <v/>
      </c>
      <c r="Q881">
        <f>IF(OR($R880="",$R880="T"),"",IF($R880="B",$Q880,IF($Q880+1&gt;$K$3,"",$Q880+1)))</f>
        <v/>
      </c>
      <c r="R881">
        <f>IF(OR($R880="",$R880="T"),"",IF($R880="B","S",IF($Q880+1&gt;$K$3,"T",IF(INDEX($M$4:$M$2003,MATCH($Q880+1,$P$4:$P$2003,0))&lt;&gt;INDEX($M$4:$M$2003,MATCH($Q880,$P$4:$P$2003,0)),"B","S"))))</f>
        <v/>
      </c>
      <c r="S881">
        <f>IF(Q881="","",IFERROR(MATCH(Q881,$P$4:$P$2003,0),""))</f>
        <v/>
      </c>
    </row>
    <row r="882">
      <c r="A882" s="4">
        <f>IF($R882="","",IF($R882="T","Gesamtergebnis",IF($R882="B",INDEX($M$4:$M$2003,$S882),INDEX($L$4:$L$2003,$S882))))</f>
        <v/>
      </c>
      <c r="B882" s="4">
        <f>IF($R882="","",IF($R882="T",$K$3,IF($R882="B",COUNTIFS($M$4:$M$2003,INDEX($M$4:$M$2003,$S882),$N$4:$N$2003,1),1)))</f>
        <v/>
      </c>
      <c r="L882">
        <f>IF($K$1="","",IFERROR(INDEX(Lines!$A:$AA,ROW()-2,$K$1),""))</f>
        <v/>
      </c>
      <c r="M882">
        <f>IF($K$2="","",IFERROR(INDEX(Lines!$A:$AA,ROW()-2,$K$2),""))</f>
        <v/>
      </c>
      <c r="N882">
        <f>IF(AND(L882&lt;&gt;"",LEFT(L882,1)="N",M882&lt;&gt;"PICKING",M882&lt;&gt;""),1,0)</f>
        <v/>
      </c>
      <c r="O882">
        <f>IF(N882=1,M882&amp;"|"&amp;L882,REPT("z",40))</f>
        <v/>
      </c>
      <c r="P882">
        <f>IF(N882=1,COUNTIF($O$4:$O$2003,"&lt;"&amp;O882)+1,"")</f>
        <v/>
      </c>
      <c r="Q882">
        <f>IF(OR($R881="",$R881="T"),"",IF($R881="B",$Q881,IF($Q881+1&gt;$K$3,"",$Q881+1)))</f>
        <v/>
      </c>
      <c r="R882">
        <f>IF(OR($R881="",$R881="T"),"",IF($R881="B","S",IF($Q881+1&gt;$K$3,"T",IF(INDEX($M$4:$M$2003,MATCH($Q881+1,$P$4:$P$2003,0))&lt;&gt;INDEX($M$4:$M$2003,MATCH($Q881,$P$4:$P$2003,0)),"B","S"))))</f>
        <v/>
      </c>
      <c r="S882">
        <f>IF(Q882="","",IFERROR(MATCH(Q882,$P$4:$P$2003,0),""))</f>
        <v/>
      </c>
    </row>
    <row r="883">
      <c r="A883" s="4">
        <f>IF($R883="","",IF($R883="T","Gesamtergebnis",IF($R883="B",INDEX($M$4:$M$2003,$S883),INDEX($L$4:$L$2003,$S883))))</f>
        <v/>
      </c>
      <c r="B883" s="4">
        <f>IF($R883="","",IF($R883="T",$K$3,IF($R883="B",COUNTIFS($M$4:$M$2003,INDEX($M$4:$M$2003,$S883),$N$4:$N$2003,1),1)))</f>
        <v/>
      </c>
      <c r="L883">
        <f>IF($K$1="","",IFERROR(INDEX(Lines!$A:$AA,ROW()-2,$K$1),""))</f>
        <v/>
      </c>
      <c r="M883">
        <f>IF($K$2="","",IFERROR(INDEX(Lines!$A:$AA,ROW()-2,$K$2),""))</f>
        <v/>
      </c>
      <c r="N883">
        <f>IF(AND(L883&lt;&gt;"",LEFT(L883,1)="N",M883&lt;&gt;"PICKING",M883&lt;&gt;""),1,0)</f>
        <v/>
      </c>
      <c r="O883">
        <f>IF(N883=1,M883&amp;"|"&amp;L883,REPT("z",40))</f>
        <v/>
      </c>
      <c r="P883">
        <f>IF(N883=1,COUNTIF($O$4:$O$2003,"&lt;"&amp;O883)+1,"")</f>
        <v/>
      </c>
      <c r="Q883">
        <f>IF(OR($R882="",$R882="T"),"",IF($R882="B",$Q882,IF($Q882+1&gt;$K$3,"",$Q882+1)))</f>
        <v/>
      </c>
      <c r="R883">
        <f>IF(OR($R882="",$R882="T"),"",IF($R882="B","S",IF($Q882+1&gt;$K$3,"T",IF(INDEX($M$4:$M$2003,MATCH($Q882+1,$P$4:$P$2003,0))&lt;&gt;INDEX($M$4:$M$2003,MATCH($Q882,$P$4:$P$2003,0)),"B","S"))))</f>
        <v/>
      </c>
      <c r="S883">
        <f>IF(Q883="","",IFERROR(MATCH(Q883,$P$4:$P$2003,0),""))</f>
        <v/>
      </c>
    </row>
    <row r="884">
      <c r="A884" s="4">
        <f>IF($R884="","",IF($R884="T","Gesamtergebnis",IF($R884="B",INDEX($M$4:$M$2003,$S884),INDEX($L$4:$L$2003,$S884))))</f>
        <v/>
      </c>
      <c r="B884" s="4">
        <f>IF($R884="","",IF($R884="T",$K$3,IF($R884="B",COUNTIFS($M$4:$M$2003,INDEX($M$4:$M$2003,$S884),$N$4:$N$2003,1),1)))</f>
        <v/>
      </c>
      <c r="L884">
        <f>IF($K$1="","",IFERROR(INDEX(Lines!$A:$AA,ROW()-2,$K$1),""))</f>
        <v/>
      </c>
      <c r="M884">
        <f>IF($K$2="","",IFERROR(INDEX(Lines!$A:$AA,ROW()-2,$K$2),""))</f>
        <v/>
      </c>
      <c r="N884">
        <f>IF(AND(L884&lt;&gt;"",LEFT(L884,1)="N",M884&lt;&gt;"PICKING",M884&lt;&gt;""),1,0)</f>
        <v/>
      </c>
      <c r="O884">
        <f>IF(N884=1,M884&amp;"|"&amp;L884,REPT("z",40))</f>
        <v/>
      </c>
      <c r="P884">
        <f>IF(N884=1,COUNTIF($O$4:$O$2003,"&lt;"&amp;O884)+1,"")</f>
        <v/>
      </c>
      <c r="Q884">
        <f>IF(OR($R883="",$R883="T"),"",IF($R883="B",$Q883,IF($Q883+1&gt;$K$3,"",$Q883+1)))</f>
        <v/>
      </c>
      <c r="R884">
        <f>IF(OR($R883="",$R883="T"),"",IF($R883="B","S",IF($Q883+1&gt;$K$3,"T",IF(INDEX($M$4:$M$2003,MATCH($Q883+1,$P$4:$P$2003,0))&lt;&gt;INDEX($M$4:$M$2003,MATCH($Q883,$P$4:$P$2003,0)),"B","S"))))</f>
        <v/>
      </c>
      <c r="S884">
        <f>IF(Q884="","",IFERROR(MATCH(Q884,$P$4:$P$2003,0),""))</f>
        <v/>
      </c>
    </row>
    <row r="885">
      <c r="A885" s="4">
        <f>IF($R885="","",IF($R885="T","Gesamtergebnis",IF($R885="B",INDEX($M$4:$M$2003,$S885),INDEX($L$4:$L$2003,$S885))))</f>
        <v/>
      </c>
      <c r="B885" s="4">
        <f>IF($R885="","",IF($R885="T",$K$3,IF($R885="B",COUNTIFS($M$4:$M$2003,INDEX($M$4:$M$2003,$S885),$N$4:$N$2003,1),1)))</f>
        <v/>
      </c>
      <c r="L885">
        <f>IF($K$1="","",IFERROR(INDEX(Lines!$A:$AA,ROW()-2,$K$1),""))</f>
        <v/>
      </c>
      <c r="M885">
        <f>IF($K$2="","",IFERROR(INDEX(Lines!$A:$AA,ROW()-2,$K$2),""))</f>
        <v/>
      </c>
      <c r="N885">
        <f>IF(AND(L885&lt;&gt;"",LEFT(L885,1)="N",M885&lt;&gt;"PICKING",M885&lt;&gt;""),1,0)</f>
        <v/>
      </c>
      <c r="O885">
        <f>IF(N885=1,M885&amp;"|"&amp;L885,REPT("z",40))</f>
        <v/>
      </c>
      <c r="P885">
        <f>IF(N885=1,COUNTIF($O$4:$O$2003,"&lt;"&amp;O885)+1,"")</f>
        <v/>
      </c>
      <c r="Q885">
        <f>IF(OR($R884="",$R884="T"),"",IF($R884="B",$Q884,IF($Q884+1&gt;$K$3,"",$Q884+1)))</f>
        <v/>
      </c>
      <c r="R885">
        <f>IF(OR($R884="",$R884="T"),"",IF($R884="B","S",IF($Q884+1&gt;$K$3,"T",IF(INDEX($M$4:$M$2003,MATCH($Q884+1,$P$4:$P$2003,0))&lt;&gt;INDEX($M$4:$M$2003,MATCH($Q884,$P$4:$P$2003,0)),"B","S"))))</f>
        <v/>
      </c>
      <c r="S885">
        <f>IF(Q885="","",IFERROR(MATCH(Q885,$P$4:$P$2003,0),""))</f>
        <v/>
      </c>
    </row>
    <row r="886">
      <c r="A886" s="4">
        <f>IF($R886="","",IF($R886="T","Gesamtergebnis",IF($R886="B",INDEX($M$4:$M$2003,$S886),INDEX($L$4:$L$2003,$S886))))</f>
        <v/>
      </c>
      <c r="B886" s="4">
        <f>IF($R886="","",IF($R886="T",$K$3,IF($R886="B",COUNTIFS($M$4:$M$2003,INDEX($M$4:$M$2003,$S886),$N$4:$N$2003,1),1)))</f>
        <v/>
      </c>
      <c r="L886">
        <f>IF($K$1="","",IFERROR(INDEX(Lines!$A:$AA,ROW()-2,$K$1),""))</f>
        <v/>
      </c>
      <c r="M886">
        <f>IF($K$2="","",IFERROR(INDEX(Lines!$A:$AA,ROW()-2,$K$2),""))</f>
        <v/>
      </c>
      <c r="N886">
        <f>IF(AND(L886&lt;&gt;"",LEFT(L886,1)="N",M886&lt;&gt;"PICKING",M886&lt;&gt;""),1,0)</f>
        <v/>
      </c>
      <c r="O886">
        <f>IF(N886=1,M886&amp;"|"&amp;L886,REPT("z",40))</f>
        <v/>
      </c>
      <c r="P886">
        <f>IF(N886=1,COUNTIF($O$4:$O$2003,"&lt;"&amp;O886)+1,"")</f>
        <v/>
      </c>
      <c r="Q886">
        <f>IF(OR($R885="",$R885="T"),"",IF($R885="B",$Q885,IF($Q885+1&gt;$K$3,"",$Q885+1)))</f>
        <v/>
      </c>
      <c r="R886">
        <f>IF(OR($R885="",$R885="T"),"",IF($R885="B","S",IF($Q885+1&gt;$K$3,"T",IF(INDEX($M$4:$M$2003,MATCH($Q885+1,$P$4:$P$2003,0))&lt;&gt;INDEX($M$4:$M$2003,MATCH($Q885,$P$4:$P$2003,0)),"B","S"))))</f>
        <v/>
      </c>
      <c r="S886">
        <f>IF(Q886="","",IFERROR(MATCH(Q886,$P$4:$P$2003,0),""))</f>
        <v/>
      </c>
    </row>
    <row r="887">
      <c r="A887" s="4">
        <f>IF($R887="","",IF($R887="T","Gesamtergebnis",IF($R887="B",INDEX($M$4:$M$2003,$S887),INDEX($L$4:$L$2003,$S887))))</f>
        <v/>
      </c>
      <c r="B887" s="4">
        <f>IF($R887="","",IF($R887="T",$K$3,IF($R887="B",COUNTIFS($M$4:$M$2003,INDEX($M$4:$M$2003,$S887),$N$4:$N$2003,1),1)))</f>
        <v/>
      </c>
      <c r="L887">
        <f>IF($K$1="","",IFERROR(INDEX(Lines!$A:$AA,ROW()-2,$K$1),""))</f>
        <v/>
      </c>
      <c r="M887">
        <f>IF($K$2="","",IFERROR(INDEX(Lines!$A:$AA,ROW()-2,$K$2),""))</f>
        <v/>
      </c>
      <c r="N887">
        <f>IF(AND(L887&lt;&gt;"",LEFT(L887,1)="N",M887&lt;&gt;"PICKING",M887&lt;&gt;""),1,0)</f>
        <v/>
      </c>
      <c r="O887">
        <f>IF(N887=1,M887&amp;"|"&amp;L887,REPT("z",40))</f>
        <v/>
      </c>
      <c r="P887">
        <f>IF(N887=1,COUNTIF($O$4:$O$2003,"&lt;"&amp;O887)+1,"")</f>
        <v/>
      </c>
      <c r="Q887">
        <f>IF(OR($R886="",$R886="T"),"",IF($R886="B",$Q886,IF($Q886+1&gt;$K$3,"",$Q886+1)))</f>
        <v/>
      </c>
      <c r="R887">
        <f>IF(OR($R886="",$R886="T"),"",IF($R886="B","S",IF($Q886+1&gt;$K$3,"T",IF(INDEX($M$4:$M$2003,MATCH($Q886+1,$P$4:$P$2003,0))&lt;&gt;INDEX($M$4:$M$2003,MATCH($Q886,$P$4:$P$2003,0)),"B","S"))))</f>
        <v/>
      </c>
      <c r="S887">
        <f>IF(Q887="","",IFERROR(MATCH(Q887,$P$4:$P$2003,0),""))</f>
        <v/>
      </c>
    </row>
    <row r="888">
      <c r="A888" s="4">
        <f>IF($R888="","",IF($R888="T","Gesamtergebnis",IF($R888="B",INDEX($M$4:$M$2003,$S888),INDEX($L$4:$L$2003,$S888))))</f>
        <v/>
      </c>
      <c r="B888" s="4">
        <f>IF($R888="","",IF($R888="T",$K$3,IF($R888="B",COUNTIFS($M$4:$M$2003,INDEX($M$4:$M$2003,$S888),$N$4:$N$2003,1),1)))</f>
        <v/>
      </c>
      <c r="L888">
        <f>IF($K$1="","",IFERROR(INDEX(Lines!$A:$AA,ROW()-2,$K$1),""))</f>
        <v/>
      </c>
      <c r="M888">
        <f>IF($K$2="","",IFERROR(INDEX(Lines!$A:$AA,ROW()-2,$K$2),""))</f>
        <v/>
      </c>
      <c r="N888">
        <f>IF(AND(L888&lt;&gt;"",LEFT(L888,1)="N",M888&lt;&gt;"PICKING",M888&lt;&gt;""),1,0)</f>
        <v/>
      </c>
      <c r="O888">
        <f>IF(N888=1,M888&amp;"|"&amp;L888,REPT("z",40))</f>
        <v/>
      </c>
      <c r="P888">
        <f>IF(N888=1,COUNTIF($O$4:$O$2003,"&lt;"&amp;O888)+1,"")</f>
        <v/>
      </c>
      <c r="Q888">
        <f>IF(OR($R887="",$R887="T"),"",IF($R887="B",$Q887,IF($Q887+1&gt;$K$3,"",$Q887+1)))</f>
        <v/>
      </c>
      <c r="R888">
        <f>IF(OR($R887="",$R887="T"),"",IF($R887="B","S",IF($Q887+1&gt;$K$3,"T",IF(INDEX($M$4:$M$2003,MATCH($Q887+1,$P$4:$P$2003,0))&lt;&gt;INDEX($M$4:$M$2003,MATCH($Q887,$P$4:$P$2003,0)),"B","S"))))</f>
        <v/>
      </c>
      <c r="S888">
        <f>IF(Q888="","",IFERROR(MATCH(Q888,$P$4:$P$2003,0),""))</f>
        <v/>
      </c>
    </row>
    <row r="889">
      <c r="A889" s="4">
        <f>IF($R889="","",IF($R889="T","Gesamtergebnis",IF($R889="B",INDEX($M$4:$M$2003,$S889),INDEX($L$4:$L$2003,$S889))))</f>
        <v/>
      </c>
      <c r="B889" s="4">
        <f>IF($R889="","",IF($R889="T",$K$3,IF($R889="B",COUNTIFS($M$4:$M$2003,INDEX($M$4:$M$2003,$S889),$N$4:$N$2003,1),1)))</f>
        <v/>
      </c>
      <c r="L889">
        <f>IF($K$1="","",IFERROR(INDEX(Lines!$A:$AA,ROW()-2,$K$1),""))</f>
        <v/>
      </c>
      <c r="M889">
        <f>IF($K$2="","",IFERROR(INDEX(Lines!$A:$AA,ROW()-2,$K$2),""))</f>
        <v/>
      </c>
      <c r="N889">
        <f>IF(AND(L889&lt;&gt;"",LEFT(L889,1)="N",M889&lt;&gt;"PICKING",M889&lt;&gt;""),1,0)</f>
        <v/>
      </c>
      <c r="O889">
        <f>IF(N889=1,M889&amp;"|"&amp;L889,REPT("z",40))</f>
        <v/>
      </c>
      <c r="P889">
        <f>IF(N889=1,COUNTIF($O$4:$O$2003,"&lt;"&amp;O889)+1,"")</f>
        <v/>
      </c>
      <c r="Q889">
        <f>IF(OR($R888="",$R888="T"),"",IF($R888="B",$Q888,IF($Q888+1&gt;$K$3,"",$Q888+1)))</f>
        <v/>
      </c>
      <c r="R889">
        <f>IF(OR($R888="",$R888="T"),"",IF($R888="B","S",IF($Q888+1&gt;$K$3,"T",IF(INDEX($M$4:$M$2003,MATCH($Q888+1,$P$4:$P$2003,0))&lt;&gt;INDEX($M$4:$M$2003,MATCH($Q888,$P$4:$P$2003,0)),"B","S"))))</f>
        <v/>
      </c>
      <c r="S889">
        <f>IF(Q889="","",IFERROR(MATCH(Q889,$P$4:$P$2003,0),""))</f>
        <v/>
      </c>
    </row>
    <row r="890">
      <c r="A890" s="4">
        <f>IF($R890="","",IF($R890="T","Gesamtergebnis",IF($R890="B",INDEX($M$4:$M$2003,$S890),INDEX($L$4:$L$2003,$S890))))</f>
        <v/>
      </c>
      <c r="B890" s="4">
        <f>IF($R890="","",IF($R890="T",$K$3,IF($R890="B",COUNTIFS($M$4:$M$2003,INDEX($M$4:$M$2003,$S890),$N$4:$N$2003,1),1)))</f>
        <v/>
      </c>
      <c r="L890">
        <f>IF($K$1="","",IFERROR(INDEX(Lines!$A:$AA,ROW()-2,$K$1),""))</f>
        <v/>
      </c>
      <c r="M890">
        <f>IF($K$2="","",IFERROR(INDEX(Lines!$A:$AA,ROW()-2,$K$2),""))</f>
        <v/>
      </c>
      <c r="N890">
        <f>IF(AND(L890&lt;&gt;"",LEFT(L890,1)="N",M890&lt;&gt;"PICKING",M890&lt;&gt;""),1,0)</f>
        <v/>
      </c>
      <c r="O890">
        <f>IF(N890=1,M890&amp;"|"&amp;L890,REPT("z",40))</f>
        <v/>
      </c>
      <c r="P890">
        <f>IF(N890=1,COUNTIF($O$4:$O$2003,"&lt;"&amp;O890)+1,"")</f>
        <v/>
      </c>
      <c r="Q890">
        <f>IF(OR($R889="",$R889="T"),"",IF($R889="B",$Q889,IF($Q889+1&gt;$K$3,"",$Q889+1)))</f>
        <v/>
      </c>
      <c r="R890">
        <f>IF(OR($R889="",$R889="T"),"",IF($R889="B","S",IF($Q889+1&gt;$K$3,"T",IF(INDEX($M$4:$M$2003,MATCH($Q889+1,$P$4:$P$2003,0))&lt;&gt;INDEX($M$4:$M$2003,MATCH($Q889,$P$4:$P$2003,0)),"B","S"))))</f>
        <v/>
      </c>
      <c r="S890">
        <f>IF(Q890="","",IFERROR(MATCH(Q890,$P$4:$P$2003,0),""))</f>
        <v/>
      </c>
    </row>
    <row r="891">
      <c r="A891" s="4">
        <f>IF($R891="","",IF($R891="T","Gesamtergebnis",IF($R891="B",INDEX($M$4:$M$2003,$S891),INDEX($L$4:$L$2003,$S891))))</f>
        <v/>
      </c>
      <c r="B891" s="4">
        <f>IF($R891="","",IF($R891="T",$K$3,IF($R891="B",COUNTIFS($M$4:$M$2003,INDEX($M$4:$M$2003,$S891),$N$4:$N$2003,1),1)))</f>
        <v/>
      </c>
      <c r="L891">
        <f>IF($K$1="","",IFERROR(INDEX(Lines!$A:$AA,ROW()-2,$K$1),""))</f>
        <v/>
      </c>
      <c r="M891">
        <f>IF($K$2="","",IFERROR(INDEX(Lines!$A:$AA,ROW()-2,$K$2),""))</f>
        <v/>
      </c>
      <c r="N891">
        <f>IF(AND(L891&lt;&gt;"",LEFT(L891,1)="N",M891&lt;&gt;"PICKING",M891&lt;&gt;""),1,0)</f>
        <v/>
      </c>
      <c r="O891">
        <f>IF(N891=1,M891&amp;"|"&amp;L891,REPT("z",40))</f>
        <v/>
      </c>
      <c r="P891">
        <f>IF(N891=1,COUNTIF($O$4:$O$2003,"&lt;"&amp;O891)+1,"")</f>
        <v/>
      </c>
      <c r="Q891">
        <f>IF(OR($R890="",$R890="T"),"",IF($R890="B",$Q890,IF($Q890+1&gt;$K$3,"",$Q890+1)))</f>
        <v/>
      </c>
      <c r="R891">
        <f>IF(OR($R890="",$R890="T"),"",IF($R890="B","S",IF($Q890+1&gt;$K$3,"T",IF(INDEX($M$4:$M$2003,MATCH($Q890+1,$P$4:$P$2003,0))&lt;&gt;INDEX($M$4:$M$2003,MATCH($Q890,$P$4:$P$2003,0)),"B","S"))))</f>
        <v/>
      </c>
      <c r="S891">
        <f>IF(Q891="","",IFERROR(MATCH(Q891,$P$4:$P$2003,0),""))</f>
        <v/>
      </c>
    </row>
    <row r="892">
      <c r="A892" s="4">
        <f>IF($R892="","",IF($R892="T","Gesamtergebnis",IF($R892="B",INDEX($M$4:$M$2003,$S892),INDEX($L$4:$L$2003,$S892))))</f>
        <v/>
      </c>
      <c r="B892" s="4">
        <f>IF($R892="","",IF($R892="T",$K$3,IF($R892="B",COUNTIFS($M$4:$M$2003,INDEX($M$4:$M$2003,$S892),$N$4:$N$2003,1),1)))</f>
        <v/>
      </c>
      <c r="L892">
        <f>IF($K$1="","",IFERROR(INDEX(Lines!$A:$AA,ROW()-2,$K$1),""))</f>
        <v/>
      </c>
      <c r="M892">
        <f>IF($K$2="","",IFERROR(INDEX(Lines!$A:$AA,ROW()-2,$K$2),""))</f>
        <v/>
      </c>
      <c r="N892">
        <f>IF(AND(L892&lt;&gt;"",LEFT(L892,1)="N",M892&lt;&gt;"PICKING",M892&lt;&gt;""),1,0)</f>
        <v/>
      </c>
      <c r="O892">
        <f>IF(N892=1,M892&amp;"|"&amp;L892,REPT("z",40))</f>
        <v/>
      </c>
      <c r="P892">
        <f>IF(N892=1,COUNTIF($O$4:$O$2003,"&lt;"&amp;O892)+1,"")</f>
        <v/>
      </c>
      <c r="Q892">
        <f>IF(OR($R891="",$R891="T"),"",IF($R891="B",$Q891,IF($Q891+1&gt;$K$3,"",$Q891+1)))</f>
        <v/>
      </c>
      <c r="R892">
        <f>IF(OR($R891="",$R891="T"),"",IF($R891="B","S",IF($Q891+1&gt;$K$3,"T",IF(INDEX($M$4:$M$2003,MATCH($Q891+1,$P$4:$P$2003,0))&lt;&gt;INDEX($M$4:$M$2003,MATCH($Q891,$P$4:$P$2003,0)),"B","S"))))</f>
        <v/>
      </c>
      <c r="S892">
        <f>IF(Q892="","",IFERROR(MATCH(Q892,$P$4:$P$2003,0),""))</f>
        <v/>
      </c>
    </row>
    <row r="893">
      <c r="A893" s="4">
        <f>IF($R893="","",IF($R893="T","Gesamtergebnis",IF($R893="B",INDEX($M$4:$M$2003,$S893),INDEX($L$4:$L$2003,$S893))))</f>
        <v/>
      </c>
      <c r="B893" s="4">
        <f>IF($R893="","",IF($R893="T",$K$3,IF($R893="B",COUNTIFS($M$4:$M$2003,INDEX($M$4:$M$2003,$S893),$N$4:$N$2003,1),1)))</f>
        <v/>
      </c>
      <c r="L893">
        <f>IF($K$1="","",IFERROR(INDEX(Lines!$A:$AA,ROW()-2,$K$1),""))</f>
        <v/>
      </c>
      <c r="M893">
        <f>IF($K$2="","",IFERROR(INDEX(Lines!$A:$AA,ROW()-2,$K$2),""))</f>
        <v/>
      </c>
      <c r="N893">
        <f>IF(AND(L893&lt;&gt;"",LEFT(L893,1)="N",M893&lt;&gt;"PICKING",M893&lt;&gt;""),1,0)</f>
        <v/>
      </c>
      <c r="O893">
        <f>IF(N893=1,M893&amp;"|"&amp;L893,REPT("z",40))</f>
        <v/>
      </c>
      <c r="P893">
        <f>IF(N893=1,COUNTIF($O$4:$O$2003,"&lt;"&amp;O893)+1,"")</f>
        <v/>
      </c>
      <c r="Q893">
        <f>IF(OR($R892="",$R892="T"),"",IF($R892="B",$Q892,IF($Q892+1&gt;$K$3,"",$Q892+1)))</f>
        <v/>
      </c>
      <c r="R893">
        <f>IF(OR($R892="",$R892="T"),"",IF($R892="B","S",IF($Q892+1&gt;$K$3,"T",IF(INDEX($M$4:$M$2003,MATCH($Q892+1,$P$4:$P$2003,0))&lt;&gt;INDEX($M$4:$M$2003,MATCH($Q892,$P$4:$P$2003,0)),"B","S"))))</f>
        <v/>
      </c>
      <c r="S893">
        <f>IF(Q893="","",IFERROR(MATCH(Q893,$P$4:$P$2003,0),""))</f>
        <v/>
      </c>
    </row>
    <row r="894">
      <c r="A894" s="4">
        <f>IF($R894="","",IF($R894="T","Gesamtergebnis",IF($R894="B",INDEX($M$4:$M$2003,$S894),INDEX($L$4:$L$2003,$S894))))</f>
        <v/>
      </c>
      <c r="B894" s="4">
        <f>IF($R894="","",IF($R894="T",$K$3,IF($R894="B",COUNTIFS($M$4:$M$2003,INDEX($M$4:$M$2003,$S894),$N$4:$N$2003,1),1)))</f>
        <v/>
      </c>
      <c r="L894">
        <f>IF($K$1="","",IFERROR(INDEX(Lines!$A:$AA,ROW()-2,$K$1),""))</f>
        <v/>
      </c>
      <c r="M894">
        <f>IF($K$2="","",IFERROR(INDEX(Lines!$A:$AA,ROW()-2,$K$2),""))</f>
        <v/>
      </c>
      <c r="N894">
        <f>IF(AND(L894&lt;&gt;"",LEFT(L894,1)="N",M894&lt;&gt;"PICKING",M894&lt;&gt;""),1,0)</f>
        <v/>
      </c>
      <c r="O894">
        <f>IF(N894=1,M894&amp;"|"&amp;L894,REPT("z",40))</f>
        <v/>
      </c>
      <c r="P894">
        <f>IF(N894=1,COUNTIF($O$4:$O$2003,"&lt;"&amp;O894)+1,"")</f>
        <v/>
      </c>
      <c r="Q894">
        <f>IF(OR($R893="",$R893="T"),"",IF($R893="B",$Q893,IF($Q893+1&gt;$K$3,"",$Q893+1)))</f>
        <v/>
      </c>
      <c r="R894">
        <f>IF(OR($R893="",$R893="T"),"",IF($R893="B","S",IF($Q893+1&gt;$K$3,"T",IF(INDEX($M$4:$M$2003,MATCH($Q893+1,$P$4:$P$2003,0))&lt;&gt;INDEX($M$4:$M$2003,MATCH($Q893,$P$4:$P$2003,0)),"B","S"))))</f>
        <v/>
      </c>
      <c r="S894">
        <f>IF(Q894="","",IFERROR(MATCH(Q894,$P$4:$P$2003,0),""))</f>
        <v/>
      </c>
    </row>
    <row r="895">
      <c r="A895" s="4">
        <f>IF($R895="","",IF($R895="T","Gesamtergebnis",IF($R895="B",INDEX($M$4:$M$2003,$S895),INDEX($L$4:$L$2003,$S895))))</f>
        <v/>
      </c>
      <c r="B895" s="4">
        <f>IF($R895="","",IF($R895="T",$K$3,IF($R895="B",COUNTIFS($M$4:$M$2003,INDEX($M$4:$M$2003,$S895),$N$4:$N$2003,1),1)))</f>
        <v/>
      </c>
      <c r="L895">
        <f>IF($K$1="","",IFERROR(INDEX(Lines!$A:$AA,ROW()-2,$K$1),""))</f>
        <v/>
      </c>
      <c r="M895">
        <f>IF($K$2="","",IFERROR(INDEX(Lines!$A:$AA,ROW()-2,$K$2),""))</f>
        <v/>
      </c>
      <c r="N895">
        <f>IF(AND(L895&lt;&gt;"",LEFT(L895,1)="N",M895&lt;&gt;"PICKING",M895&lt;&gt;""),1,0)</f>
        <v/>
      </c>
      <c r="O895">
        <f>IF(N895=1,M895&amp;"|"&amp;L895,REPT("z",40))</f>
        <v/>
      </c>
      <c r="P895">
        <f>IF(N895=1,COUNTIF($O$4:$O$2003,"&lt;"&amp;O895)+1,"")</f>
        <v/>
      </c>
      <c r="Q895">
        <f>IF(OR($R894="",$R894="T"),"",IF($R894="B",$Q894,IF($Q894+1&gt;$K$3,"",$Q894+1)))</f>
        <v/>
      </c>
      <c r="R895">
        <f>IF(OR($R894="",$R894="T"),"",IF($R894="B","S",IF($Q894+1&gt;$K$3,"T",IF(INDEX($M$4:$M$2003,MATCH($Q894+1,$P$4:$P$2003,0))&lt;&gt;INDEX($M$4:$M$2003,MATCH($Q894,$P$4:$P$2003,0)),"B","S"))))</f>
        <v/>
      </c>
      <c r="S895">
        <f>IF(Q895="","",IFERROR(MATCH(Q895,$P$4:$P$2003,0),""))</f>
        <v/>
      </c>
    </row>
    <row r="896">
      <c r="A896" s="4">
        <f>IF($R896="","",IF($R896="T","Gesamtergebnis",IF($R896="B",INDEX($M$4:$M$2003,$S896),INDEX($L$4:$L$2003,$S896))))</f>
        <v/>
      </c>
      <c r="B896" s="4">
        <f>IF($R896="","",IF($R896="T",$K$3,IF($R896="B",COUNTIFS($M$4:$M$2003,INDEX($M$4:$M$2003,$S896),$N$4:$N$2003,1),1)))</f>
        <v/>
      </c>
      <c r="L896">
        <f>IF($K$1="","",IFERROR(INDEX(Lines!$A:$AA,ROW()-2,$K$1),""))</f>
        <v/>
      </c>
      <c r="M896">
        <f>IF($K$2="","",IFERROR(INDEX(Lines!$A:$AA,ROW()-2,$K$2),""))</f>
        <v/>
      </c>
      <c r="N896">
        <f>IF(AND(L896&lt;&gt;"",LEFT(L896,1)="N",M896&lt;&gt;"PICKING",M896&lt;&gt;""),1,0)</f>
        <v/>
      </c>
      <c r="O896">
        <f>IF(N896=1,M896&amp;"|"&amp;L896,REPT("z",40))</f>
        <v/>
      </c>
      <c r="P896">
        <f>IF(N896=1,COUNTIF($O$4:$O$2003,"&lt;"&amp;O896)+1,"")</f>
        <v/>
      </c>
      <c r="Q896">
        <f>IF(OR($R895="",$R895="T"),"",IF($R895="B",$Q895,IF($Q895+1&gt;$K$3,"",$Q895+1)))</f>
        <v/>
      </c>
      <c r="R896">
        <f>IF(OR($R895="",$R895="T"),"",IF($R895="B","S",IF($Q895+1&gt;$K$3,"T",IF(INDEX($M$4:$M$2003,MATCH($Q895+1,$P$4:$P$2003,0))&lt;&gt;INDEX($M$4:$M$2003,MATCH($Q895,$P$4:$P$2003,0)),"B","S"))))</f>
        <v/>
      </c>
      <c r="S896">
        <f>IF(Q896="","",IFERROR(MATCH(Q896,$P$4:$P$2003,0),""))</f>
        <v/>
      </c>
    </row>
    <row r="897">
      <c r="A897" s="4">
        <f>IF($R897="","",IF($R897="T","Gesamtergebnis",IF($R897="B",INDEX($M$4:$M$2003,$S897),INDEX($L$4:$L$2003,$S897))))</f>
        <v/>
      </c>
      <c r="B897" s="4">
        <f>IF($R897="","",IF($R897="T",$K$3,IF($R897="B",COUNTIFS($M$4:$M$2003,INDEX($M$4:$M$2003,$S897),$N$4:$N$2003,1),1)))</f>
        <v/>
      </c>
      <c r="L897">
        <f>IF($K$1="","",IFERROR(INDEX(Lines!$A:$AA,ROW()-2,$K$1),""))</f>
        <v/>
      </c>
      <c r="M897">
        <f>IF($K$2="","",IFERROR(INDEX(Lines!$A:$AA,ROW()-2,$K$2),""))</f>
        <v/>
      </c>
      <c r="N897">
        <f>IF(AND(L897&lt;&gt;"",LEFT(L897,1)="N",M897&lt;&gt;"PICKING",M897&lt;&gt;""),1,0)</f>
        <v/>
      </c>
      <c r="O897">
        <f>IF(N897=1,M897&amp;"|"&amp;L897,REPT("z",40))</f>
        <v/>
      </c>
      <c r="P897">
        <f>IF(N897=1,COUNTIF($O$4:$O$2003,"&lt;"&amp;O897)+1,"")</f>
        <v/>
      </c>
      <c r="Q897">
        <f>IF(OR($R896="",$R896="T"),"",IF($R896="B",$Q896,IF($Q896+1&gt;$K$3,"",$Q896+1)))</f>
        <v/>
      </c>
      <c r="R897">
        <f>IF(OR($R896="",$R896="T"),"",IF($R896="B","S",IF($Q896+1&gt;$K$3,"T",IF(INDEX($M$4:$M$2003,MATCH($Q896+1,$P$4:$P$2003,0))&lt;&gt;INDEX($M$4:$M$2003,MATCH($Q896,$P$4:$P$2003,0)),"B","S"))))</f>
        <v/>
      </c>
      <c r="S897">
        <f>IF(Q897="","",IFERROR(MATCH(Q897,$P$4:$P$2003,0),""))</f>
        <v/>
      </c>
    </row>
    <row r="898">
      <c r="A898" s="4">
        <f>IF($R898="","",IF($R898="T","Gesamtergebnis",IF($R898="B",INDEX($M$4:$M$2003,$S898),INDEX($L$4:$L$2003,$S898))))</f>
        <v/>
      </c>
      <c r="B898" s="4">
        <f>IF($R898="","",IF($R898="T",$K$3,IF($R898="B",COUNTIFS($M$4:$M$2003,INDEX($M$4:$M$2003,$S898),$N$4:$N$2003,1),1)))</f>
        <v/>
      </c>
      <c r="L898">
        <f>IF($K$1="","",IFERROR(INDEX(Lines!$A:$AA,ROW()-2,$K$1),""))</f>
        <v/>
      </c>
      <c r="M898">
        <f>IF($K$2="","",IFERROR(INDEX(Lines!$A:$AA,ROW()-2,$K$2),""))</f>
        <v/>
      </c>
      <c r="N898">
        <f>IF(AND(L898&lt;&gt;"",LEFT(L898,1)="N",M898&lt;&gt;"PICKING",M898&lt;&gt;""),1,0)</f>
        <v/>
      </c>
      <c r="O898">
        <f>IF(N898=1,M898&amp;"|"&amp;L898,REPT("z",40))</f>
        <v/>
      </c>
      <c r="P898">
        <f>IF(N898=1,COUNTIF($O$4:$O$2003,"&lt;"&amp;O898)+1,"")</f>
        <v/>
      </c>
      <c r="Q898">
        <f>IF(OR($R897="",$R897="T"),"",IF($R897="B",$Q897,IF($Q897+1&gt;$K$3,"",$Q897+1)))</f>
        <v/>
      </c>
      <c r="R898">
        <f>IF(OR($R897="",$R897="T"),"",IF($R897="B","S",IF($Q897+1&gt;$K$3,"T",IF(INDEX($M$4:$M$2003,MATCH($Q897+1,$P$4:$P$2003,0))&lt;&gt;INDEX($M$4:$M$2003,MATCH($Q897,$P$4:$P$2003,0)),"B","S"))))</f>
        <v/>
      </c>
      <c r="S898">
        <f>IF(Q898="","",IFERROR(MATCH(Q898,$P$4:$P$2003,0),""))</f>
        <v/>
      </c>
    </row>
    <row r="899">
      <c r="A899" s="4">
        <f>IF($R899="","",IF($R899="T","Gesamtergebnis",IF($R899="B",INDEX($M$4:$M$2003,$S899),INDEX($L$4:$L$2003,$S899))))</f>
        <v/>
      </c>
      <c r="B899" s="4">
        <f>IF($R899="","",IF($R899="T",$K$3,IF($R899="B",COUNTIFS($M$4:$M$2003,INDEX($M$4:$M$2003,$S899),$N$4:$N$2003,1),1)))</f>
        <v/>
      </c>
      <c r="L899">
        <f>IF($K$1="","",IFERROR(INDEX(Lines!$A:$AA,ROW()-2,$K$1),""))</f>
        <v/>
      </c>
      <c r="M899">
        <f>IF($K$2="","",IFERROR(INDEX(Lines!$A:$AA,ROW()-2,$K$2),""))</f>
        <v/>
      </c>
      <c r="N899">
        <f>IF(AND(L899&lt;&gt;"",LEFT(L899,1)="N",M899&lt;&gt;"PICKING",M899&lt;&gt;""),1,0)</f>
        <v/>
      </c>
      <c r="O899">
        <f>IF(N899=1,M899&amp;"|"&amp;L899,REPT("z",40))</f>
        <v/>
      </c>
      <c r="P899">
        <f>IF(N899=1,COUNTIF($O$4:$O$2003,"&lt;"&amp;O899)+1,"")</f>
        <v/>
      </c>
      <c r="Q899">
        <f>IF(OR($R898="",$R898="T"),"",IF($R898="B",$Q898,IF($Q898+1&gt;$K$3,"",$Q898+1)))</f>
        <v/>
      </c>
      <c r="R899">
        <f>IF(OR($R898="",$R898="T"),"",IF($R898="B","S",IF($Q898+1&gt;$K$3,"T",IF(INDEX($M$4:$M$2003,MATCH($Q898+1,$P$4:$P$2003,0))&lt;&gt;INDEX($M$4:$M$2003,MATCH($Q898,$P$4:$P$2003,0)),"B","S"))))</f>
        <v/>
      </c>
      <c r="S899">
        <f>IF(Q899="","",IFERROR(MATCH(Q899,$P$4:$P$2003,0),""))</f>
        <v/>
      </c>
    </row>
    <row r="900">
      <c r="A900" s="4">
        <f>IF($R900="","",IF($R900="T","Gesamtergebnis",IF($R900="B",INDEX($M$4:$M$2003,$S900),INDEX($L$4:$L$2003,$S900))))</f>
        <v/>
      </c>
      <c r="B900" s="4">
        <f>IF($R900="","",IF($R900="T",$K$3,IF($R900="B",COUNTIFS($M$4:$M$2003,INDEX($M$4:$M$2003,$S900),$N$4:$N$2003,1),1)))</f>
        <v/>
      </c>
      <c r="L900">
        <f>IF($K$1="","",IFERROR(INDEX(Lines!$A:$AA,ROW()-2,$K$1),""))</f>
        <v/>
      </c>
      <c r="M900">
        <f>IF($K$2="","",IFERROR(INDEX(Lines!$A:$AA,ROW()-2,$K$2),""))</f>
        <v/>
      </c>
      <c r="N900">
        <f>IF(AND(L900&lt;&gt;"",LEFT(L900,1)="N",M900&lt;&gt;"PICKING",M900&lt;&gt;""),1,0)</f>
        <v/>
      </c>
      <c r="O900">
        <f>IF(N900=1,M900&amp;"|"&amp;L900,REPT("z",40))</f>
        <v/>
      </c>
      <c r="P900">
        <f>IF(N900=1,COUNTIF($O$4:$O$2003,"&lt;"&amp;O900)+1,"")</f>
        <v/>
      </c>
      <c r="Q900">
        <f>IF(OR($R899="",$R899="T"),"",IF($R899="B",$Q899,IF($Q899+1&gt;$K$3,"",$Q899+1)))</f>
        <v/>
      </c>
      <c r="R900">
        <f>IF(OR($R899="",$R899="T"),"",IF($R899="B","S",IF($Q899+1&gt;$K$3,"T",IF(INDEX($M$4:$M$2003,MATCH($Q899+1,$P$4:$P$2003,0))&lt;&gt;INDEX($M$4:$M$2003,MATCH($Q899,$P$4:$P$2003,0)),"B","S"))))</f>
        <v/>
      </c>
      <c r="S900">
        <f>IF(Q900="","",IFERROR(MATCH(Q900,$P$4:$P$2003,0),""))</f>
        <v/>
      </c>
    </row>
    <row r="901">
      <c r="A901" s="4">
        <f>IF($R901="","",IF($R901="T","Gesamtergebnis",IF($R901="B",INDEX($M$4:$M$2003,$S901),INDEX($L$4:$L$2003,$S901))))</f>
        <v/>
      </c>
      <c r="B901" s="4">
        <f>IF($R901="","",IF($R901="T",$K$3,IF($R901="B",COUNTIFS($M$4:$M$2003,INDEX($M$4:$M$2003,$S901),$N$4:$N$2003,1),1)))</f>
        <v/>
      </c>
      <c r="L901">
        <f>IF($K$1="","",IFERROR(INDEX(Lines!$A:$AA,ROW()-2,$K$1),""))</f>
        <v/>
      </c>
      <c r="M901">
        <f>IF($K$2="","",IFERROR(INDEX(Lines!$A:$AA,ROW()-2,$K$2),""))</f>
        <v/>
      </c>
      <c r="N901">
        <f>IF(AND(L901&lt;&gt;"",LEFT(L901,1)="N",M901&lt;&gt;"PICKING",M901&lt;&gt;""),1,0)</f>
        <v/>
      </c>
      <c r="O901">
        <f>IF(N901=1,M901&amp;"|"&amp;L901,REPT("z",40))</f>
        <v/>
      </c>
      <c r="P901">
        <f>IF(N901=1,COUNTIF($O$4:$O$2003,"&lt;"&amp;O901)+1,"")</f>
        <v/>
      </c>
      <c r="Q901">
        <f>IF(OR($R900="",$R900="T"),"",IF($R900="B",$Q900,IF($Q900+1&gt;$K$3,"",$Q900+1)))</f>
        <v/>
      </c>
      <c r="R901">
        <f>IF(OR($R900="",$R900="T"),"",IF($R900="B","S",IF($Q900+1&gt;$K$3,"T",IF(INDEX($M$4:$M$2003,MATCH($Q900+1,$P$4:$P$2003,0))&lt;&gt;INDEX($M$4:$M$2003,MATCH($Q900,$P$4:$P$2003,0)),"B","S"))))</f>
        <v/>
      </c>
      <c r="S901">
        <f>IF(Q901="","",IFERROR(MATCH(Q901,$P$4:$P$2003,0),""))</f>
        <v/>
      </c>
    </row>
    <row r="902">
      <c r="A902" s="4">
        <f>IF($R902="","",IF($R902="T","Gesamtergebnis",IF($R902="B",INDEX($M$4:$M$2003,$S902),INDEX($L$4:$L$2003,$S902))))</f>
        <v/>
      </c>
      <c r="B902" s="4">
        <f>IF($R902="","",IF($R902="T",$K$3,IF($R902="B",COUNTIFS($M$4:$M$2003,INDEX($M$4:$M$2003,$S902),$N$4:$N$2003,1),1)))</f>
        <v/>
      </c>
      <c r="L902">
        <f>IF($K$1="","",IFERROR(INDEX(Lines!$A:$AA,ROW()-2,$K$1),""))</f>
        <v/>
      </c>
      <c r="M902">
        <f>IF($K$2="","",IFERROR(INDEX(Lines!$A:$AA,ROW()-2,$K$2),""))</f>
        <v/>
      </c>
      <c r="N902">
        <f>IF(AND(L902&lt;&gt;"",LEFT(L902,1)="N",M902&lt;&gt;"PICKING",M902&lt;&gt;""),1,0)</f>
        <v/>
      </c>
      <c r="O902">
        <f>IF(N902=1,M902&amp;"|"&amp;L902,REPT("z",40))</f>
        <v/>
      </c>
      <c r="P902">
        <f>IF(N902=1,COUNTIF($O$4:$O$2003,"&lt;"&amp;O902)+1,"")</f>
        <v/>
      </c>
      <c r="Q902">
        <f>IF(OR($R901="",$R901="T"),"",IF($R901="B",$Q901,IF($Q901+1&gt;$K$3,"",$Q901+1)))</f>
        <v/>
      </c>
      <c r="R902">
        <f>IF(OR($R901="",$R901="T"),"",IF($R901="B","S",IF($Q901+1&gt;$K$3,"T",IF(INDEX($M$4:$M$2003,MATCH($Q901+1,$P$4:$P$2003,0))&lt;&gt;INDEX($M$4:$M$2003,MATCH($Q901,$P$4:$P$2003,0)),"B","S"))))</f>
        <v/>
      </c>
      <c r="S902">
        <f>IF(Q902="","",IFERROR(MATCH(Q902,$P$4:$P$2003,0),""))</f>
        <v/>
      </c>
    </row>
    <row r="903">
      <c r="A903" s="4">
        <f>IF($R903="","",IF($R903="T","Gesamtergebnis",IF($R903="B",INDEX($M$4:$M$2003,$S903),INDEX($L$4:$L$2003,$S903))))</f>
        <v/>
      </c>
      <c r="B903" s="4">
        <f>IF($R903="","",IF($R903="T",$K$3,IF($R903="B",COUNTIFS($M$4:$M$2003,INDEX($M$4:$M$2003,$S903),$N$4:$N$2003,1),1)))</f>
        <v/>
      </c>
      <c r="L903">
        <f>IF($K$1="","",IFERROR(INDEX(Lines!$A:$AA,ROW()-2,$K$1),""))</f>
        <v/>
      </c>
      <c r="M903">
        <f>IF($K$2="","",IFERROR(INDEX(Lines!$A:$AA,ROW()-2,$K$2),""))</f>
        <v/>
      </c>
      <c r="N903">
        <f>IF(AND(L903&lt;&gt;"",LEFT(L903,1)="N",M903&lt;&gt;"PICKING",M903&lt;&gt;""),1,0)</f>
        <v/>
      </c>
      <c r="O903">
        <f>IF(N903=1,M903&amp;"|"&amp;L903,REPT("z",40))</f>
        <v/>
      </c>
      <c r="P903">
        <f>IF(N903=1,COUNTIF($O$4:$O$2003,"&lt;"&amp;O903)+1,"")</f>
        <v/>
      </c>
      <c r="Q903">
        <f>IF(OR($R902="",$R902="T"),"",IF($R902="B",$Q902,IF($Q902+1&gt;$K$3,"",$Q902+1)))</f>
        <v/>
      </c>
      <c r="R903">
        <f>IF(OR($R902="",$R902="T"),"",IF($R902="B","S",IF($Q902+1&gt;$K$3,"T",IF(INDEX($M$4:$M$2003,MATCH($Q902+1,$P$4:$P$2003,0))&lt;&gt;INDEX($M$4:$M$2003,MATCH($Q902,$P$4:$P$2003,0)),"B","S"))))</f>
        <v/>
      </c>
      <c r="S903">
        <f>IF(Q903="","",IFERROR(MATCH(Q903,$P$4:$P$2003,0),""))</f>
        <v/>
      </c>
    </row>
    <row r="904">
      <c r="A904" s="4">
        <f>IF($R904="","",IF($R904="T","Gesamtergebnis",IF($R904="B",INDEX($M$4:$M$2003,$S904),INDEX($L$4:$L$2003,$S904))))</f>
        <v/>
      </c>
      <c r="B904" s="4">
        <f>IF($R904="","",IF($R904="T",$K$3,IF($R904="B",COUNTIFS($M$4:$M$2003,INDEX($M$4:$M$2003,$S904),$N$4:$N$2003,1),1)))</f>
        <v/>
      </c>
      <c r="L904">
        <f>IF($K$1="","",IFERROR(INDEX(Lines!$A:$AA,ROW()-2,$K$1),""))</f>
        <v/>
      </c>
      <c r="M904">
        <f>IF($K$2="","",IFERROR(INDEX(Lines!$A:$AA,ROW()-2,$K$2),""))</f>
        <v/>
      </c>
      <c r="N904">
        <f>IF(AND(L904&lt;&gt;"",LEFT(L904,1)="N",M904&lt;&gt;"PICKING",M904&lt;&gt;""),1,0)</f>
        <v/>
      </c>
      <c r="O904">
        <f>IF(N904=1,M904&amp;"|"&amp;L904,REPT("z",40))</f>
        <v/>
      </c>
      <c r="P904">
        <f>IF(N904=1,COUNTIF($O$4:$O$2003,"&lt;"&amp;O904)+1,"")</f>
        <v/>
      </c>
      <c r="Q904">
        <f>IF(OR($R903="",$R903="T"),"",IF($R903="B",$Q903,IF($Q903+1&gt;$K$3,"",$Q903+1)))</f>
        <v/>
      </c>
      <c r="R904">
        <f>IF(OR($R903="",$R903="T"),"",IF($R903="B","S",IF($Q903+1&gt;$K$3,"T",IF(INDEX($M$4:$M$2003,MATCH($Q903+1,$P$4:$P$2003,0))&lt;&gt;INDEX($M$4:$M$2003,MATCH($Q903,$P$4:$P$2003,0)),"B","S"))))</f>
        <v/>
      </c>
      <c r="S904">
        <f>IF(Q904="","",IFERROR(MATCH(Q904,$P$4:$P$2003,0),""))</f>
        <v/>
      </c>
    </row>
    <row r="905">
      <c r="A905" s="4">
        <f>IF($R905="","",IF($R905="T","Gesamtergebnis",IF($R905="B",INDEX($M$4:$M$2003,$S905),INDEX($L$4:$L$2003,$S905))))</f>
        <v/>
      </c>
      <c r="B905" s="4">
        <f>IF($R905="","",IF($R905="T",$K$3,IF($R905="B",COUNTIFS($M$4:$M$2003,INDEX($M$4:$M$2003,$S905),$N$4:$N$2003,1),1)))</f>
        <v/>
      </c>
      <c r="L905">
        <f>IF($K$1="","",IFERROR(INDEX(Lines!$A:$AA,ROW()-2,$K$1),""))</f>
        <v/>
      </c>
      <c r="M905">
        <f>IF($K$2="","",IFERROR(INDEX(Lines!$A:$AA,ROW()-2,$K$2),""))</f>
        <v/>
      </c>
      <c r="N905">
        <f>IF(AND(L905&lt;&gt;"",LEFT(L905,1)="N",M905&lt;&gt;"PICKING",M905&lt;&gt;""),1,0)</f>
        <v/>
      </c>
      <c r="O905">
        <f>IF(N905=1,M905&amp;"|"&amp;L905,REPT("z",40))</f>
        <v/>
      </c>
      <c r="P905">
        <f>IF(N905=1,COUNTIF($O$4:$O$2003,"&lt;"&amp;O905)+1,"")</f>
        <v/>
      </c>
      <c r="Q905">
        <f>IF(OR($R904="",$R904="T"),"",IF($R904="B",$Q904,IF($Q904+1&gt;$K$3,"",$Q904+1)))</f>
        <v/>
      </c>
      <c r="R905">
        <f>IF(OR($R904="",$R904="T"),"",IF($R904="B","S",IF($Q904+1&gt;$K$3,"T",IF(INDEX($M$4:$M$2003,MATCH($Q904+1,$P$4:$P$2003,0))&lt;&gt;INDEX($M$4:$M$2003,MATCH($Q904,$P$4:$P$2003,0)),"B","S"))))</f>
        <v/>
      </c>
      <c r="S905">
        <f>IF(Q905="","",IFERROR(MATCH(Q905,$P$4:$P$2003,0),""))</f>
        <v/>
      </c>
    </row>
    <row r="906">
      <c r="A906" s="4">
        <f>IF($R906="","",IF($R906="T","Gesamtergebnis",IF($R906="B",INDEX($M$4:$M$2003,$S906),INDEX($L$4:$L$2003,$S906))))</f>
        <v/>
      </c>
      <c r="B906" s="4">
        <f>IF($R906="","",IF($R906="T",$K$3,IF($R906="B",COUNTIFS($M$4:$M$2003,INDEX($M$4:$M$2003,$S906),$N$4:$N$2003,1),1)))</f>
        <v/>
      </c>
      <c r="L906">
        <f>IF($K$1="","",IFERROR(INDEX(Lines!$A:$AA,ROW()-2,$K$1),""))</f>
        <v/>
      </c>
      <c r="M906">
        <f>IF($K$2="","",IFERROR(INDEX(Lines!$A:$AA,ROW()-2,$K$2),""))</f>
        <v/>
      </c>
      <c r="N906">
        <f>IF(AND(L906&lt;&gt;"",LEFT(L906,1)="N",M906&lt;&gt;"PICKING",M906&lt;&gt;""),1,0)</f>
        <v/>
      </c>
      <c r="O906">
        <f>IF(N906=1,M906&amp;"|"&amp;L906,REPT("z",40))</f>
        <v/>
      </c>
      <c r="P906">
        <f>IF(N906=1,COUNTIF($O$4:$O$2003,"&lt;"&amp;O906)+1,"")</f>
        <v/>
      </c>
      <c r="Q906">
        <f>IF(OR($R905="",$R905="T"),"",IF($R905="B",$Q905,IF($Q905+1&gt;$K$3,"",$Q905+1)))</f>
        <v/>
      </c>
      <c r="R906">
        <f>IF(OR($R905="",$R905="T"),"",IF($R905="B","S",IF($Q905+1&gt;$K$3,"T",IF(INDEX($M$4:$M$2003,MATCH($Q905+1,$P$4:$P$2003,0))&lt;&gt;INDEX($M$4:$M$2003,MATCH($Q905,$P$4:$P$2003,0)),"B","S"))))</f>
        <v/>
      </c>
      <c r="S906">
        <f>IF(Q906="","",IFERROR(MATCH(Q906,$P$4:$P$2003,0),""))</f>
        <v/>
      </c>
    </row>
    <row r="907">
      <c r="A907" s="4">
        <f>IF($R907="","",IF($R907="T","Gesamtergebnis",IF($R907="B",INDEX($M$4:$M$2003,$S907),INDEX($L$4:$L$2003,$S907))))</f>
        <v/>
      </c>
      <c r="B907" s="4">
        <f>IF($R907="","",IF($R907="T",$K$3,IF($R907="B",COUNTIFS($M$4:$M$2003,INDEX($M$4:$M$2003,$S907),$N$4:$N$2003,1),1)))</f>
        <v/>
      </c>
      <c r="L907">
        <f>IF($K$1="","",IFERROR(INDEX(Lines!$A:$AA,ROW()-2,$K$1),""))</f>
        <v/>
      </c>
      <c r="M907">
        <f>IF($K$2="","",IFERROR(INDEX(Lines!$A:$AA,ROW()-2,$K$2),""))</f>
        <v/>
      </c>
      <c r="N907">
        <f>IF(AND(L907&lt;&gt;"",LEFT(L907,1)="N",M907&lt;&gt;"PICKING",M907&lt;&gt;""),1,0)</f>
        <v/>
      </c>
      <c r="O907">
        <f>IF(N907=1,M907&amp;"|"&amp;L907,REPT("z",40))</f>
        <v/>
      </c>
      <c r="P907">
        <f>IF(N907=1,COUNTIF($O$4:$O$2003,"&lt;"&amp;O907)+1,"")</f>
        <v/>
      </c>
      <c r="Q907">
        <f>IF(OR($R906="",$R906="T"),"",IF($R906="B",$Q906,IF($Q906+1&gt;$K$3,"",$Q906+1)))</f>
        <v/>
      </c>
      <c r="R907">
        <f>IF(OR($R906="",$R906="T"),"",IF($R906="B","S",IF($Q906+1&gt;$K$3,"T",IF(INDEX($M$4:$M$2003,MATCH($Q906+1,$P$4:$P$2003,0))&lt;&gt;INDEX($M$4:$M$2003,MATCH($Q906,$P$4:$P$2003,0)),"B","S"))))</f>
        <v/>
      </c>
      <c r="S907">
        <f>IF(Q907="","",IFERROR(MATCH(Q907,$P$4:$P$2003,0),""))</f>
        <v/>
      </c>
    </row>
    <row r="908">
      <c r="A908" s="4">
        <f>IF($R908="","",IF($R908="T","Gesamtergebnis",IF($R908="B",INDEX($M$4:$M$2003,$S908),INDEX($L$4:$L$2003,$S908))))</f>
        <v/>
      </c>
      <c r="B908" s="4">
        <f>IF($R908="","",IF($R908="T",$K$3,IF($R908="B",COUNTIFS($M$4:$M$2003,INDEX($M$4:$M$2003,$S908),$N$4:$N$2003,1),1)))</f>
        <v/>
      </c>
      <c r="L908">
        <f>IF($K$1="","",IFERROR(INDEX(Lines!$A:$AA,ROW()-2,$K$1),""))</f>
        <v/>
      </c>
      <c r="M908">
        <f>IF($K$2="","",IFERROR(INDEX(Lines!$A:$AA,ROW()-2,$K$2),""))</f>
        <v/>
      </c>
      <c r="N908">
        <f>IF(AND(L908&lt;&gt;"",LEFT(L908,1)="N",M908&lt;&gt;"PICKING",M908&lt;&gt;""),1,0)</f>
        <v/>
      </c>
      <c r="O908">
        <f>IF(N908=1,M908&amp;"|"&amp;L908,REPT("z",40))</f>
        <v/>
      </c>
      <c r="P908">
        <f>IF(N908=1,COUNTIF($O$4:$O$2003,"&lt;"&amp;O908)+1,"")</f>
        <v/>
      </c>
      <c r="Q908">
        <f>IF(OR($R907="",$R907="T"),"",IF($R907="B",$Q907,IF($Q907+1&gt;$K$3,"",$Q907+1)))</f>
        <v/>
      </c>
      <c r="R908">
        <f>IF(OR($R907="",$R907="T"),"",IF($R907="B","S",IF($Q907+1&gt;$K$3,"T",IF(INDEX($M$4:$M$2003,MATCH($Q907+1,$P$4:$P$2003,0))&lt;&gt;INDEX($M$4:$M$2003,MATCH($Q907,$P$4:$P$2003,0)),"B","S"))))</f>
        <v/>
      </c>
      <c r="S908">
        <f>IF(Q908="","",IFERROR(MATCH(Q908,$P$4:$P$2003,0),""))</f>
        <v/>
      </c>
    </row>
    <row r="909">
      <c r="A909" s="4">
        <f>IF($R909="","",IF($R909="T","Gesamtergebnis",IF($R909="B",INDEX($M$4:$M$2003,$S909),INDEX($L$4:$L$2003,$S909))))</f>
        <v/>
      </c>
      <c r="B909" s="4">
        <f>IF($R909="","",IF($R909="T",$K$3,IF($R909="B",COUNTIFS($M$4:$M$2003,INDEX($M$4:$M$2003,$S909),$N$4:$N$2003,1),1)))</f>
        <v/>
      </c>
      <c r="L909">
        <f>IF($K$1="","",IFERROR(INDEX(Lines!$A:$AA,ROW()-2,$K$1),""))</f>
        <v/>
      </c>
      <c r="M909">
        <f>IF($K$2="","",IFERROR(INDEX(Lines!$A:$AA,ROW()-2,$K$2),""))</f>
        <v/>
      </c>
      <c r="N909">
        <f>IF(AND(L909&lt;&gt;"",LEFT(L909,1)="N",M909&lt;&gt;"PICKING",M909&lt;&gt;""),1,0)</f>
        <v/>
      </c>
      <c r="O909">
        <f>IF(N909=1,M909&amp;"|"&amp;L909,REPT("z",40))</f>
        <v/>
      </c>
      <c r="P909">
        <f>IF(N909=1,COUNTIF($O$4:$O$2003,"&lt;"&amp;O909)+1,"")</f>
        <v/>
      </c>
      <c r="Q909">
        <f>IF(OR($R908="",$R908="T"),"",IF($R908="B",$Q908,IF($Q908+1&gt;$K$3,"",$Q908+1)))</f>
        <v/>
      </c>
      <c r="R909">
        <f>IF(OR($R908="",$R908="T"),"",IF($R908="B","S",IF($Q908+1&gt;$K$3,"T",IF(INDEX($M$4:$M$2003,MATCH($Q908+1,$P$4:$P$2003,0))&lt;&gt;INDEX($M$4:$M$2003,MATCH($Q908,$P$4:$P$2003,0)),"B","S"))))</f>
        <v/>
      </c>
      <c r="S909">
        <f>IF(Q909="","",IFERROR(MATCH(Q909,$P$4:$P$2003,0),""))</f>
        <v/>
      </c>
    </row>
    <row r="910">
      <c r="A910" s="4">
        <f>IF($R910="","",IF($R910="T","Gesamtergebnis",IF($R910="B",INDEX($M$4:$M$2003,$S910),INDEX($L$4:$L$2003,$S910))))</f>
        <v/>
      </c>
      <c r="B910" s="4">
        <f>IF($R910="","",IF($R910="T",$K$3,IF($R910="B",COUNTIFS($M$4:$M$2003,INDEX($M$4:$M$2003,$S910),$N$4:$N$2003,1),1)))</f>
        <v/>
      </c>
      <c r="L910">
        <f>IF($K$1="","",IFERROR(INDEX(Lines!$A:$AA,ROW()-2,$K$1),""))</f>
        <v/>
      </c>
      <c r="M910">
        <f>IF($K$2="","",IFERROR(INDEX(Lines!$A:$AA,ROW()-2,$K$2),""))</f>
        <v/>
      </c>
      <c r="N910">
        <f>IF(AND(L910&lt;&gt;"",LEFT(L910,1)="N",M910&lt;&gt;"PICKING",M910&lt;&gt;""),1,0)</f>
        <v/>
      </c>
      <c r="O910">
        <f>IF(N910=1,M910&amp;"|"&amp;L910,REPT("z",40))</f>
        <v/>
      </c>
      <c r="P910">
        <f>IF(N910=1,COUNTIF($O$4:$O$2003,"&lt;"&amp;O910)+1,"")</f>
        <v/>
      </c>
      <c r="Q910">
        <f>IF(OR($R909="",$R909="T"),"",IF($R909="B",$Q909,IF($Q909+1&gt;$K$3,"",$Q909+1)))</f>
        <v/>
      </c>
      <c r="R910">
        <f>IF(OR($R909="",$R909="T"),"",IF($R909="B","S",IF($Q909+1&gt;$K$3,"T",IF(INDEX($M$4:$M$2003,MATCH($Q909+1,$P$4:$P$2003,0))&lt;&gt;INDEX($M$4:$M$2003,MATCH($Q909,$P$4:$P$2003,0)),"B","S"))))</f>
        <v/>
      </c>
      <c r="S910">
        <f>IF(Q910="","",IFERROR(MATCH(Q910,$P$4:$P$2003,0),""))</f>
        <v/>
      </c>
    </row>
    <row r="911">
      <c r="A911" s="4">
        <f>IF($R911="","",IF($R911="T","Gesamtergebnis",IF($R911="B",INDEX($M$4:$M$2003,$S911),INDEX($L$4:$L$2003,$S911))))</f>
        <v/>
      </c>
      <c r="B911" s="4">
        <f>IF($R911="","",IF($R911="T",$K$3,IF($R911="B",COUNTIFS($M$4:$M$2003,INDEX($M$4:$M$2003,$S911),$N$4:$N$2003,1),1)))</f>
        <v/>
      </c>
      <c r="L911">
        <f>IF($K$1="","",IFERROR(INDEX(Lines!$A:$AA,ROW()-2,$K$1),""))</f>
        <v/>
      </c>
      <c r="M911">
        <f>IF($K$2="","",IFERROR(INDEX(Lines!$A:$AA,ROW()-2,$K$2),""))</f>
        <v/>
      </c>
      <c r="N911">
        <f>IF(AND(L911&lt;&gt;"",LEFT(L911,1)="N",M911&lt;&gt;"PICKING",M911&lt;&gt;""),1,0)</f>
        <v/>
      </c>
      <c r="O911">
        <f>IF(N911=1,M911&amp;"|"&amp;L911,REPT("z",40))</f>
        <v/>
      </c>
      <c r="P911">
        <f>IF(N911=1,COUNTIF($O$4:$O$2003,"&lt;"&amp;O911)+1,"")</f>
        <v/>
      </c>
      <c r="Q911">
        <f>IF(OR($R910="",$R910="T"),"",IF($R910="B",$Q910,IF($Q910+1&gt;$K$3,"",$Q910+1)))</f>
        <v/>
      </c>
      <c r="R911">
        <f>IF(OR($R910="",$R910="T"),"",IF($R910="B","S",IF($Q910+1&gt;$K$3,"T",IF(INDEX($M$4:$M$2003,MATCH($Q910+1,$P$4:$P$2003,0))&lt;&gt;INDEX($M$4:$M$2003,MATCH($Q910,$P$4:$P$2003,0)),"B","S"))))</f>
        <v/>
      </c>
      <c r="S911">
        <f>IF(Q911="","",IFERROR(MATCH(Q911,$P$4:$P$2003,0),""))</f>
        <v/>
      </c>
    </row>
    <row r="912">
      <c r="A912" s="4">
        <f>IF($R912="","",IF($R912="T","Gesamtergebnis",IF($R912="B",INDEX($M$4:$M$2003,$S912),INDEX($L$4:$L$2003,$S912))))</f>
        <v/>
      </c>
      <c r="B912" s="4">
        <f>IF($R912="","",IF($R912="T",$K$3,IF($R912="B",COUNTIFS($M$4:$M$2003,INDEX($M$4:$M$2003,$S912),$N$4:$N$2003,1),1)))</f>
        <v/>
      </c>
      <c r="L912">
        <f>IF($K$1="","",IFERROR(INDEX(Lines!$A:$AA,ROW()-2,$K$1),""))</f>
        <v/>
      </c>
      <c r="M912">
        <f>IF($K$2="","",IFERROR(INDEX(Lines!$A:$AA,ROW()-2,$K$2),""))</f>
        <v/>
      </c>
      <c r="N912">
        <f>IF(AND(L912&lt;&gt;"",LEFT(L912,1)="N",M912&lt;&gt;"PICKING",M912&lt;&gt;""),1,0)</f>
        <v/>
      </c>
      <c r="O912">
        <f>IF(N912=1,M912&amp;"|"&amp;L912,REPT("z",40))</f>
        <v/>
      </c>
      <c r="P912">
        <f>IF(N912=1,COUNTIF($O$4:$O$2003,"&lt;"&amp;O912)+1,"")</f>
        <v/>
      </c>
      <c r="Q912">
        <f>IF(OR($R911="",$R911="T"),"",IF($R911="B",$Q911,IF($Q911+1&gt;$K$3,"",$Q911+1)))</f>
        <v/>
      </c>
      <c r="R912">
        <f>IF(OR($R911="",$R911="T"),"",IF($R911="B","S",IF($Q911+1&gt;$K$3,"T",IF(INDEX($M$4:$M$2003,MATCH($Q911+1,$P$4:$P$2003,0))&lt;&gt;INDEX($M$4:$M$2003,MATCH($Q911,$P$4:$P$2003,0)),"B","S"))))</f>
        <v/>
      </c>
      <c r="S912">
        <f>IF(Q912="","",IFERROR(MATCH(Q912,$P$4:$P$2003,0),""))</f>
        <v/>
      </c>
    </row>
    <row r="913">
      <c r="A913" s="4">
        <f>IF($R913="","",IF($R913="T","Gesamtergebnis",IF($R913="B",INDEX($M$4:$M$2003,$S913),INDEX($L$4:$L$2003,$S913))))</f>
        <v/>
      </c>
      <c r="B913" s="4">
        <f>IF($R913="","",IF($R913="T",$K$3,IF($R913="B",COUNTIFS($M$4:$M$2003,INDEX($M$4:$M$2003,$S913),$N$4:$N$2003,1),1)))</f>
        <v/>
      </c>
      <c r="L913">
        <f>IF($K$1="","",IFERROR(INDEX(Lines!$A:$AA,ROW()-2,$K$1),""))</f>
        <v/>
      </c>
      <c r="M913">
        <f>IF($K$2="","",IFERROR(INDEX(Lines!$A:$AA,ROW()-2,$K$2),""))</f>
        <v/>
      </c>
      <c r="N913">
        <f>IF(AND(L913&lt;&gt;"",LEFT(L913,1)="N",M913&lt;&gt;"PICKING",M913&lt;&gt;""),1,0)</f>
        <v/>
      </c>
      <c r="O913">
        <f>IF(N913=1,M913&amp;"|"&amp;L913,REPT("z",40))</f>
        <v/>
      </c>
      <c r="P913">
        <f>IF(N913=1,COUNTIF($O$4:$O$2003,"&lt;"&amp;O913)+1,"")</f>
        <v/>
      </c>
      <c r="Q913">
        <f>IF(OR($R912="",$R912="T"),"",IF($R912="B",$Q912,IF($Q912+1&gt;$K$3,"",$Q912+1)))</f>
        <v/>
      </c>
      <c r="R913">
        <f>IF(OR($R912="",$R912="T"),"",IF($R912="B","S",IF($Q912+1&gt;$K$3,"T",IF(INDEX($M$4:$M$2003,MATCH($Q912+1,$P$4:$P$2003,0))&lt;&gt;INDEX($M$4:$M$2003,MATCH($Q912,$P$4:$P$2003,0)),"B","S"))))</f>
        <v/>
      </c>
      <c r="S913">
        <f>IF(Q913="","",IFERROR(MATCH(Q913,$P$4:$P$2003,0),""))</f>
        <v/>
      </c>
    </row>
    <row r="914">
      <c r="A914" s="4">
        <f>IF($R914="","",IF($R914="T","Gesamtergebnis",IF($R914="B",INDEX($M$4:$M$2003,$S914),INDEX($L$4:$L$2003,$S914))))</f>
        <v/>
      </c>
      <c r="B914" s="4">
        <f>IF($R914="","",IF($R914="T",$K$3,IF($R914="B",COUNTIFS($M$4:$M$2003,INDEX($M$4:$M$2003,$S914),$N$4:$N$2003,1),1)))</f>
        <v/>
      </c>
      <c r="L914">
        <f>IF($K$1="","",IFERROR(INDEX(Lines!$A:$AA,ROW()-2,$K$1),""))</f>
        <v/>
      </c>
      <c r="M914">
        <f>IF($K$2="","",IFERROR(INDEX(Lines!$A:$AA,ROW()-2,$K$2),""))</f>
        <v/>
      </c>
      <c r="N914">
        <f>IF(AND(L914&lt;&gt;"",LEFT(L914,1)="N",M914&lt;&gt;"PICKING",M914&lt;&gt;""),1,0)</f>
        <v/>
      </c>
      <c r="O914">
        <f>IF(N914=1,M914&amp;"|"&amp;L914,REPT("z",40))</f>
        <v/>
      </c>
      <c r="P914">
        <f>IF(N914=1,COUNTIF($O$4:$O$2003,"&lt;"&amp;O914)+1,"")</f>
        <v/>
      </c>
      <c r="Q914">
        <f>IF(OR($R913="",$R913="T"),"",IF($R913="B",$Q913,IF($Q913+1&gt;$K$3,"",$Q913+1)))</f>
        <v/>
      </c>
      <c r="R914">
        <f>IF(OR($R913="",$R913="T"),"",IF($R913="B","S",IF($Q913+1&gt;$K$3,"T",IF(INDEX($M$4:$M$2003,MATCH($Q913+1,$P$4:$P$2003,0))&lt;&gt;INDEX($M$4:$M$2003,MATCH($Q913,$P$4:$P$2003,0)),"B","S"))))</f>
        <v/>
      </c>
      <c r="S914">
        <f>IF(Q914="","",IFERROR(MATCH(Q914,$P$4:$P$2003,0),""))</f>
        <v/>
      </c>
    </row>
    <row r="915">
      <c r="A915" s="4">
        <f>IF($R915="","",IF($R915="T","Gesamtergebnis",IF($R915="B",INDEX($M$4:$M$2003,$S915),INDEX($L$4:$L$2003,$S915))))</f>
        <v/>
      </c>
      <c r="B915" s="4">
        <f>IF($R915="","",IF($R915="T",$K$3,IF($R915="B",COUNTIFS($M$4:$M$2003,INDEX($M$4:$M$2003,$S915),$N$4:$N$2003,1),1)))</f>
        <v/>
      </c>
      <c r="L915">
        <f>IF($K$1="","",IFERROR(INDEX(Lines!$A:$AA,ROW()-2,$K$1),""))</f>
        <v/>
      </c>
      <c r="M915">
        <f>IF($K$2="","",IFERROR(INDEX(Lines!$A:$AA,ROW()-2,$K$2),""))</f>
        <v/>
      </c>
      <c r="N915">
        <f>IF(AND(L915&lt;&gt;"",LEFT(L915,1)="N",M915&lt;&gt;"PICKING",M915&lt;&gt;""),1,0)</f>
        <v/>
      </c>
      <c r="O915">
        <f>IF(N915=1,M915&amp;"|"&amp;L915,REPT("z",40))</f>
        <v/>
      </c>
      <c r="P915">
        <f>IF(N915=1,COUNTIF($O$4:$O$2003,"&lt;"&amp;O915)+1,"")</f>
        <v/>
      </c>
      <c r="Q915">
        <f>IF(OR($R914="",$R914="T"),"",IF($R914="B",$Q914,IF($Q914+1&gt;$K$3,"",$Q914+1)))</f>
        <v/>
      </c>
      <c r="R915">
        <f>IF(OR($R914="",$R914="T"),"",IF($R914="B","S",IF($Q914+1&gt;$K$3,"T",IF(INDEX($M$4:$M$2003,MATCH($Q914+1,$P$4:$P$2003,0))&lt;&gt;INDEX($M$4:$M$2003,MATCH($Q914,$P$4:$P$2003,0)),"B","S"))))</f>
        <v/>
      </c>
      <c r="S915">
        <f>IF(Q915="","",IFERROR(MATCH(Q915,$P$4:$P$2003,0),""))</f>
        <v/>
      </c>
    </row>
    <row r="916">
      <c r="A916" s="4">
        <f>IF($R916="","",IF($R916="T","Gesamtergebnis",IF($R916="B",INDEX($M$4:$M$2003,$S916),INDEX($L$4:$L$2003,$S916))))</f>
        <v/>
      </c>
      <c r="B916" s="4">
        <f>IF($R916="","",IF($R916="T",$K$3,IF($R916="B",COUNTIFS($M$4:$M$2003,INDEX($M$4:$M$2003,$S916),$N$4:$N$2003,1),1)))</f>
        <v/>
      </c>
      <c r="L916">
        <f>IF($K$1="","",IFERROR(INDEX(Lines!$A:$AA,ROW()-2,$K$1),""))</f>
        <v/>
      </c>
      <c r="M916">
        <f>IF($K$2="","",IFERROR(INDEX(Lines!$A:$AA,ROW()-2,$K$2),""))</f>
        <v/>
      </c>
      <c r="N916">
        <f>IF(AND(L916&lt;&gt;"",LEFT(L916,1)="N",M916&lt;&gt;"PICKING",M916&lt;&gt;""),1,0)</f>
        <v/>
      </c>
      <c r="O916">
        <f>IF(N916=1,M916&amp;"|"&amp;L916,REPT("z",40))</f>
        <v/>
      </c>
      <c r="P916">
        <f>IF(N916=1,COUNTIF($O$4:$O$2003,"&lt;"&amp;O916)+1,"")</f>
        <v/>
      </c>
      <c r="Q916">
        <f>IF(OR($R915="",$R915="T"),"",IF($R915="B",$Q915,IF($Q915+1&gt;$K$3,"",$Q915+1)))</f>
        <v/>
      </c>
      <c r="R916">
        <f>IF(OR($R915="",$R915="T"),"",IF($R915="B","S",IF($Q915+1&gt;$K$3,"T",IF(INDEX($M$4:$M$2003,MATCH($Q915+1,$P$4:$P$2003,0))&lt;&gt;INDEX($M$4:$M$2003,MATCH($Q915,$P$4:$P$2003,0)),"B","S"))))</f>
        <v/>
      </c>
      <c r="S916">
        <f>IF(Q916="","",IFERROR(MATCH(Q916,$P$4:$P$2003,0),""))</f>
        <v/>
      </c>
    </row>
    <row r="917">
      <c r="A917" s="4">
        <f>IF($R917="","",IF($R917="T","Gesamtergebnis",IF($R917="B",INDEX($M$4:$M$2003,$S917),INDEX($L$4:$L$2003,$S917))))</f>
        <v/>
      </c>
      <c r="B917" s="4">
        <f>IF($R917="","",IF($R917="T",$K$3,IF($R917="B",COUNTIFS($M$4:$M$2003,INDEX($M$4:$M$2003,$S917),$N$4:$N$2003,1),1)))</f>
        <v/>
      </c>
      <c r="L917">
        <f>IF($K$1="","",IFERROR(INDEX(Lines!$A:$AA,ROW()-2,$K$1),""))</f>
        <v/>
      </c>
      <c r="M917">
        <f>IF($K$2="","",IFERROR(INDEX(Lines!$A:$AA,ROW()-2,$K$2),""))</f>
        <v/>
      </c>
      <c r="N917">
        <f>IF(AND(L917&lt;&gt;"",LEFT(L917,1)="N",M917&lt;&gt;"PICKING",M917&lt;&gt;""),1,0)</f>
        <v/>
      </c>
      <c r="O917">
        <f>IF(N917=1,M917&amp;"|"&amp;L917,REPT("z",40))</f>
        <v/>
      </c>
      <c r="P917">
        <f>IF(N917=1,COUNTIF($O$4:$O$2003,"&lt;"&amp;O917)+1,"")</f>
        <v/>
      </c>
      <c r="Q917">
        <f>IF(OR($R916="",$R916="T"),"",IF($R916="B",$Q916,IF($Q916+1&gt;$K$3,"",$Q916+1)))</f>
        <v/>
      </c>
      <c r="R917">
        <f>IF(OR($R916="",$R916="T"),"",IF($R916="B","S",IF($Q916+1&gt;$K$3,"T",IF(INDEX($M$4:$M$2003,MATCH($Q916+1,$P$4:$P$2003,0))&lt;&gt;INDEX($M$4:$M$2003,MATCH($Q916,$P$4:$P$2003,0)),"B","S"))))</f>
        <v/>
      </c>
      <c r="S917">
        <f>IF(Q917="","",IFERROR(MATCH(Q917,$P$4:$P$2003,0),""))</f>
        <v/>
      </c>
    </row>
    <row r="918">
      <c r="A918" s="4">
        <f>IF($R918="","",IF($R918="T","Gesamtergebnis",IF($R918="B",INDEX($M$4:$M$2003,$S918),INDEX($L$4:$L$2003,$S918))))</f>
        <v/>
      </c>
      <c r="B918" s="4">
        <f>IF($R918="","",IF($R918="T",$K$3,IF($R918="B",COUNTIFS($M$4:$M$2003,INDEX($M$4:$M$2003,$S918),$N$4:$N$2003,1),1)))</f>
        <v/>
      </c>
      <c r="L918">
        <f>IF($K$1="","",IFERROR(INDEX(Lines!$A:$AA,ROW()-2,$K$1),""))</f>
        <v/>
      </c>
      <c r="M918">
        <f>IF($K$2="","",IFERROR(INDEX(Lines!$A:$AA,ROW()-2,$K$2),""))</f>
        <v/>
      </c>
      <c r="N918">
        <f>IF(AND(L918&lt;&gt;"",LEFT(L918,1)="N",M918&lt;&gt;"PICKING",M918&lt;&gt;""),1,0)</f>
        <v/>
      </c>
      <c r="O918">
        <f>IF(N918=1,M918&amp;"|"&amp;L918,REPT("z",40))</f>
        <v/>
      </c>
      <c r="P918">
        <f>IF(N918=1,COUNTIF($O$4:$O$2003,"&lt;"&amp;O918)+1,"")</f>
        <v/>
      </c>
      <c r="Q918">
        <f>IF(OR($R917="",$R917="T"),"",IF($R917="B",$Q917,IF($Q917+1&gt;$K$3,"",$Q917+1)))</f>
        <v/>
      </c>
      <c r="R918">
        <f>IF(OR($R917="",$R917="T"),"",IF($R917="B","S",IF($Q917+1&gt;$K$3,"T",IF(INDEX($M$4:$M$2003,MATCH($Q917+1,$P$4:$P$2003,0))&lt;&gt;INDEX($M$4:$M$2003,MATCH($Q917,$P$4:$P$2003,0)),"B","S"))))</f>
        <v/>
      </c>
      <c r="S918">
        <f>IF(Q918="","",IFERROR(MATCH(Q918,$P$4:$P$2003,0),""))</f>
        <v/>
      </c>
    </row>
    <row r="919">
      <c r="A919" s="4">
        <f>IF($R919="","",IF($R919="T","Gesamtergebnis",IF($R919="B",INDEX($M$4:$M$2003,$S919),INDEX($L$4:$L$2003,$S919))))</f>
        <v/>
      </c>
      <c r="B919" s="4">
        <f>IF($R919="","",IF($R919="T",$K$3,IF($R919="B",COUNTIFS($M$4:$M$2003,INDEX($M$4:$M$2003,$S919),$N$4:$N$2003,1),1)))</f>
        <v/>
      </c>
      <c r="L919">
        <f>IF($K$1="","",IFERROR(INDEX(Lines!$A:$AA,ROW()-2,$K$1),""))</f>
        <v/>
      </c>
      <c r="M919">
        <f>IF($K$2="","",IFERROR(INDEX(Lines!$A:$AA,ROW()-2,$K$2),""))</f>
        <v/>
      </c>
      <c r="N919">
        <f>IF(AND(L919&lt;&gt;"",LEFT(L919,1)="N",M919&lt;&gt;"PICKING",M919&lt;&gt;""),1,0)</f>
        <v/>
      </c>
      <c r="O919">
        <f>IF(N919=1,M919&amp;"|"&amp;L919,REPT("z",40))</f>
        <v/>
      </c>
      <c r="P919">
        <f>IF(N919=1,COUNTIF($O$4:$O$2003,"&lt;"&amp;O919)+1,"")</f>
        <v/>
      </c>
      <c r="Q919">
        <f>IF(OR($R918="",$R918="T"),"",IF($R918="B",$Q918,IF($Q918+1&gt;$K$3,"",$Q918+1)))</f>
        <v/>
      </c>
      <c r="R919">
        <f>IF(OR($R918="",$R918="T"),"",IF($R918="B","S",IF($Q918+1&gt;$K$3,"T",IF(INDEX($M$4:$M$2003,MATCH($Q918+1,$P$4:$P$2003,0))&lt;&gt;INDEX($M$4:$M$2003,MATCH($Q918,$P$4:$P$2003,0)),"B","S"))))</f>
        <v/>
      </c>
      <c r="S919">
        <f>IF(Q919="","",IFERROR(MATCH(Q919,$P$4:$P$2003,0),""))</f>
        <v/>
      </c>
    </row>
    <row r="920">
      <c r="A920" s="4">
        <f>IF($R920="","",IF($R920="T","Gesamtergebnis",IF($R920="B",INDEX($M$4:$M$2003,$S920),INDEX($L$4:$L$2003,$S920))))</f>
        <v/>
      </c>
      <c r="B920" s="4">
        <f>IF($R920="","",IF($R920="T",$K$3,IF($R920="B",COUNTIFS($M$4:$M$2003,INDEX($M$4:$M$2003,$S920),$N$4:$N$2003,1),1)))</f>
        <v/>
      </c>
      <c r="L920">
        <f>IF($K$1="","",IFERROR(INDEX(Lines!$A:$AA,ROW()-2,$K$1),""))</f>
        <v/>
      </c>
      <c r="M920">
        <f>IF($K$2="","",IFERROR(INDEX(Lines!$A:$AA,ROW()-2,$K$2),""))</f>
        <v/>
      </c>
      <c r="N920">
        <f>IF(AND(L920&lt;&gt;"",LEFT(L920,1)="N",M920&lt;&gt;"PICKING",M920&lt;&gt;""),1,0)</f>
        <v/>
      </c>
      <c r="O920">
        <f>IF(N920=1,M920&amp;"|"&amp;L920,REPT("z",40))</f>
        <v/>
      </c>
      <c r="P920">
        <f>IF(N920=1,COUNTIF($O$4:$O$2003,"&lt;"&amp;O920)+1,"")</f>
        <v/>
      </c>
      <c r="Q920">
        <f>IF(OR($R919="",$R919="T"),"",IF($R919="B",$Q919,IF($Q919+1&gt;$K$3,"",$Q919+1)))</f>
        <v/>
      </c>
      <c r="R920">
        <f>IF(OR($R919="",$R919="T"),"",IF($R919="B","S",IF($Q919+1&gt;$K$3,"T",IF(INDEX($M$4:$M$2003,MATCH($Q919+1,$P$4:$P$2003,0))&lt;&gt;INDEX($M$4:$M$2003,MATCH($Q919,$P$4:$P$2003,0)),"B","S"))))</f>
        <v/>
      </c>
      <c r="S920">
        <f>IF(Q920="","",IFERROR(MATCH(Q920,$P$4:$P$2003,0),""))</f>
        <v/>
      </c>
    </row>
    <row r="921">
      <c r="A921" s="4">
        <f>IF($R921="","",IF($R921="T","Gesamtergebnis",IF($R921="B",INDEX($M$4:$M$2003,$S921),INDEX($L$4:$L$2003,$S921))))</f>
        <v/>
      </c>
      <c r="B921" s="4">
        <f>IF($R921="","",IF($R921="T",$K$3,IF($R921="B",COUNTIFS($M$4:$M$2003,INDEX($M$4:$M$2003,$S921),$N$4:$N$2003,1),1)))</f>
        <v/>
      </c>
      <c r="L921">
        <f>IF($K$1="","",IFERROR(INDEX(Lines!$A:$AA,ROW()-2,$K$1),""))</f>
        <v/>
      </c>
      <c r="M921">
        <f>IF($K$2="","",IFERROR(INDEX(Lines!$A:$AA,ROW()-2,$K$2),""))</f>
        <v/>
      </c>
      <c r="N921">
        <f>IF(AND(L921&lt;&gt;"",LEFT(L921,1)="N",M921&lt;&gt;"PICKING",M921&lt;&gt;""),1,0)</f>
        <v/>
      </c>
      <c r="O921">
        <f>IF(N921=1,M921&amp;"|"&amp;L921,REPT("z",40))</f>
        <v/>
      </c>
      <c r="P921">
        <f>IF(N921=1,COUNTIF($O$4:$O$2003,"&lt;"&amp;O921)+1,"")</f>
        <v/>
      </c>
      <c r="Q921">
        <f>IF(OR($R920="",$R920="T"),"",IF($R920="B",$Q920,IF($Q920+1&gt;$K$3,"",$Q920+1)))</f>
        <v/>
      </c>
      <c r="R921">
        <f>IF(OR($R920="",$R920="T"),"",IF($R920="B","S",IF($Q920+1&gt;$K$3,"T",IF(INDEX($M$4:$M$2003,MATCH($Q920+1,$P$4:$P$2003,0))&lt;&gt;INDEX($M$4:$M$2003,MATCH($Q920,$P$4:$P$2003,0)),"B","S"))))</f>
        <v/>
      </c>
      <c r="S921">
        <f>IF(Q921="","",IFERROR(MATCH(Q921,$P$4:$P$2003,0),""))</f>
        <v/>
      </c>
    </row>
    <row r="922">
      <c r="A922" s="4">
        <f>IF($R922="","",IF($R922="T","Gesamtergebnis",IF($R922="B",INDEX($M$4:$M$2003,$S922),INDEX($L$4:$L$2003,$S922))))</f>
        <v/>
      </c>
      <c r="B922" s="4">
        <f>IF($R922="","",IF($R922="T",$K$3,IF($R922="B",COUNTIFS($M$4:$M$2003,INDEX($M$4:$M$2003,$S922),$N$4:$N$2003,1),1)))</f>
        <v/>
      </c>
      <c r="L922">
        <f>IF($K$1="","",IFERROR(INDEX(Lines!$A:$AA,ROW()-2,$K$1),""))</f>
        <v/>
      </c>
      <c r="M922">
        <f>IF($K$2="","",IFERROR(INDEX(Lines!$A:$AA,ROW()-2,$K$2),""))</f>
        <v/>
      </c>
      <c r="N922">
        <f>IF(AND(L922&lt;&gt;"",LEFT(L922,1)="N",M922&lt;&gt;"PICKING",M922&lt;&gt;""),1,0)</f>
        <v/>
      </c>
      <c r="O922">
        <f>IF(N922=1,M922&amp;"|"&amp;L922,REPT("z",40))</f>
        <v/>
      </c>
      <c r="P922">
        <f>IF(N922=1,COUNTIF($O$4:$O$2003,"&lt;"&amp;O922)+1,"")</f>
        <v/>
      </c>
      <c r="Q922">
        <f>IF(OR($R921="",$R921="T"),"",IF($R921="B",$Q921,IF($Q921+1&gt;$K$3,"",$Q921+1)))</f>
        <v/>
      </c>
      <c r="R922">
        <f>IF(OR($R921="",$R921="T"),"",IF($R921="B","S",IF($Q921+1&gt;$K$3,"T",IF(INDEX($M$4:$M$2003,MATCH($Q921+1,$P$4:$P$2003,0))&lt;&gt;INDEX($M$4:$M$2003,MATCH($Q921,$P$4:$P$2003,0)),"B","S"))))</f>
        <v/>
      </c>
      <c r="S922">
        <f>IF(Q922="","",IFERROR(MATCH(Q922,$P$4:$P$2003,0),""))</f>
        <v/>
      </c>
    </row>
    <row r="923">
      <c r="A923" s="4">
        <f>IF($R923="","",IF($R923="T","Gesamtergebnis",IF($R923="B",INDEX($M$4:$M$2003,$S923),INDEX($L$4:$L$2003,$S923))))</f>
        <v/>
      </c>
      <c r="B923" s="4">
        <f>IF($R923="","",IF($R923="T",$K$3,IF($R923="B",COUNTIFS($M$4:$M$2003,INDEX($M$4:$M$2003,$S923),$N$4:$N$2003,1),1)))</f>
        <v/>
      </c>
      <c r="L923">
        <f>IF($K$1="","",IFERROR(INDEX(Lines!$A:$AA,ROW()-2,$K$1),""))</f>
        <v/>
      </c>
      <c r="M923">
        <f>IF($K$2="","",IFERROR(INDEX(Lines!$A:$AA,ROW()-2,$K$2),""))</f>
        <v/>
      </c>
      <c r="N923">
        <f>IF(AND(L923&lt;&gt;"",LEFT(L923,1)="N",M923&lt;&gt;"PICKING",M923&lt;&gt;""),1,0)</f>
        <v/>
      </c>
      <c r="O923">
        <f>IF(N923=1,M923&amp;"|"&amp;L923,REPT("z",40))</f>
        <v/>
      </c>
      <c r="P923">
        <f>IF(N923=1,COUNTIF($O$4:$O$2003,"&lt;"&amp;O923)+1,"")</f>
        <v/>
      </c>
      <c r="Q923">
        <f>IF(OR($R922="",$R922="T"),"",IF($R922="B",$Q922,IF($Q922+1&gt;$K$3,"",$Q922+1)))</f>
        <v/>
      </c>
      <c r="R923">
        <f>IF(OR($R922="",$R922="T"),"",IF($R922="B","S",IF($Q922+1&gt;$K$3,"T",IF(INDEX($M$4:$M$2003,MATCH($Q922+1,$P$4:$P$2003,0))&lt;&gt;INDEX($M$4:$M$2003,MATCH($Q922,$P$4:$P$2003,0)),"B","S"))))</f>
        <v/>
      </c>
      <c r="S923">
        <f>IF(Q923="","",IFERROR(MATCH(Q923,$P$4:$P$2003,0),""))</f>
        <v/>
      </c>
    </row>
    <row r="924">
      <c r="A924" s="4">
        <f>IF($R924="","",IF($R924="T","Gesamtergebnis",IF($R924="B",INDEX($M$4:$M$2003,$S924),INDEX($L$4:$L$2003,$S924))))</f>
        <v/>
      </c>
      <c r="B924" s="4">
        <f>IF($R924="","",IF($R924="T",$K$3,IF($R924="B",COUNTIFS($M$4:$M$2003,INDEX($M$4:$M$2003,$S924),$N$4:$N$2003,1),1)))</f>
        <v/>
      </c>
      <c r="L924">
        <f>IF($K$1="","",IFERROR(INDEX(Lines!$A:$AA,ROW()-2,$K$1),""))</f>
        <v/>
      </c>
      <c r="M924">
        <f>IF($K$2="","",IFERROR(INDEX(Lines!$A:$AA,ROW()-2,$K$2),""))</f>
        <v/>
      </c>
      <c r="N924">
        <f>IF(AND(L924&lt;&gt;"",LEFT(L924,1)="N",M924&lt;&gt;"PICKING",M924&lt;&gt;""),1,0)</f>
        <v/>
      </c>
      <c r="O924">
        <f>IF(N924=1,M924&amp;"|"&amp;L924,REPT("z",40))</f>
        <v/>
      </c>
      <c r="P924">
        <f>IF(N924=1,COUNTIF($O$4:$O$2003,"&lt;"&amp;O924)+1,"")</f>
        <v/>
      </c>
      <c r="Q924">
        <f>IF(OR($R923="",$R923="T"),"",IF($R923="B",$Q923,IF($Q923+1&gt;$K$3,"",$Q923+1)))</f>
        <v/>
      </c>
      <c r="R924">
        <f>IF(OR($R923="",$R923="T"),"",IF($R923="B","S",IF($Q923+1&gt;$K$3,"T",IF(INDEX($M$4:$M$2003,MATCH($Q923+1,$P$4:$P$2003,0))&lt;&gt;INDEX($M$4:$M$2003,MATCH($Q923,$P$4:$P$2003,0)),"B","S"))))</f>
        <v/>
      </c>
      <c r="S924">
        <f>IF(Q924="","",IFERROR(MATCH(Q924,$P$4:$P$2003,0),""))</f>
        <v/>
      </c>
    </row>
    <row r="925">
      <c r="A925" s="4">
        <f>IF($R925="","",IF($R925="T","Gesamtergebnis",IF($R925="B",INDEX($M$4:$M$2003,$S925),INDEX($L$4:$L$2003,$S925))))</f>
        <v/>
      </c>
      <c r="B925" s="4">
        <f>IF($R925="","",IF($R925="T",$K$3,IF($R925="B",COUNTIFS($M$4:$M$2003,INDEX($M$4:$M$2003,$S925),$N$4:$N$2003,1),1)))</f>
        <v/>
      </c>
      <c r="L925">
        <f>IF($K$1="","",IFERROR(INDEX(Lines!$A:$AA,ROW()-2,$K$1),""))</f>
        <v/>
      </c>
      <c r="M925">
        <f>IF($K$2="","",IFERROR(INDEX(Lines!$A:$AA,ROW()-2,$K$2),""))</f>
        <v/>
      </c>
      <c r="N925">
        <f>IF(AND(L925&lt;&gt;"",LEFT(L925,1)="N",M925&lt;&gt;"PICKING",M925&lt;&gt;""),1,0)</f>
        <v/>
      </c>
      <c r="O925">
        <f>IF(N925=1,M925&amp;"|"&amp;L925,REPT("z",40))</f>
        <v/>
      </c>
      <c r="P925">
        <f>IF(N925=1,COUNTIF($O$4:$O$2003,"&lt;"&amp;O925)+1,"")</f>
        <v/>
      </c>
      <c r="Q925">
        <f>IF(OR($R924="",$R924="T"),"",IF($R924="B",$Q924,IF($Q924+1&gt;$K$3,"",$Q924+1)))</f>
        <v/>
      </c>
      <c r="R925">
        <f>IF(OR($R924="",$R924="T"),"",IF($R924="B","S",IF($Q924+1&gt;$K$3,"T",IF(INDEX($M$4:$M$2003,MATCH($Q924+1,$P$4:$P$2003,0))&lt;&gt;INDEX($M$4:$M$2003,MATCH($Q924,$P$4:$P$2003,0)),"B","S"))))</f>
        <v/>
      </c>
      <c r="S925">
        <f>IF(Q925="","",IFERROR(MATCH(Q925,$P$4:$P$2003,0),""))</f>
        <v/>
      </c>
    </row>
    <row r="926">
      <c r="A926" s="4">
        <f>IF($R926="","",IF($R926="T","Gesamtergebnis",IF($R926="B",INDEX($M$4:$M$2003,$S926),INDEX($L$4:$L$2003,$S926))))</f>
        <v/>
      </c>
      <c r="B926" s="4">
        <f>IF($R926="","",IF($R926="T",$K$3,IF($R926="B",COUNTIFS($M$4:$M$2003,INDEX($M$4:$M$2003,$S926),$N$4:$N$2003,1),1)))</f>
        <v/>
      </c>
      <c r="L926">
        <f>IF($K$1="","",IFERROR(INDEX(Lines!$A:$AA,ROW()-2,$K$1),""))</f>
        <v/>
      </c>
      <c r="M926">
        <f>IF($K$2="","",IFERROR(INDEX(Lines!$A:$AA,ROW()-2,$K$2),""))</f>
        <v/>
      </c>
      <c r="N926">
        <f>IF(AND(L926&lt;&gt;"",LEFT(L926,1)="N",M926&lt;&gt;"PICKING",M926&lt;&gt;""),1,0)</f>
        <v/>
      </c>
      <c r="O926">
        <f>IF(N926=1,M926&amp;"|"&amp;L926,REPT("z",40))</f>
        <v/>
      </c>
      <c r="P926">
        <f>IF(N926=1,COUNTIF($O$4:$O$2003,"&lt;"&amp;O926)+1,"")</f>
        <v/>
      </c>
      <c r="Q926">
        <f>IF(OR($R925="",$R925="T"),"",IF($R925="B",$Q925,IF($Q925+1&gt;$K$3,"",$Q925+1)))</f>
        <v/>
      </c>
      <c r="R926">
        <f>IF(OR($R925="",$R925="T"),"",IF($R925="B","S",IF($Q925+1&gt;$K$3,"T",IF(INDEX($M$4:$M$2003,MATCH($Q925+1,$P$4:$P$2003,0))&lt;&gt;INDEX($M$4:$M$2003,MATCH($Q925,$P$4:$P$2003,0)),"B","S"))))</f>
        <v/>
      </c>
      <c r="S926">
        <f>IF(Q926="","",IFERROR(MATCH(Q926,$P$4:$P$2003,0),""))</f>
        <v/>
      </c>
    </row>
    <row r="927">
      <c r="A927" s="4">
        <f>IF($R927="","",IF($R927="T","Gesamtergebnis",IF($R927="B",INDEX($M$4:$M$2003,$S927),INDEX($L$4:$L$2003,$S927))))</f>
        <v/>
      </c>
      <c r="B927" s="4">
        <f>IF($R927="","",IF($R927="T",$K$3,IF($R927="B",COUNTIFS($M$4:$M$2003,INDEX($M$4:$M$2003,$S927),$N$4:$N$2003,1),1)))</f>
        <v/>
      </c>
      <c r="L927">
        <f>IF($K$1="","",IFERROR(INDEX(Lines!$A:$AA,ROW()-2,$K$1),""))</f>
        <v/>
      </c>
      <c r="M927">
        <f>IF($K$2="","",IFERROR(INDEX(Lines!$A:$AA,ROW()-2,$K$2),""))</f>
        <v/>
      </c>
      <c r="N927">
        <f>IF(AND(L927&lt;&gt;"",LEFT(L927,1)="N",M927&lt;&gt;"PICKING",M927&lt;&gt;""),1,0)</f>
        <v/>
      </c>
      <c r="O927">
        <f>IF(N927=1,M927&amp;"|"&amp;L927,REPT("z",40))</f>
        <v/>
      </c>
      <c r="P927">
        <f>IF(N927=1,COUNTIF($O$4:$O$2003,"&lt;"&amp;O927)+1,"")</f>
        <v/>
      </c>
      <c r="Q927">
        <f>IF(OR($R926="",$R926="T"),"",IF($R926="B",$Q926,IF($Q926+1&gt;$K$3,"",$Q926+1)))</f>
        <v/>
      </c>
      <c r="R927">
        <f>IF(OR($R926="",$R926="T"),"",IF($R926="B","S",IF($Q926+1&gt;$K$3,"T",IF(INDEX($M$4:$M$2003,MATCH($Q926+1,$P$4:$P$2003,0))&lt;&gt;INDEX($M$4:$M$2003,MATCH($Q926,$P$4:$P$2003,0)),"B","S"))))</f>
        <v/>
      </c>
      <c r="S927">
        <f>IF(Q927="","",IFERROR(MATCH(Q927,$P$4:$P$2003,0),""))</f>
        <v/>
      </c>
    </row>
    <row r="928">
      <c r="A928" s="4">
        <f>IF($R928="","",IF($R928="T","Gesamtergebnis",IF($R928="B",INDEX($M$4:$M$2003,$S928),INDEX($L$4:$L$2003,$S928))))</f>
        <v/>
      </c>
      <c r="B928" s="4">
        <f>IF($R928="","",IF($R928="T",$K$3,IF($R928="B",COUNTIFS($M$4:$M$2003,INDEX($M$4:$M$2003,$S928),$N$4:$N$2003,1),1)))</f>
        <v/>
      </c>
      <c r="L928">
        <f>IF($K$1="","",IFERROR(INDEX(Lines!$A:$AA,ROW()-2,$K$1),""))</f>
        <v/>
      </c>
      <c r="M928">
        <f>IF($K$2="","",IFERROR(INDEX(Lines!$A:$AA,ROW()-2,$K$2),""))</f>
        <v/>
      </c>
      <c r="N928">
        <f>IF(AND(L928&lt;&gt;"",LEFT(L928,1)="N",M928&lt;&gt;"PICKING",M928&lt;&gt;""),1,0)</f>
        <v/>
      </c>
      <c r="O928">
        <f>IF(N928=1,M928&amp;"|"&amp;L928,REPT("z",40))</f>
        <v/>
      </c>
      <c r="P928">
        <f>IF(N928=1,COUNTIF($O$4:$O$2003,"&lt;"&amp;O928)+1,"")</f>
        <v/>
      </c>
      <c r="Q928">
        <f>IF(OR($R927="",$R927="T"),"",IF($R927="B",$Q927,IF($Q927+1&gt;$K$3,"",$Q927+1)))</f>
        <v/>
      </c>
      <c r="R928">
        <f>IF(OR($R927="",$R927="T"),"",IF($R927="B","S",IF($Q927+1&gt;$K$3,"T",IF(INDEX($M$4:$M$2003,MATCH($Q927+1,$P$4:$P$2003,0))&lt;&gt;INDEX($M$4:$M$2003,MATCH($Q927,$P$4:$P$2003,0)),"B","S"))))</f>
        <v/>
      </c>
      <c r="S928">
        <f>IF(Q928="","",IFERROR(MATCH(Q928,$P$4:$P$2003,0),""))</f>
        <v/>
      </c>
    </row>
    <row r="929">
      <c r="A929" s="4">
        <f>IF($R929="","",IF($R929="T","Gesamtergebnis",IF($R929="B",INDEX($M$4:$M$2003,$S929),INDEX($L$4:$L$2003,$S929))))</f>
        <v/>
      </c>
      <c r="B929" s="4">
        <f>IF($R929="","",IF($R929="T",$K$3,IF($R929="B",COUNTIFS($M$4:$M$2003,INDEX($M$4:$M$2003,$S929),$N$4:$N$2003,1),1)))</f>
        <v/>
      </c>
      <c r="L929">
        <f>IF($K$1="","",IFERROR(INDEX(Lines!$A:$AA,ROW()-2,$K$1),""))</f>
        <v/>
      </c>
      <c r="M929">
        <f>IF($K$2="","",IFERROR(INDEX(Lines!$A:$AA,ROW()-2,$K$2),""))</f>
        <v/>
      </c>
      <c r="N929">
        <f>IF(AND(L929&lt;&gt;"",LEFT(L929,1)="N",M929&lt;&gt;"PICKING",M929&lt;&gt;""),1,0)</f>
        <v/>
      </c>
      <c r="O929">
        <f>IF(N929=1,M929&amp;"|"&amp;L929,REPT("z",40))</f>
        <v/>
      </c>
      <c r="P929">
        <f>IF(N929=1,COUNTIF($O$4:$O$2003,"&lt;"&amp;O929)+1,"")</f>
        <v/>
      </c>
      <c r="Q929">
        <f>IF(OR($R928="",$R928="T"),"",IF($R928="B",$Q928,IF($Q928+1&gt;$K$3,"",$Q928+1)))</f>
        <v/>
      </c>
      <c r="R929">
        <f>IF(OR($R928="",$R928="T"),"",IF($R928="B","S",IF($Q928+1&gt;$K$3,"T",IF(INDEX($M$4:$M$2003,MATCH($Q928+1,$P$4:$P$2003,0))&lt;&gt;INDEX($M$4:$M$2003,MATCH($Q928,$P$4:$P$2003,0)),"B","S"))))</f>
        <v/>
      </c>
      <c r="S929">
        <f>IF(Q929="","",IFERROR(MATCH(Q929,$P$4:$P$2003,0),""))</f>
        <v/>
      </c>
    </row>
    <row r="930">
      <c r="A930" s="4">
        <f>IF($R930="","",IF($R930="T","Gesamtergebnis",IF($R930="B",INDEX($M$4:$M$2003,$S930),INDEX($L$4:$L$2003,$S930))))</f>
        <v/>
      </c>
      <c r="B930" s="4">
        <f>IF($R930="","",IF($R930="T",$K$3,IF($R930="B",COUNTIFS($M$4:$M$2003,INDEX($M$4:$M$2003,$S930),$N$4:$N$2003,1),1)))</f>
        <v/>
      </c>
      <c r="L930">
        <f>IF($K$1="","",IFERROR(INDEX(Lines!$A:$AA,ROW()-2,$K$1),""))</f>
        <v/>
      </c>
      <c r="M930">
        <f>IF($K$2="","",IFERROR(INDEX(Lines!$A:$AA,ROW()-2,$K$2),""))</f>
        <v/>
      </c>
      <c r="N930">
        <f>IF(AND(L930&lt;&gt;"",LEFT(L930,1)="N",M930&lt;&gt;"PICKING",M930&lt;&gt;""),1,0)</f>
        <v/>
      </c>
      <c r="O930">
        <f>IF(N930=1,M930&amp;"|"&amp;L930,REPT("z",40))</f>
        <v/>
      </c>
      <c r="P930">
        <f>IF(N930=1,COUNTIF($O$4:$O$2003,"&lt;"&amp;O930)+1,"")</f>
        <v/>
      </c>
      <c r="Q930">
        <f>IF(OR($R929="",$R929="T"),"",IF($R929="B",$Q929,IF($Q929+1&gt;$K$3,"",$Q929+1)))</f>
        <v/>
      </c>
      <c r="R930">
        <f>IF(OR($R929="",$R929="T"),"",IF($R929="B","S",IF($Q929+1&gt;$K$3,"T",IF(INDEX($M$4:$M$2003,MATCH($Q929+1,$P$4:$P$2003,0))&lt;&gt;INDEX($M$4:$M$2003,MATCH($Q929,$P$4:$P$2003,0)),"B","S"))))</f>
        <v/>
      </c>
      <c r="S930">
        <f>IF(Q930="","",IFERROR(MATCH(Q930,$P$4:$P$2003,0),""))</f>
        <v/>
      </c>
    </row>
    <row r="931">
      <c r="A931" s="4">
        <f>IF($R931="","",IF($R931="T","Gesamtergebnis",IF($R931="B",INDEX($M$4:$M$2003,$S931),INDEX($L$4:$L$2003,$S931))))</f>
        <v/>
      </c>
      <c r="B931" s="4">
        <f>IF($R931="","",IF($R931="T",$K$3,IF($R931="B",COUNTIFS($M$4:$M$2003,INDEX($M$4:$M$2003,$S931),$N$4:$N$2003,1),1)))</f>
        <v/>
      </c>
      <c r="L931">
        <f>IF($K$1="","",IFERROR(INDEX(Lines!$A:$AA,ROW()-2,$K$1),""))</f>
        <v/>
      </c>
      <c r="M931">
        <f>IF($K$2="","",IFERROR(INDEX(Lines!$A:$AA,ROW()-2,$K$2),""))</f>
        <v/>
      </c>
      <c r="N931">
        <f>IF(AND(L931&lt;&gt;"",LEFT(L931,1)="N",M931&lt;&gt;"PICKING",M931&lt;&gt;""),1,0)</f>
        <v/>
      </c>
      <c r="O931">
        <f>IF(N931=1,M931&amp;"|"&amp;L931,REPT("z",40))</f>
        <v/>
      </c>
      <c r="P931">
        <f>IF(N931=1,COUNTIF($O$4:$O$2003,"&lt;"&amp;O931)+1,"")</f>
        <v/>
      </c>
      <c r="Q931">
        <f>IF(OR($R930="",$R930="T"),"",IF($R930="B",$Q930,IF($Q930+1&gt;$K$3,"",$Q930+1)))</f>
        <v/>
      </c>
      <c r="R931">
        <f>IF(OR($R930="",$R930="T"),"",IF($R930="B","S",IF($Q930+1&gt;$K$3,"T",IF(INDEX($M$4:$M$2003,MATCH($Q930+1,$P$4:$P$2003,0))&lt;&gt;INDEX($M$4:$M$2003,MATCH($Q930,$P$4:$P$2003,0)),"B","S"))))</f>
        <v/>
      </c>
      <c r="S931">
        <f>IF(Q931="","",IFERROR(MATCH(Q931,$P$4:$P$2003,0),""))</f>
        <v/>
      </c>
    </row>
    <row r="932">
      <c r="A932" s="4">
        <f>IF($R932="","",IF($R932="T","Gesamtergebnis",IF($R932="B",INDEX($M$4:$M$2003,$S932),INDEX($L$4:$L$2003,$S932))))</f>
        <v/>
      </c>
      <c r="B932" s="4">
        <f>IF($R932="","",IF($R932="T",$K$3,IF($R932="B",COUNTIFS($M$4:$M$2003,INDEX($M$4:$M$2003,$S932),$N$4:$N$2003,1),1)))</f>
        <v/>
      </c>
      <c r="L932">
        <f>IF($K$1="","",IFERROR(INDEX(Lines!$A:$AA,ROW()-2,$K$1),""))</f>
        <v/>
      </c>
      <c r="M932">
        <f>IF($K$2="","",IFERROR(INDEX(Lines!$A:$AA,ROW()-2,$K$2),""))</f>
        <v/>
      </c>
      <c r="N932">
        <f>IF(AND(L932&lt;&gt;"",LEFT(L932,1)="N",M932&lt;&gt;"PICKING",M932&lt;&gt;""),1,0)</f>
        <v/>
      </c>
      <c r="O932">
        <f>IF(N932=1,M932&amp;"|"&amp;L932,REPT("z",40))</f>
        <v/>
      </c>
      <c r="P932">
        <f>IF(N932=1,COUNTIF($O$4:$O$2003,"&lt;"&amp;O932)+1,"")</f>
        <v/>
      </c>
      <c r="Q932">
        <f>IF(OR($R931="",$R931="T"),"",IF($R931="B",$Q931,IF($Q931+1&gt;$K$3,"",$Q931+1)))</f>
        <v/>
      </c>
      <c r="R932">
        <f>IF(OR($R931="",$R931="T"),"",IF($R931="B","S",IF($Q931+1&gt;$K$3,"T",IF(INDEX($M$4:$M$2003,MATCH($Q931+1,$P$4:$P$2003,0))&lt;&gt;INDEX($M$4:$M$2003,MATCH($Q931,$P$4:$P$2003,0)),"B","S"))))</f>
        <v/>
      </c>
      <c r="S932">
        <f>IF(Q932="","",IFERROR(MATCH(Q932,$P$4:$P$2003,0),""))</f>
        <v/>
      </c>
    </row>
    <row r="933">
      <c r="A933" s="4">
        <f>IF($R933="","",IF($R933="T","Gesamtergebnis",IF($R933="B",INDEX($M$4:$M$2003,$S933),INDEX($L$4:$L$2003,$S933))))</f>
        <v/>
      </c>
      <c r="B933" s="4">
        <f>IF($R933="","",IF($R933="T",$K$3,IF($R933="B",COUNTIFS($M$4:$M$2003,INDEX($M$4:$M$2003,$S933),$N$4:$N$2003,1),1)))</f>
        <v/>
      </c>
      <c r="L933">
        <f>IF($K$1="","",IFERROR(INDEX(Lines!$A:$AA,ROW()-2,$K$1),""))</f>
        <v/>
      </c>
      <c r="M933">
        <f>IF($K$2="","",IFERROR(INDEX(Lines!$A:$AA,ROW()-2,$K$2),""))</f>
        <v/>
      </c>
      <c r="N933">
        <f>IF(AND(L933&lt;&gt;"",LEFT(L933,1)="N",M933&lt;&gt;"PICKING",M933&lt;&gt;""),1,0)</f>
        <v/>
      </c>
      <c r="O933">
        <f>IF(N933=1,M933&amp;"|"&amp;L933,REPT("z",40))</f>
        <v/>
      </c>
      <c r="P933">
        <f>IF(N933=1,COUNTIF($O$4:$O$2003,"&lt;"&amp;O933)+1,"")</f>
        <v/>
      </c>
      <c r="Q933">
        <f>IF(OR($R932="",$R932="T"),"",IF($R932="B",$Q932,IF($Q932+1&gt;$K$3,"",$Q932+1)))</f>
        <v/>
      </c>
      <c r="R933">
        <f>IF(OR($R932="",$R932="T"),"",IF($R932="B","S",IF($Q932+1&gt;$K$3,"T",IF(INDEX($M$4:$M$2003,MATCH($Q932+1,$P$4:$P$2003,0))&lt;&gt;INDEX($M$4:$M$2003,MATCH($Q932,$P$4:$P$2003,0)),"B","S"))))</f>
        <v/>
      </c>
      <c r="S933">
        <f>IF(Q933="","",IFERROR(MATCH(Q933,$P$4:$P$2003,0),""))</f>
        <v/>
      </c>
    </row>
    <row r="934">
      <c r="A934" s="4">
        <f>IF($R934="","",IF($R934="T","Gesamtergebnis",IF($R934="B",INDEX($M$4:$M$2003,$S934),INDEX($L$4:$L$2003,$S934))))</f>
        <v/>
      </c>
      <c r="B934" s="4">
        <f>IF($R934="","",IF($R934="T",$K$3,IF($R934="B",COUNTIFS($M$4:$M$2003,INDEX($M$4:$M$2003,$S934),$N$4:$N$2003,1),1)))</f>
        <v/>
      </c>
      <c r="L934">
        <f>IF($K$1="","",IFERROR(INDEX(Lines!$A:$AA,ROW()-2,$K$1),""))</f>
        <v/>
      </c>
      <c r="M934">
        <f>IF($K$2="","",IFERROR(INDEX(Lines!$A:$AA,ROW()-2,$K$2),""))</f>
        <v/>
      </c>
      <c r="N934">
        <f>IF(AND(L934&lt;&gt;"",LEFT(L934,1)="N",M934&lt;&gt;"PICKING",M934&lt;&gt;""),1,0)</f>
        <v/>
      </c>
      <c r="O934">
        <f>IF(N934=1,M934&amp;"|"&amp;L934,REPT("z",40))</f>
        <v/>
      </c>
      <c r="P934">
        <f>IF(N934=1,COUNTIF($O$4:$O$2003,"&lt;"&amp;O934)+1,"")</f>
        <v/>
      </c>
      <c r="Q934">
        <f>IF(OR($R933="",$R933="T"),"",IF($R933="B",$Q933,IF($Q933+1&gt;$K$3,"",$Q933+1)))</f>
        <v/>
      </c>
      <c r="R934">
        <f>IF(OR($R933="",$R933="T"),"",IF($R933="B","S",IF($Q933+1&gt;$K$3,"T",IF(INDEX($M$4:$M$2003,MATCH($Q933+1,$P$4:$P$2003,0))&lt;&gt;INDEX($M$4:$M$2003,MATCH($Q933,$P$4:$P$2003,0)),"B","S"))))</f>
        <v/>
      </c>
      <c r="S934">
        <f>IF(Q934="","",IFERROR(MATCH(Q934,$P$4:$P$2003,0),""))</f>
        <v/>
      </c>
    </row>
    <row r="935">
      <c r="A935" s="4">
        <f>IF($R935="","",IF($R935="T","Gesamtergebnis",IF($R935="B",INDEX($M$4:$M$2003,$S935),INDEX($L$4:$L$2003,$S935))))</f>
        <v/>
      </c>
      <c r="B935" s="4">
        <f>IF($R935="","",IF($R935="T",$K$3,IF($R935="B",COUNTIFS($M$4:$M$2003,INDEX($M$4:$M$2003,$S935),$N$4:$N$2003,1),1)))</f>
        <v/>
      </c>
      <c r="L935">
        <f>IF($K$1="","",IFERROR(INDEX(Lines!$A:$AA,ROW()-2,$K$1),""))</f>
        <v/>
      </c>
      <c r="M935">
        <f>IF($K$2="","",IFERROR(INDEX(Lines!$A:$AA,ROW()-2,$K$2),""))</f>
        <v/>
      </c>
      <c r="N935">
        <f>IF(AND(L935&lt;&gt;"",LEFT(L935,1)="N",M935&lt;&gt;"PICKING",M935&lt;&gt;""),1,0)</f>
        <v/>
      </c>
      <c r="O935">
        <f>IF(N935=1,M935&amp;"|"&amp;L935,REPT("z",40))</f>
        <v/>
      </c>
      <c r="P935">
        <f>IF(N935=1,COUNTIF($O$4:$O$2003,"&lt;"&amp;O935)+1,"")</f>
        <v/>
      </c>
      <c r="Q935">
        <f>IF(OR($R934="",$R934="T"),"",IF($R934="B",$Q934,IF($Q934+1&gt;$K$3,"",$Q934+1)))</f>
        <v/>
      </c>
      <c r="R935">
        <f>IF(OR($R934="",$R934="T"),"",IF($R934="B","S",IF($Q934+1&gt;$K$3,"T",IF(INDEX($M$4:$M$2003,MATCH($Q934+1,$P$4:$P$2003,0))&lt;&gt;INDEX($M$4:$M$2003,MATCH($Q934,$P$4:$P$2003,0)),"B","S"))))</f>
        <v/>
      </c>
      <c r="S935">
        <f>IF(Q935="","",IFERROR(MATCH(Q935,$P$4:$P$2003,0),""))</f>
        <v/>
      </c>
    </row>
    <row r="936">
      <c r="A936" s="4">
        <f>IF($R936="","",IF($R936="T","Gesamtergebnis",IF($R936="B",INDEX($M$4:$M$2003,$S936),INDEX($L$4:$L$2003,$S936))))</f>
        <v/>
      </c>
      <c r="B936" s="4">
        <f>IF($R936="","",IF($R936="T",$K$3,IF($R936="B",COUNTIFS($M$4:$M$2003,INDEX($M$4:$M$2003,$S936),$N$4:$N$2003,1),1)))</f>
        <v/>
      </c>
      <c r="L936">
        <f>IF($K$1="","",IFERROR(INDEX(Lines!$A:$AA,ROW()-2,$K$1),""))</f>
        <v/>
      </c>
      <c r="M936">
        <f>IF($K$2="","",IFERROR(INDEX(Lines!$A:$AA,ROW()-2,$K$2),""))</f>
        <v/>
      </c>
      <c r="N936">
        <f>IF(AND(L936&lt;&gt;"",LEFT(L936,1)="N",M936&lt;&gt;"PICKING",M936&lt;&gt;""),1,0)</f>
        <v/>
      </c>
      <c r="O936">
        <f>IF(N936=1,M936&amp;"|"&amp;L936,REPT("z",40))</f>
        <v/>
      </c>
      <c r="P936">
        <f>IF(N936=1,COUNTIF($O$4:$O$2003,"&lt;"&amp;O936)+1,"")</f>
        <v/>
      </c>
      <c r="Q936">
        <f>IF(OR($R935="",$R935="T"),"",IF($R935="B",$Q935,IF($Q935+1&gt;$K$3,"",$Q935+1)))</f>
        <v/>
      </c>
      <c r="R936">
        <f>IF(OR($R935="",$R935="T"),"",IF($R935="B","S",IF($Q935+1&gt;$K$3,"T",IF(INDEX($M$4:$M$2003,MATCH($Q935+1,$P$4:$P$2003,0))&lt;&gt;INDEX($M$4:$M$2003,MATCH($Q935,$P$4:$P$2003,0)),"B","S"))))</f>
        <v/>
      </c>
      <c r="S936">
        <f>IF(Q936="","",IFERROR(MATCH(Q936,$P$4:$P$2003,0),""))</f>
        <v/>
      </c>
    </row>
    <row r="937">
      <c r="A937" s="4">
        <f>IF($R937="","",IF($R937="T","Gesamtergebnis",IF($R937="B",INDEX($M$4:$M$2003,$S937),INDEX($L$4:$L$2003,$S937))))</f>
        <v/>
      </c>
      <c r="B937" s="4">
        <f>IF($R937="","",IF($R937="T",$K$3,IF($R937="B",COUNTIFS($M$4:$M$2003,INDEX($M$4:$M$2003,$S937),$N$4:$N$2003,1),1)))</f>
        <v/>
      </c>
      <c r="L937">
        <f>IF($K$1="","",IFERROR(INDEX(Lines!$A:$AA,ROW()-2,$K$1),""))</f>
        <v/>
      </c>
      <c r="M937">
        <f>IF($K$2="","",IFERROR(INDEX(Lines!$A:$AA,ROW()-2,$K$2),""))</f>
        <v/>
      </c>
      <c r="N937">
        <f>IF(AND(L937&lt;&gt;"",LEFT(L937,1)="N",M937&lt;&gt;"PICKING",M937&lt;&gt;""),1,0)</f>
        <v/>
      </c>
      <c r="O937">
        <f>IF(N937=1,M937&amp;"|"&amp;L937,REPT("z",40))</f>
        <v/>
      </c>
      <c r="P937">
        <f>IF(N937=1,COUNTIF($O$4:$O$2003,"&lt;"&amp;O937)+1,"")</f>
        <v/>
      </c>
      <c r="Q937">
        <f>IF(OR($R936="",$R936="T"),"",IF($R936="B",$Q936,IF($Q936+1&gt;$K$3,"",$Q936+1)))</f>
        <v/>
      </c>
      <c r="R937">
        <f>IF(OR($R936="",$R936="T"),"",IF($R936="B","S",IF($Q936+1&gt;$K$3,"T",IF(INDEX($M$4:$M$2003,MATCH($Q936+1,$P$4:$P$2003,0))&lt;&gt;INDEX($M$4:$M$2003,MATCH($Q936,$P$4:$P$2003,0)),"B","S"))))</f>
        <v/>
      </c>
      <c r="S937">
        <f>IF(Q937="","",IFERROR(MATCH(Q937,$P$4:$P$2003,0),""))</f>
        <v/>
      </c>
    </row>
    <row r="938">
      <c r="A938" s="4">
        <f>IF($R938="","",IF($R938="T","Gesamtergebnis",IF($R938="B",INDEX($M$4:$M$2003,$S938),INDEX($L$4:$L$2003,$S938))))</f>
        <v/>
      </c>
      <c r="B938" s="4">
        <f>IF($R938="","",IF($R938="T",$K$3,IF($R938="B",COUNTIFS($M$4:$M$2003,INDEX($M$4:$M$2003,$S938),$N$4:$N$2003,1),1)))</f>
        <v/>
      </c>
      <c r="L938">
        <f>IF($K$1="","",IFERROR(INDEX(Lines!$A:$AA,ROW()-2,$K$1),""))</f>
        <v/>
      </c>
      <c r="M938">
        <f>IF($K$2="","",IFERROR(INDEX(Lines!$A:$AA,ROW()-2,$K$2),""))</f>
        <v/>
      </c>
      <c r="N938">
        <f>IF(AND(L938&lt;&gt;"",LEFT(L938,1)="N",M938&lt;&gt;"PICKING",M938&lt;&gt;""),1,0)</f>
        <v/>
      </c>
      <c r="O938">
        <f>IF(N938=1,M938&amp;"|"&amp;L938,REPT("z",40))</f>
        <v/>
      </c>
      <c r="P938">
        <f>IF(N938=1,COUNTIF($O$4:$O$2003,"&lt;"&amp;O938)+1,"")</f>
        <v/>
      </c>
      <c r="Q938">
        <f>IF(OR($R937="",$R937="T"),"",IF($R937="B",$Q937,IF($Q937+1&gt;$K$3,"",$Q937+1)))</f>
        <v/>
      </c>
      <c r="R938">
        <f>IF(OR($R937="",$R937="T"),"",IF($R937="B","S",IF($Q937+1&gt;$K$3,"T",IF(INDEX($M$4:$M$2003,MATCH($Q937+1,$P$4:$P$2003,0))&lt;&gt;INDEX($M$4:$M$2003,MATCH($Q937,$P$4:$P$2003,0)),"B","S"))))</f>
        <v/>
      </c>
      <c r="S938">
        <f>IF(Q938="","",IFERROR(MATCH(Q938,$P$4:$P$2003,0),""))</f>
        <v/>
      </c>
    </row>
    <row r="939">
      <c r="A939" s="4">
        <f>IF($R939="","",IF($R939="T","Gesamtergebnis",IF($R939="B",INDEX($M$4:$M$2003,$S939),INDEX($L$4:$L$2003,$S939))))</f>
        <v/>
      </c>
      <c r="B939" s="4">
        <f>IF($R939="","",IF($R939="T",$K$3,IF($R939="B",COUNTIFS($M$4:$M$2003,INDEX($M$4:$M$2003,$S939),$N$4:$N$2003,1),1)))</f>
        <v/>
      </c>
      <c r="L939">
        <f>IF($K$1="","",IFERROR(INDEX(Lines!$A:$AA,ROW()-2,$K$1),""))</f>
        <v/>
      </c>
      <c r="M939">
        <f>IF($K$2="","",IFERROR(INDEX(Lines!$A:$AA,ROW()-2,$K$2),""))</f>
        <v/>
      </c>
      <c r="N939">
        <f>IF(AND(L939&lt;&gt;"",LEFT(L939,1)="N",M939&lt;&gt;"PICKING",M939&lt;&gt;""),1,0)</f>
        <v/>
      </c>
      <c r="O939">
        <f>IF(N939=1,M939&amp;"|"&amp;L939,REPT("z",40))</f>
        <v/>
      </c>
      <c r="P939">
        <f>IF(N939=1,COUNTIF($O$4:$O$2003,"&lt;"&amp;O939)+1,"")</f>
        <v/>
      </c>
      <c r="Q939">
        <f>IF(OR($R938="",$R938="T"),"",IF($R938="B",$Q938,IF($Q938+1&gt;$K$3,"",$Q938+1)))</f>
        <v/>
      </c>
      <c r="R939">
        <f>IF(OR($R938="",$R938="T"),"",IF($R938="B","S",IF($Q938+1&gt;$K$3,"T",IF(INDEX($M$4:$M$2003,MATCH($Q938+1,$P$4:$P$2003,0))&lt;&gt;INDEX($M$4:$M$2003,MATCH($Q938,$P$4:$P$2003,0)),"B","S"))))</f>
        <v/>
      </c>
      <c r="S939">
        <f>IF(Q939="","",IFERROR(MATCH(Q939,$P$4:$P$2003,0),""))</f>
        <v/>
      </c>
    </row>
    <row r="940">
      <c r="A940" s="4">
        <f>IF($R940="","",IF($R940="T","Gesamtergebnis",IF($R940="B",INDEX($M$4:$M$2003,$S940),INDEX($L$4:$L$2003,$S940))))</f>
        <v/>
      </c>
      <c r="B940" s="4">
        <f>IF($R940="","",IF($R940="T",$K$3,IF($R940="B",COUNTIFS($M$4:$M$2003,INDEX($M$4:$M$2003,$S940),$N$4:$N$2003,1),1)))</f>
        <v/>
      </c>
      <c r="L940">
        <f>IF($K$1="","",IFERROR(INDEX(Lines!$A:$AA,ROW()-2,$K$1),""))</f>
        <v/>
      </c>
      <c r="M940">
        <f>IF($K$2="","",IFERROR(INDEX(Lines!$A:$AA,ROW()-2,$K$2),""))</f>
        <v/>
      </c>
      <c r="N940">
        <f>IF(AND(L940&lt;&gt;"",LEFT(L940,1)="N",M940&lt;&gt;"PICKING",M940&lt;&gt;""),1,0)</f>
        <v/>
      </c>
      <c r="O940">
        <f>IF(N940=1,M940&amp;"|"&amp;L940,REPT("z",40))</f>
        <v/>
      </c>
      <c r="P940">
        <f>IF(N940=1,COUNTIF($O$4:$O$2003,"&lt;"&amp;O940)+1,"")</f>
        <v/>
      </c>
      <c r="Q940">
        <f>IF(OR($R939="",$R939="T"),"",IF($R939="B",$Q939,IF($Q939+1&gt;$K$3,"",$Q939+1)))</f>
        <v/>
      </c>
      <c r="R940">
        <f>IF(OR($R939="",$R939="T"),"",IF($R939="B","S",IF($Q939+1&gt;$K$3,"T",IF(INDEX($M$4:$M$2003,MATCH($Q939+1,$P$4:$P$2003,0))&lt;&gt;INDEX($M$4:$M$2003,MATCH($Q939,$P$4:$P$2003,0)),"B","S"))))</f>
        <v/>
      </c>
      <c r="S940">
        <f>IF(Q940="","",IFERROR(MATCH(Q940,$P$4:$P$2003,0),""))</f>
        <v/>
      </c>
    </row>
    <row r="941">
      <c r="A941" s="4">
        <f>IF($R941="","",IF($R941="T","Gesamtergebnis",IF($R941="B",INDEX($M$4:$M$2003,$S941),INDEX($L$4:$L$2003,$S941))))</f>
        <v/>
      </c>
      <c r="B941" s="4">
        <f>IF($R941="","",IF($R941="T",$K$3,IF($R941="B",COUNTIFS($M$4:$M$2003,INDEX($M$4:$M$2003,$S941),$N$4:$N$2003,1),1)))</f>
        <v/>
      </c>
      <c r="L941">
        <f>IF($K$1="","",IFERROR(INDEX(Lines!$A:$AA,ROW()-2,$K$1),""))</f>
        <v/>
      </c>
      <c r="M941">
        <f>IF($K$2="","",IFERROR(INDEX(Lines!$A:$AA,ROW()-2,$K$2),""))</f>
        <v/>
      </c>
      <c r="N941">
        <f>IF(AND(L941&lt;&gt;"",LEFT(L941,1)="N",M941&lt;&gt;"PICKING",M941&lt;&gt;""),1,0)</f>
        <v/>
      </c>
      <c r="O941">
        <f>IF(N941=1,M941&amp;"|"&amp;L941,REPT("z",40))</f>
        <v/>
      </c>
      <c r="P941">
        <f>IF(N941=1,COUNTIF($O$4:$O$2003,"&lt;"&amp;O941)+1,"")</f>
        <v/>
      </c>
      <c r="Q941">
        <f>IF(OR($R940="",$R940="T"),"",IF($R940="B",$Q940,IF($Q940+1&gt;$K$3,"",$Q940+1)))</f>
        <v/>
      </c>
      <c r="R941">
        <f>IF(OR($R940="",$R940="T"),"",IF($R940="B","S",IF($Q940+1&gt;$K$3,"T",IF(INDEX($M$4:$M$2003,MATCH($Q940+1,$P$4:$P$2003,0))&lt;&gt;INDEX($M$4:$M$2003,MATCH($Q940,$P$4:$P$2003,0)),"B","S"))))</f>
        <v/>
      </c>
      <c r="S941">
        <f>IF(Q941="","",IFERROR(MATCH(Q941,$P$4:$P$2003,0),""))</f>
        <v/>
      </c>
    </row>
    <row r="942">
      <c r="A942" s="4">
        <f>IF($R942="","",IF($R942="T","Gesamtergebnis",IF($R942="B",INDEX($M$4:$M$2003,$S942),INDEX($L$4:$L$2003,$S942))))</f>
        <v/>
      </c>
      <c r="B942" s="4">
        <f>IF($R942="","",IF($R942="T",$K$3,IF($R942="B",COUNTIFS($M$4:$M$2003,INDEX($M$4:$M$2003,$S942),$N$4:$N$2003,1),1)))</f>
        <v/>
      </c>
      <c r="L942">
        <f>IF($K$1="","",IFERROR(INDEX(Lines!$A:$AA,ROW()-2,$K$1),""))</f>
        <v/>
      </c>
      <c r="M942">
        <f>IF($K$2="","",IFERROR(INDEX(Lines!$A:$AA,ROW()-2,$K$2),""))</f>
        <v/>
      </c>
      <c r="N942">
        <f>IF(AND(L942&lt;&gt;"",LEFT(L942,1)="N",M942&lt;&gt;"PICKING",M942&lt;&gt;""),1,0)</f>
        <v/>
      </c>
      <c r="O942">
        <f>IF(N942=1,M942&amp;"|"&amp;L942,REPT("z",40))</f>
        <v/>
      </c>
      <c r="P942">
        <f>IF(N942=1,COUNTIF($O$4:$O$2003,"&lt;"&amp;O942)+1,"")</f>
        <v/>
      </c>
      <c r="Q942">
        <f>IF(OR($R941="",$R941="T"),"",IF($R941="B",$Q941,IF($Q941+1&gt;$K$3,"",$Q941+1)))</f>
        <v/>
      </c>
      <c r="R942">
        <f>IF(OR($R941="",$R941="T"),"",IF($R941="B","S",IF($Q941+1&gt;$K$3,"T",IF(INDEX($M$4:$M$2003,MATCH($Q941+1,$P$4:$P$2003,0))&lt;&gt;INDEX($M$4:$M$2003,MATCH($Q941,$P$4:$P$2003,0)),"B","S"))))</f>
        <v/>
      </c>
      <c r="S942">
        <f>IF(Q942="","",IFERROR(MATCH(Q942,$P$4:$P$2003,0),""))</f>
        <v/>
      </c>
    </row>
    <row r="943">
      <c r="A943" s="4">
        <f>IF($R943="","",IF($R943="T","Gesamtergebnis",IF($R943="B",INDEX($M$4:$M$2003,$S943),INDEX($L$4:$L$2003,$S943))))</f>
        <v/>
      </c>
      <c r="B943" s="4">
        <f>IF($R943="","",IF($R943="T",$K$3,IF($R943="B",COUNTIFS($M$4:$M$2003,INDEX($M$4:$M$2003,$S943),$N$4:$N$2003,1),1)))</f>
        <v/>
      </c>
      <c r="L943">
        <f>IF($K$1="","",IFERROR(INDEX(Lines!$A:$AA,ROW()-2,$K$1),""))</f>
        <v/>
      </c>
      <c r="M943">
        <f>IF($K$2="","",IFERROR(INDEX(Lines!$A:$AA,ROW()-2,$K$2),""))</f>
        <v/>
      </c>
      <c r="N943">
        <f>IF(AND(L943&lt;&gt;"",LEFT(L943,1)="N",M943&lt;&gt;"PICKING",M943&lt;&gt;""),1,0)</f>
        <v/>
      </c>
      <c r="O943">
        <f>IF(N943=1,M943&amp;"|"&amp;L943,REPT("z",40))</f>
        <v/>
      </c>
      <c r="P943">
        <f>IF(N943=1,COUNTIF($O$4:$O$2003,"&lt;"&amp;O943)+1,"")</f>
        <v/>
      </c>
      <c r="Q943">
        <f>IF(OR($R942="",$R942="T"),"",IF($R942="B",$Q942,IF($Q942+1&gt;$K$3,"",$Q942+1)))</f>
        <v/>
      </c>
      <c r="R943">
        <f>IF(OR($R942="",$R942="T"),"",IF($R942="B","S",IF($Q942+1&gt;$K$3,"T",IF(INDEX($M$4:$M$2003,MATCH($Q942+1,$P$4:$P$2003,0))&lt;&gt;INDEX($M$4:$M$2003,MATCH($Q942,$P$4:$P$2003,0)),"B","S"))))</f>
        <v/>
      </c>
      <c r="S943">
        <f>IF(Q943="","",IFERROR(MATCH(Q943,$P$4:$P$2003,0),""))</f>
        <v/>
      </c>
    </row>
    <row r="944">
      <c r="A944" s="4">
        <f>IF($R944="","",IF($R944="T","Gesamtergebnis",IF($R944="B",INDEX($M$4:$M$2003,$S944),INDEX($L$4:$L$2003,$S944))))</f>
        <v/>
      </c>
      <c r="B944" s="4">
        <f>IF($R944="","",IF($R944="T",$K$3,IF($R944="B",COUNTIFS($M$4:$M$2003,INDEX($M$4:$M$2003,$S944),$N$4:$N$2003,1),1)))</f>
        <v/>
      </c>
      <c r="L944">
        <f>IF($K$1="","",IFERROR(INDEX(Lines!$A:$AA,ROW()-2,$K$1),""))</f>
        <v/>
      </c>
      <c r="M944">
        <f>IF($K$2="","",IFERROR(INDEX(Lines!$A:$AA,ROW()-2,$K$2),""))</f>
        <v/>
      </c>
      <c r="N944">
        <f>IF(AND(L944&lt;&gt;"",LEFT(L944,1)="N",M944&lt;&gt;"PICKING",M944&lt;&gt;""),1,0)</f>
        <v/>
      </c>
      <c r="O944">
        <f>IF(N944=1,M944&amp;"|"&amp;L944,REPT("z",40))</f>
        <v/>
      </c>
      <c r="P944">
        <f>IF(N944=1,COUNTIF($O$4:$O$2003,"&lt;"&amp;O944)+1,"")</f>
        <v/>
      </c>
      <c r="Q944">
        <f>IF(OR($R943="",$R943="T"),"",IF($R943="B",$Q943,IF($Q943+1&gt;$K$3,"",$Q943+1)))</f>
        <v/>
      </c>
      <c r="R944">
        <f>IF(OR($R943="",$R943="T"),"",IF($R943="B","S",IF($Q943+1&gt;$K$3,"T",IF(INDEX($M$4:$M$2003,MATCH($Q943+1,$P$4:$P$2003,0))&lt;&gt;INDEX($M$4:$M$2003,MATCH($Q943,$P$4:$P$2003,0)),"B","S"))))</f>
        <v/>
      </c>
      <c r="S944">
        <f>IF(Q944="","",IFERROR(MATCH(Q944,$P$4:$P$2003,0),""))</f>
        <v/>
      </c>
    </row>
    <row r="945">
      <c r="A945" s="4">
        <f>IF($R945="","",IF($R945="T","Gesamtergebnis",IF($R945="B",INDEX($M$4:$M$2003,$S945),INDEX($L$4:$L$2003,$S945))))</f>
        <v/>
      </c>
      <c r="B945" s="4">
        <f>IF($R945="","",IF($R945="T",$K$3,IF($R945="B",COUNTIFS($M$4:$M$2003,INDEX($M$4:$M$2003,$S945),$N$4:$N$2003,1),1)))</f>
        <v/>
      </c>
      <c r="L945">
        <f>IF($K$1="","",IFERROR(INDEX(Lines!$A:$AA,ROW()-2,$K$1),""))</f>
        <v/>
      </c>
      <c r="M945">
        <f>IF($K$2="","",IFERROR(INDEX(Lines!$A:$AA,ROW()-2,$K$2),""))</f>
        <v/>
      </c>
      <c r="N945">
        <f>IF(AND(L945&lt;&gt;"",LEFT(L945,1)="N",M945&lt;&gt;"PICKING",M945&lt;&gt;""),1,0)</f>
        <v/>
      </c>
      <c r="O945">
        <f>IF(N945=1,M945&amp;"|"&amp;L945,REPT("z",40))</f>
        <v/>
      </c>
      <c r="P945">
        <f>IF(N945=1,COUNTIF($O$4:$O$2003,"&lt;"&amp;O945)+1,"")</f>
        <v/>
      </c>
      <c r="Q945">
        <f>IF(OR($R944="",$R944="T"),"",IF($R944="B",$Q944,IF($Q944+1&gt;$K$3,"",$Q944+1)))</f>
        <v/>
      </c>
      <c r="R945">
        <f>IF(OR($R944="",$R944="T"),"",IF($R944="B","S",IF($Q944+1&gt;$K$3,"T",IF(INDEX($M$4:$M$2003,MATCH($Q944+1,$P$4:$P$2003,0))&lt;&gt;INDEX($M$4:$M$2003,MATCH($Q944,$P$4:$P$2003,0)),"B","S"))))</f>
        <v/>
      </c>
      <c r="S945">
        <f>IF(Q945="","",IFERROR(MATCH(Q945,$P$4:$P$2003,0),""))</f>
        <v/>
      </c>
    </row>
    <row r="946">
      <c r="A946" s="4">
        <f>IF($R946="","",IF($R946="T","Gesamtergebnis",IF($R946="B",INDEX($M$4:$M$2003,$S946),INDEX($L$4:$L$2003,$S946))))</f>
        <v/>
      </c>
      <c r="B946" s="4">
        <f>IF($R946="","",IF($R946="T",$K$3,IF($R946="B",COUNTIFS($M$4:$M$2003,INDEX($M$4:$M$2003,$S946),$N$4:$N$2003,1),1)))</f>
        <v/>
      </c>
      <c r="L946">
        <f>IF($K$1="","",IFERROR(INDEX(Lines!$A:$AA,ROW()-2,$K$1),""))</f>
        <v/>
      </c>
      <c r="M946">
        <f>IF($K$2="","",IFERROR(INDEX(Lines!$A:$AA,ROW()-2,$K$2),""))</f>
        <v/>
      </c>
      <c r="N946">
        <f>IF(AND(L946&lt;&gt;"",LEFT(L946,1)="N",M946&lt;&gt;"PICKING",M946&lt;&gt;""),1,0)</f>
        <v/>
      </c>
      <c r="O946">
        <f>IF(N946=1,M946&amp;"|"&amp;L946,REPT("z",40))</f>
        <v/>
      </c>
      <c r="P946">
        <f>IF(N946=1,COUNTIF($O$4:$O$2003,"&lt;"&amp;O946)+1,"")</f>
        <v/>
      </c>
      <c r="Q946">
        <f>IF(OR($R945="",$R945="T"),"",IF($R945="B",$Q945,IF($Q945+1&gt;$K$3,"",$Q945+1)))</f>
        <v/>
      </c>
      <c r="R946">
        <f>IF(OR($R945="",$R945="T"),"",IF($R945="B","S",IF($Q945+1&gt;$K$3,"T",IF(INDEX($M$4:$M$2003,MATCH($Q945+1,$P$4:$P$2003,0))&lt;&gt;INDEX($M$4:$M$2003,MATCH($Q945,$P$4:$P$2003,0)),"B","S"))))</f>
        <v/>
      </c>
      <c r="S946">
        <f>IF(Q946="","",IFERROR(MATCH(Q946,$P$4:$P$2003,0),""))</f>
        <v/>
      </c>
    </row>
    <row r="947">
      <c r="A947" s="4">
        <f>IF($R947="","",IF($R947="T","Gesamtergebnis",IF($R947="B",INDEX($M$4:$M$2003,$S947),INDEX($L$4:$L$2003,$S947))))</f>
        <v/>
      </c>
      <c r="B947" s="4">
        <f>IF($R947="","",IF($R947="T",$K$3,IF($R947="B",COUNTIFS($M$4:$M$2003,INDEX($M$4:$M$2003,$S947),$N$4:$N$2003,1),1)))</f>
        <v/>
      </c>
      <c r="L947">
        <f>IF($K$1="","",IFERROR(INDEX(Lines!$A:$AA,ROW()-2,$K$1),""))</f>
        <v/>
      </c>
      <c r="M947">
        <f>IF($K$2="","",IFERROR(INDEX(Lines!$A:$AA,ROW()-2,$K$2),""))</f>
        <v/>
      </c>
      <c r="N947">
        <f>IF(AND(L947&lt;&gt;"",LEFT(L947,1)="N",M947&lt;&gt;"PICKING",M947&lt;&gt;""),1,0)</f>
        <v/>
      </c>
      <c r="O947">
        <f>IF(N947=1,M947&amp;"|"&amp;L947,REPT("z",40))</f>
        <v/>
      </c>
      <c r="P947">
        <f>IF(N947=1,COUNTIF($O$4:$O$2003,"&lt;"&amp;O947)+1,"")</f>
        <v/>
      </c>
      <c r="Q947">
        <f>IF(OR($R946="",$R946="T"),"",IF($R946="B",$Q946,IF($Q946+1&gt;$K$3,"",$Q946+1)))</f>
        <v/>
      </c>
      <c r="R947">
        <f>IF(OR($R946="",$R946="T"),"",IF($R946="B","S",IF($Q946+1&gt;$K$3,"T",IF(INDEX($M$4:$M$2003,MATCH($Q946+1,$P$4:$P$2003,0))&lt;&gt;INDEX($M$4:$M$2003,MATCH($Q946,$P$4:$P$2003,0)),"B","S"))))</f>
        <v/>
      </c>
      <c r="S947">
        <f>IF(Q947="","",IFERROR(MATCH(Q947,$P$4:$P$2003,0),""))</f>
        <v/>
      </c>
    </row>
    <row r="948">
      <c r="A948" s="4">
        <f>IF($R948="","",IF($R948="T","Gesamtergebnis",IF($R948="B",INDEX($M$4:$M$2003,$S948),INDEX($L$4:$L$2003,$S948))))</f>
        <v/>
      </c>
      <c r="B948" s="4">
        <f>IF($R948="","",IF($R948="T",$K$3,IF($R948="B",COUNTIFS($M$4:$M$2003,INDEX($M$4:$M$2003,$S948),$N$4:$N$2003,1),1)))</f>
        <v/>
      </c>
      <c r="L948">
        <f>IF($K$1="","",IFERROR(INDEX(Lines!$A:$AA,ROW()-2,$K$1),""))</f>
        <v/>
      </c>
      <c r="M948">
        <f>IF($K$2="","",IFERROR(INDEX(Lines!$A:$AA,ROW()-2,$K$2),""))</f>
        <v/>
      </c>
      <c r="N948">
        <f>IF(AND(L948&lt;&gt;"",LEFT(L948,1)="N",M948&lt;&gt;"PICKING",M948&lt;&gt;""),1,0)</f>
        <v/>
      </c>
      <c r="O948">
        <f>IF(N948=1,M948&amp;"|"&amp;L948,REPT("z",40))</f>
        <v/>
      </c>
      <c r="P948">
        <f>IF(N948=1,COUNTIF($O$4:$O$2003,"&lt;"&amp;O948)+1,"")</f>
        <v/>
      </c>
      <c r="Q948">
        <f>IF(OR($R947="",$R947="T"),"",IF($R947="B",$Q947,IF($Q947+1&gt;$K$3,"",$Q947+1)))</f>
        <v/>
      </c>
      <c r="R948">
        <f>IF(OR($R947="",$R947="T"),"",IF($R947="B","S",IF($Q947+1&gt;$K$3,"T",IF(INDEX($M$4:$M$2003,MATCH($Q947+1,$P$4:$P$2003,0))&lt;&gt;INDEX($M$4:$M$2003,MATCH($Q947,$P$4:$P$2003,0)),"B","S"))))</f>
        <v/>
      </c>
      <c r="S948">
        <f>IF(Q948="","",IFERROR(MATCH(Q948,$P$4:$P$2003,0),""))</f>
        <v/>
      </c>
    </row>
    <row r="949">
      <c r="A949" s="4">
        <f>IF($R949="","",IF($R949="T","Gesamtergebnis",IF($R949="B",INDEX($M$4:$M$2003,$S949),INDEX($L$4:$L$2003,$S949))))</f>
        <v/>
      </c>
      <c r="B949" s="4">
        <f>IF($R949="","",IF($R949="T",$K$3,IF($R949="B",COUNTIFS($M$4:$M$2003,INDEX($M$4:$M$2003,$S949),$N$4:$N$2003,1),1)))</f>
        <v/>
      </c>
      <c r="L949">
        <f>IF($K$1="","",IFERROR(INDEX(Lines!$A:$AA,ROW()-2,$K$1),""))</f>
        <v/>
      </c>
      <c r="M949">
        <f>IF($K$2="","",IFERROR(INDEX(Lines!$A:$AA,ROW()-2,$K$2),""))</f>
        <v/>
      </c>
      <c r="N949">
        <f>IF(AND(L949&lt;&gt;"",LEFT(L949,1)="N",M949&lt;&gt;"PICKING",M949&lt;&gt;""),1,0)</f>
        <v/>
      </c>
      <c r="O949">
        <f>IF(N949=1,M949&amp;"|"&amp;L949,REPT("z",40))</f>
        <v/>
      </c>
      <c r="P949">
        <f>IF(N949=1,COUNTIF($O$4:$O$2003,"&lt;"&amp;O949)+1,"")</f>
        <v/>
      </c>
      <c r="Q949">
        <f>IF(OR($R948="",$R948="T"),"",IF($R948="B",$Q948,IF($Q948+1&gt;$K$3,"",$Q948+1)))</f>
        <v/>
      </c>
      <c r="R949">
        <f>IF(OR($R948="",$R948="T"),"",IF($R948="B","S",IF($Q948+1&gt;$K$3,"T",IF(INDEX($M$4:$M$2003,MATCH($Q948+1,$P$4:$P$2003,0))&lt;&gt;INDEX($M$4:$M$2003,MATCH($Q948,$P$4:$P$2003,0)),"B","S"))))</f>
        <v/>
      </c>
      <c r="S949">
        <f>IF(Q949="","",IFERROR(MATCH(Q949,$P$4:$P$2003,0),""))</f>
        <v/>
      </c>
    </row>
    <row r="950">
      <c r="A950" s="4">
        <f>IF($R950="","",IF($R950="T","Gesamtergebnis",IF($R950="B",INDEX($M$4:$M$2003,$S950),INDEX($L$4:$L$2003,$S950))))</f>
        <v/>
      </c>
      <c r="B950" s="4">
        <f>IF($R950="","",IF($R950="T",$K$3,IF($R950="B",COUNTIFS($M$4:$M$2003,INDEX($M$4:$M$2003,$S950),$N$4:$N$2003,1),1)))</f>
        <v/>
      </c>
      <c r="L950">
        <f>IF($K$1="","",IFERROR(INDEX(Lines!$A:$AA,ROW()-2,$K$1),""))</f>
        <v/>
      </c>
      <c r="M950">
        <f>IF($K$2="","",IFERROR(INDEX(Lines!$A:$AA,ROW()-2,$K$2),""))</f>
        <v/>
      </c>
      <c r="N950">
        <f>IF(AND(L950&lt;&gt;"",LEFT(L950,1)="N",M950&lt;&gt;"PICKING",M950&lt;&gt;""),1,0)</f>
        <v/>
      </c>
      <c r="O950">
        <f>IF(N950=1,M950&amp;"|"&amp;L950,REPT("z",40))</f>
        <v/>
      </c>
      <c r="P950">
        <f>IF(N950=1,COUNTIF($O$4:$O$2003,"&lt;"&amp;O950)+1,"")</f>
        <v/>
      </c>
      <c r="Q950">
        <f>IF(OR($R949="",$R949="T"),"",IF($R949="B",$Q949,IF($Q949+1&gt;$K$3,"",$Q949+1)))</f>
        <v/>
      </c>
      <c r="R950">
        <f>IF(OR($R949="",$R949="T"),"",IF($R949="B","S",IF($Q949+1&gt;$K$3,"T",IF(INDEX($M$4:$M$2003,MATCH($Q949+1,$P$4:$P$2003,0))&lt;&gt;INDEX($M$4:$M$2003,MATCH($Q949,$P$4:$P$2003,0)),"B","S"))))</f>
        <v/>
      </c>
      <c r="S950">
        <f>IF(Q950="","",IFERROR(MATCH(Q950,$P$4:$P$2003,0),""))</f>
        <v/>
      </c>
    </row>
    <row r="951">
      <c r="A951" s="4">
        <f>IF($R951="","",IF($R951="T","Gesamtergebnis",IF($R951="B",INDEX($M$4:$M$2003,$S951),INDEX($L$4:$L$2003,$S951))))</f>
        <v/>
      </c>
      <c r="B951" s="4">
        <f>IF($R951="","",IF($R951="T",$K$3,IF($R951="B",COUNTIFS($M$4:$M$2003,INDEX($M$4:$M$2003,$S951),$N$4:$N$2003,1),1)))</f>
        <v/>
      </c>
      <c r="L951">
        <f>IF($K$1="","",IFERROR(INDEX(Lines!$A:$AA,ROW()-2,$K$1),""))</f>
        <v/>
      </c>
      <c r="M951">
        <f>IF($K$2="","",IFERROR(INDEX(Lines!$A:$AA,ROW()-2,$K$2),""))</f>
        <v/>
      </c>
      <c r="N951">
        <f>IF(AND(L951&lt;&gt;"",LEFT(L951,1)="N",M951&lt;&gt;"PICKING",M951&lt;&gt;""),1,0)</f>
        <v/>
      </c>
      <c r="O951">
        <f>IF(N951=1,M951&amp;"|"&amp;L951,REPT("z",40))</f>
        <v/>
      </c>
      <c r="P951">
        <f>IF(N951=1,COUNTIF($O$4:$O$2003,"&lt;"&amp;O951)+1,"")</f>
        <v/>
      </c>
      <c r="Q951">
        <f>IF(OR($R950="",$R950="T"),"",IF($R950="B",$Q950,IF($Q950+1&gt;$K$3,"",$Q950+1)))</f>
        <v/>
      </c>
      <c r="R951">
        <f>IF(OR($R950="",$R950="T"),"",IF($R950="B","S",IF($Q950+1&gt;$K$3,"T",IF(INDEX($M$4:$M$2003,MATCH($Q950+1,$P$4:$P$2003,0))&lt;&gt;INDEX($M$4:$M$2003,MATCH($Q950,$P$4:$P$2003,0)),"B","S"))))</f>
        <v/>
      </c>
      <c r="S951">
        <f>IF(Q951="","",IFERROR(MATCH(Q951,$P$4:$P$2003,0),""))</f>
        <v/>
      </c>
    </row>
    <row r="952">
      <c r="A952" s="4">
        <f>IF($R952="","",IF($R952="T","Gesamtergebnis",IF($R952="B",INDEX($M$4:$M$2003,$S952),INDEX($L$4:$L$2003,$S952))))</f>
        <v/>
      </c>
      <c r="B952" s="4">
        <f>IF($R952="","",IF($R952="T",$K$3,IF($R952="B",COUNTIFS($M$4:$M$2003,INDEX($M$4:$M$2003,$S952),$N$4:$N$2003,1),1)))</f>
        <v/>
      </c>
      <c r="L952">
        <f>IF($K$1="","",IFERROR(INDEX(Lines!$A:$AA,ROW()-2,$K$1),""))</f>
        <v/>
      </c>
      <c r="M952">
        <f>IF($K$2="","",IFERROR(INDEX(Lines!$A:$AA,ROW()-2,$K$2),""))</f>
        <v/>
      </c>
      <c r="N952">
        <f>IF(AND(L952&lt;&gt;"",LEFT(L952,1)="N",M952&lt;&gt;"PICKING",M952&lt;&gt;""),1,0)</f>
        <v/>
      </c>
      <c r="O952">
        <f>IF(N952=1,M952&amp;"|"&amp;L952,REPT("z",40))</f>
        <v/>
      </c>
      <c r="P952">
        <f>IF(N952=1,COUNTIF($O$4:$O$2003,"&lt;"&amp;O952)+1,"")</f>
        <v/>
      </c>
      <c r="Q952">
        <f>IF(OR($R951="",$R951="T"),"",IF($R951="B",$Q951,IF($Q951+1&gt;$K$3,"",$Q951+1)))</f>
        <v/>
      </c>
      <c r="R952">
        <f>IF(OR($R951="",$R951="T"),"",IF($R951="B","S",IF($Q951+1&gt;$K$3,"T",IF(INDEX($M$4:$M$2003,MATCH($Q951+1,$P$4:$P$2003,0))&lt;&gt;INDEX($M$4:$M$2003,MATCH($Q951,$P$4:$P$2003,0)),"B","S"))))</f>
        <v/>
      </c>
      <c r="S952">
        <f>IF(Q952="","",IFERROR(MATCH(Q952,$P$4:$P$2003,0),""))</f>
        <v/>
      </c>
    </row>
    <row r="953">
      <c r="A953" s="4">
        <f>IF($R953="","",IF($R953="T","Gesamtergebnis",IF($R953="B",INDEX($M$4:$M$2003,$S953),INDEX($L$4:$L$2003,$S953))))</f>
        <v/>
      </c>
      <c r="B953" s="4">
        <f>IF($R953="","",IF($R953="T",$K$3,IF($R953="B",COUNTIFS($M$4:$M$2003,INDEX($M$4:$M$2003,$S953),$N$4:$N$2003,1),1)))</f>
        <v/>
      </c>
      <c r="L953">
        <f>IF($K$1="","",IFERROR(INDEX(Lines!$A:$AA,ROW()-2,$K$1),""))</f>
        <v/>
      </c>
      <c r="M953">
        <f>IF($K$2="","",IFERROR(INDEX(Lines!$A:$AA,ROW()-2,$K$2),""))</f>
        <v/>
      </c>
      <c r="N953">
        <f>IF(AND(L953&lt;&gt;"",LEFT(L953,1)="N",M953&lt;&gt;"PICKING",M953&lt;&gt;""),1,0)</f>
        <v/>
      </c>
      <c r="O953">
        <f>IF(N953=1,M953&amp;"|"&amp;L953,REPT("z",40))</f>
        <v/>
      </c>
      <c r="P953">
        <f>IF(N953=1,COUNTIF($O$4:$O$2003,"&lt;"&amp;O953)+1,"")</f>
        <v/>
      </c>
      <c r="Q953">
        <f>IF(OR($R952="",$R952="T"),"",IF($R952="B",$Q952,IF($Q952+1&gt;$K$3,"",$Q952+1)))</f>
        <v/>
      </c>
      <c r="R953">
        <f>IF(OR($R952="",$R952="T"),"",IF($R952="B","S",IF($Q952+1&gt;$K$3,"T",IF(INDEX($M$4:$M$2003,MATCH($Q952+1,$P$4:$P$2003,0))&lt;&gt;INDEX($M$4:$M$2003,MATCH($Q952,$P$4:$P$2003,0)),"B","S"))))</f>
        <v/>
      </c>
      <c r="S953">
        <f>IF(Q953="","",IFERROR(MATCH(Q953,$P$4:$P$2003,0),""))</f>
        <v/>
      </c>
    </row>
    <row r="954">
      <c r="A954" s="4">
        <f>IF($R954="","",IF($R954="T","Gesamtergebnis",IF($R954="B",INDEX($M$4:$M$2003,$S954),INDEX($L$4:$L$2003,$S954))))</f>
        <v/>
      </c>
      <c r="B954" s="4">
        <f>IF($R954="","",IF($R954="T",$K$3,IF($R954="B",COUNTIFS($M$4:$M$2003,INDEX($M$4:$M$2003,$S954),$N$4:$N$2003,1),1)))</f>
        <v/>
      </c>
      <c r="L954">
        <f>IF($K$1="","",IFERROR(INDEX(Lines!$A:$AA,ROW()-2,$K$1),""))</f>
        <v/>
      </c>
      <c r="M954">
        <f>IF($K$2="","",IFERROR(INDEX(Lines!$A:$AA,ROW()-2,$K$2),""))</f>
        <v/>
      </c>
      <c r="N954">
        <f>IF(AND(L954&lt;&gt;"",LEFT(L954,1)="N",M954&lt;&gt;"PICKING",M954&lt;&gt;""),1,0)</f>
        <v/>
      </c>
      <c r="O954">
        <f>IF(N954=1,M954&amp;"|"&amp;L954,REPT("z",40))</f>
        <v/>
      </c>
      <c r="P954">
        <f>IF(N954=1,COUNTIF($O$4:$O$2003,"&lt;"&amp;O954)+1,"")</f>
        <v/>
      </c>
      <c r="Q954">
        <f>IF(OR($R953="",$R953="T"),"",IF($R953="B",$Q953,IF($Q953+1&gt;$K$3,"",$Q953+1)))</f>
        <v/>
      </c>
      <c r="R954">
        <f>IF(OR($R953="",$R953="T"),"",IF($R953="B","S",IF($Q953+1&gt;$K$3,"T",IF(INDEX($M$4:$M$2003,MATCH($Q953+1,$P$4:$P$2003,0))&lt;&gt;INDEX($M$4:$M$2003,MATCH($Q953,$P$4:$P$2003,0)),"B","S"))))</f>
        <v/>
      </c>
      <c r="S954">
        <f>IF(Q954="","",IFERROR(MATCH(Q954,$P$4:$P$2003,0),""))</f>
        <v/>
      </c>
    </row>
    <row r="955">
      <c r="A955" s="4">
        <f>IF($R955="","",IF($R955="T","Gesamtergebnis",IF($R955="B",INDEX($M$4:$M$2003,$S955),INDEX($L$4:$L$2003,$S955))))</f>
        <v/>
      </c>
      <c r="B955" s="4">
        <f>IF($R955="","",IF($R955="T",$K$3,IF($R955="B",COUNTIFS($M$4:$M$2003,INDEX($M$4:$M$2003,$S955),$N$4:$N$2003,1),1)))</f>
        <v/>
      </c>
      <c r="L955">
        <f>IF($K$1="","",IFERROR(INDEX(Lines!$A:$AA,ROW()-2,$K$1),""))</f>
        <v/>
      </c>
      <c r="M955">
        <f>IF($K$2="","",IFERROR(INDEX(Lines!$A:$AA,ROW()-2,$K$2),""))</f>
        <v/>
      </c>
      <c r="N955">
        <f>IF(AND(L955&lt;&gt;"",LEFT(L955,1)="N",M955&lt;&gt;"PICKING",M955&lt;&gt;""),1,0)</f>
        <v/>
      </c>
      <c r="O955">
        <f>IF(N955=1,M955&amp;"|"&amp;L955,REPT("z",40))</f>
        <v/>
      </c>
      <c r="P955">
        <f>IF(N955=1,COUNTIF($O$4:$O$2003,"&lt;"&amp;O955)+1,"")</f>
        <v/>
      </c>
      <c r="Q955">
        <f>IF(OR($R954="",$R954="T"),"",IF($R954="B",$Q954,IF($Q954+1&gt;$K$3,"",$Q954+1)))</f>
        <v/>
      </c>
      <c r="R955">
        <f>IF(OR($R954="",$R954="T"),"",IF($R954="B","S",IF($Q954+1&gt;$K$3,"T",IF(INDEX($M$4:$M$2003,MATCH($Q954+1,$P$4:$P$2003,0))&lt;&gt;INDEX($M$4:$M$2003,MATCH($Q954,$P$4:$P$2003,0)),"B","S"))))</f>
        <v/>
      </c>
      <c r="S955">
        <f>IF(Q955="","",IFERROR(MATCH(Q955,$P$4:$P$2003,0),""))</f>
        <v/>
      </c>
    </row>
    <row r="956">
      <c r="A956" s="4">
        <f>IF($R956="","",IF($R956="T","Gesamtergebnis",IF($R956="B",INDEX($M$4:$M$2003,$S956),INDEX($L$4:$L$2003,$S956))))</f>
        <v/>
      </c>
      <c r="B956" s="4">
        <f>IF($R956="","",IF($R956="T",$K$3,IF($R956="B",COUNTIFS($M$4:$M$2003,INDEX($M$4:$M$2003,$S956),$N$4:$N$2003,1),1)))</f>
        <v/>
      </c>
      <c r="L956">
        <f>IF($K$1="","",IFERROR(INDEX(Lines!$A:$AA,ROW()-2,$K$1),""))</f>
        <v/>
      </c>
      <c r="M956">
        <f>IF($K$2="","",IFERROR(INDEX(Lines!$A:$AA,ROW()-2,$K$2),""))</f>
        <v/>
      </c>
      <c r="N956">
        <f>IF(AND(L956&lt;&gt;"",LEFT(L956,1)="N",M956&lt;&gt;"PICKING",M956&lt;&gt;""),1,0)</f>
        <v/>
      </c>
      <c r="O956">
        <f>IF(N956=1,M956&amp;"|"&amp;L956,REPT("z",40))</f>
        <v/>
      </c>
      <c r="P956">
        <f>IF(N956=1,COUNTIF($O$4:$O$2003,"&lt;"&amp;O956)+1,"")</f>
        <v/>
      </c>
      <c r="Q956">
        <f>IF(OR($R955="",$R955="T"),"",IF($R955="B",$Q955,IF($Q955+1&gt;$K$3,"",$Q955+1)))</f>
        <v/>
      </c>
      <c r="R956">
        <f>IF(OR($R955="",$R955="T"),"",IF($R955="B","S",IF($Q955+1&gt;$K$3,"T",IF(INDEX($M$4:$M$2003,MATCH($Q955+1,$P$4:$P$2003,0))&lt;&gt;INDEX($M$4:$M$2003,MATCH($Q955,$P$4:$P$2003,0)),"B","S"))))</f>
        <v/>
      </c>
      <c r="S956">
        <f>IF(Q956="","",IFERROR(MATCH(Q956,$P$4:$P$2003,0),""))</f>
        <v/>
      </c>
    </row>
    <row r="957">
      <c r="A957" s="4">
        <f>IF($R957="","",IF($R957="T","Gesamtergebnis",IF($R957="B",INDEX($M$4:$M$2003,$S957),INDEX($L$4:$L$2003,$S957))))</f>
        <v/>
      </c>
      <c r="B957" s="4">
        <f>IF($R957="","",IF($R957="T",$K$3,IF($R957="B",COUNTIFS($M$4:$M$2003,INDEX($M$4:$M$2003,$S957),$N$4:$N$2003,1),1)))</f>
        <v/>
      </c>
      <c r="L957">
        <f>IF($K$1="","",IFERROR(INDEX(Lines!$A:$AA,ROW()-2,$K$1),""))</f>
        <v/>
      </c>
      <c r="M957">
        <f>IF($K$2="","",IFERROR(INDEX(Lines!$A:$AA,ROW()-2,$K$2),""))</f>
        <v/>
      </c>
      <c r="N957">
        <f>IF(AND(L957&lt;&gt;"",LEFT(L957,1)="N",M957&lt;&gt;"PICKING",M957&lt;&gt;""),1,0)</f>
        <v/>
      </c>
      <c r="O957">
        <f>IF(N957=1,M957&amp;"|"&amp;L957,REPT("z",40))</f>
        <v/>
      </c>
      <c r="P957">
        <f>IF(N957=1,COUNTIF($O$4:$O$2003,"&lt;"&amp;O957)+1,"")</f>
        <v/>
      </c>
      <c r="Q957">
        <f>IF(OR($R956="",$R956="T"),"",IF($R956="B",$Q956,IF($Q956+1&gt;$K$3,"",$Q956+1)))</f>
        <v/>
      </c>
      <c r="R957">
        <f>IF(OR($R956="",$R956="T"),"",IF($R956="B","S",IF($Q956+1&gt;$K$3,"T",IF(INDEX($M$4:$M$2003,MATCH($Q956+1,$P$4:$P$2003,0))&lt;&gt;INDEX($M$4:$M$2003,MATCH($Q956,$P$4:$P$2003,0)),"B","S"))))</f>
        <v/>
      </c>
      <c r="S957">
        <f>IF(Q957="","",IFERROR(MATCH(Q957,$P$4:$P$2003,0),""))</f>
        <v/>
      </c>
    </row>
    <row r="958">
      <c r="A958" s="4">
        <f>IF($R958="","",IF($R958="T","Gesamtergebnis",IF($R958="B",INDEX($M$4:$M$2003,$S958),INDEX($L$4:$L$2003,$S958))))</f>
        <v/>
      </c>
      <c r="B958" s="4">
        <f>IF($R958="","",IF($R958="T",$K$3,IF($R958="B",COUNTIFS($M$4:$M$2003,INDEX($M$4:$M$2003,$S958),$N$4:$N$2003,1),1)))</f>
        <v/>
      </c>
      <c r="L958">
        <f>IF($K$1="","",IFERROR(INDEX(Lines!$A:$AA,ROW()-2,$K$1),""))</f>
        <v/>
      </c>
      <c r="M958">
        <f>IF($K$2="","",IFERROR(INDEX(Lines!$A:$AA,ROW()-2,$K$2),""))</f>
        <v/>
      </c>
      <c r="N958">
        <f>IF(AND(L958&lt;&gt;"",LEFT(L958,1)="N",M958&lt;&gt;"PICKING",M958&lt;&gt;""),1,0)</f>
        <v/>
      </c>
      <c r="O958">
        <f>IF(N958=1,M958&amp;"|"&amp;L958,REPT("z",40))</f>
        <v/>
      </c>
      <c r="P958">
        <f>IF(N958=1,COUNTIF($O$4:$O$2003,"&lt;"&amp;O958)+1,"")</f>
        <v/>
      </c>
      <c r="Q958">
        <f>IF(OR($R957="",$R957="T"),"",IF($R957="B",$Q957,IF($Q957+1&gt;$K$3,"",$Q957+1)))</f>
        <v/>
      </c>
      <c r="R958">
        <f>IF(OR($R957="",$R957="T"),"",IF($R957="B","S",IF($Q957+1&gt;$K$3,"T",IF(INDEX($M$4:$M$2003,MATCH($Q957+1,$P$4:$P$2003,0))&lt;&gt;INDEX($M$4:$M$2003,MATCH($Q957,$P$4:$P$2003,0)),"B","S"))))</f>
        <v/>
      </c>
      <c r="S958">
        <f>IF(Q958="","",IFERROR(MATCH(Q958,$P$4:$P$2003,0),""))</f>
        <v/>
      </c>
    </row>
    <row r="959">
      <c r="A959" s="4">
        <f>IF($R959="","",IF($R959="T","Gesamtergebnis",IF($R959="B",INDEX($M$4:$M$2003,$S959),INDEX($L$4:$L$2003,$S959))))</f>
        <v/>
      </c>
      <c r="B959" s="4">
        <f>IF($R959="","",IF($R959="T",$K$3,IF($R959="B",COUNTIFS($M$4:$M$2003,INDEX($M$4:$M$2003,$S959),$N$4:$N$2003,1),1)))</f>
        <v/>
      </c>
      <c r="L959">
        <f>IF($K$1="","",IFERROR(INDEX(Lines!$A:$AA,ROW()-2,$K$1),""))</f>
        <v/>
      </c>
      <c r="M959">
        <f>IF($K$2="","",IFERROR(INDEX(Lines!$A:$AA,ROW()-2,$K$2),""))</f>
        <v/>
      </c>
      <c r="N959">
        <f>IF(AND(L959&lt;&gt;"",LEFT(L959,1)="N",M959&lt;&gt;"PICKING",M959&lt;&gt;""),1,0)</f>
        <v/>
      </c>
      <c r="O959">
        <f>IF(N959=1,M959&amp;"|"&amp;L959,REPT("z",40))</f>
        <v/>
      </c>
      <c r="P959">
        <f>IF(N959=1,COUNTIF($O$4:$O$2003,"&lt;"&amp;O959)+1,"")</f>
        <v/>
      </c>
      <c r="Q959">
        <f>IF(OR($R958="",$R958="T"),"",IF($R958="B",$Q958,IF($Q958+1&gt;$K$3,"",$Q958+1)))</f>
        <v/>
      </c>
      <c r="R959">
        <f>IF(OR($R958="",$R958="T"),"",IF($R958="B","S",IF($Q958+1&gt;$K$3,"T",IF(INDEX($M$4:$M$2003,MATCH($Q958+1,$P$4:$P$2003,0))&lt;&gt;INDEX($M$4:$M$2003,MATCH($Q958,$P$4:$P$2003,0)),"B","S"))))</f>
        <v/>
      </c>
      <c r="S959">
        <f>IF(Q959="","",IFERROR(MATCH(Q959,$P$4:$P$2003,0),""))</f>
        <v/>
      </c>
    </row>
    <row r="960">
      <c r="A960" s="4">
        <f>IF($R960="","",IF($R960="T","Gesamtergebnis",IF($R960="B",INDEX($M$4:$M$2003,$S960),INDEX($L$4:$L$2003,$S960))))</f>
        <v/>
      </c>
      <c r="B960" s="4">
        <f>IF($R960="","",IF($R960="T",$K$3,IF($R960="B",COUNTIFS($M$4:$M$2003,INDEX($M$4:$M$2003,$S960),$N$4:$N$2003,1),1)))</f>
        <v/>
      </c>
      <c r="L960">
        <f>IF($K$1="","",IFERROR(INDEX(Lines!$A:$AA,ROW()-2,$K$1),""))</f>
        <v/>
      </c>
      <c r="M960">
        <f>IF($K$2="","",IFERROR(INDEX(Lines!$A:$AA,ROW()-2,$K$2),""))</f>
        <v/>
      </c>
      <c r="N960">
        <f>IF(AND(L960&lt;&gt;"",LEFT(L960,1)="N",M960&lt;&gt;"PICKING",M960&lt;&gt;""),1,0)</f>
        <v/>
      </c>
      <c r="O960">
        <f>IF(N960=1,M960&amp;"|"&amp;L960,REPT("z",40))</f>
        <v/>
      </c>
      <c r="P960">
        <f>IF(N960=1,COUNTIF($O$4:$O$2003,"&lt;"&amp;O960)+1,"")</f>
        <v/>
      </c>
      <c r="Q960">
        <f>IF(OR($R959="",$R959="T"),"",IF($R959="B",$Q959,IF($Q959+1&gt;$K$3,"",$Q959+1)))</f>
        <v/>
      </c>
      <c r="R960">
        <f>IF(OR($R959="",$R959="T"),"",IF($R959="B","S",IF($Q959+1&gt;$K$3,"T",IF(INDEX($M$4:$M$2003,MATCH($Q959+1,$P$4:$P$2003,0))&lt;&gt;INDEX($M$4:$M$2003,MATCH($Q959,$P$4:$P$2003,0)),"B","S"))))</f>
        <v/>
      </c>
      <c r="S960">
        <f>IF(Q960="","",IFERROR(MATCH(Q960,$P$4:$P$2003,0),""))</f>
        <v/>
      </c>
    </row>
    <row r="961">
      <c r="A961" s="4">
        <f>IF($R961="","",IF($R961="T","Gesamtergebnis",IF($R961="B",INDEX($M$4:$M$2003,$S961),INDEX($L$4:$L$2003,$S961))))</f>
        <v/>
      </c>
      <c r="B961" s="4">
        <f>IF($R961="","",IF($R961="T",$K$3,IF($R961="B",COUNTIFS($M$4:$M$2003,INDEX($M$4:$M$2003,$S961),$N$4:$N$2003,1),1)))</f>
        <v/>
      </c>
      <c r="L961">
        <f>IF($K$1="","",IFERROR(INDEX(Lines!$A:$AA,ROW()-2,$K$1),""))</f>
        <v/>
      </c>
      <c r="M961">
        <f>IF($K$2="","",IFERROR(INDEX(Lines!$A:$AA,ROW()-2,$K$2),""))</f>
        <v/>
      </c>
      <c r="N961">
        <f>IF(AND(L961&lt;&gt;"",LEFT(L961,1)="N",M961&lt;&gt;"PICKING",M961&lt;&gt;""),1,0)</f>
        <v/>
      </c>
      <c r="O961">
        <f>IF(N961=1,M961&amp;"|"&amp;L961,REPT("z",40))</f>
        <v/>
      </c>
      <c r="P961">
        <f>IF(N961=1,COUNTIF($O$4:$O$2003,"&lt;"&amp;O961)+1,"")</f>
        <v/>
      </c>
      <c r="Q961">
        <f>IF(OR($R960="",$R960="T"),"",IF($R960="B",$Q960,IF($Q960+1&gt;$K$3,"",$Q960+1)))</f>
        <v/>
      </c>
      <c r="R961">
        <f>IF(OR($R960="",$R960="T"),"",IF($R960="B","S",IF($Q960+1&gt;$K$3,"T",IF(INDEX($M$4:$M$2003,MATCH($Q960+1,$P$4:$P$2003,0))&lt;&gt;INDEX($M$4:$M$2003,MATCH($Q960,$P$4:$P$2003,0)),"B","S"))))</f>
        <v/>
      </c>
      <c r="S961">
        <f>IF(Q961="","",IFERROR(MATCH(Q961,$P$4:$P$2003,0),""))</f>
        <v/>
      </c>
    </row>
    <row r="962">
      <c r="A962" s="4">
        <f>IF($R962="","",IF($R962="T","Gesamtergebnis",IF($R962="B",INDEX($M$4:$M$2003,$S962),INDEX($L$4:$L$2003,$S962))))</f>
        <v/>
      </c>
      <c r="B962" s="4">
        <f>IF($R962="","",IF($R962="T",$K$3,IF($R962="B",COUNTIFS($M$4:$M$2003,INDEX($M$4:$M$2003,$S962),$N$4:$N$2003,1),1)))</f>
        <v/>
      </c>
      <c r="L962">
        <f>IF($K$1="","",IFERROR(INDEX(Lines!$A:$AA,ROW()-2,$K$1),""))</f>
        <v/>
      </c>
      <c r="M962">
        <f>IF($K$2="","",IFERROR(INDEX(Lines!$A:$AA,ROW()-2,$K$2),""))</f>
        <v/>
      </c>
      <c r="N962">
        <f>IF(AND(L962&lt;&gt;"",LEFT(L962,1)="N",M962&lt;&gt;"PICKING",M962&lt;&gt;""),1,0)</f>
        <v/>
      </c>
      <c r="O962">
        <f>IF(N962=1,M962&amp;"|"&amp;L962,REPT("z",40))</f>
        <v/>
      </c>
      <c r="P962">
        <f>IF(N962=1,COUNTIF($O$4:$O$2003,"&lt;"&amp;O962)+1,"")</f>
        <v/>
      </c>
      <c r="Q962">
        <f>IF(OR($R961="",$R961="T"),"",IF($R961="B",$Q961,IF($Q961+1&gt;$K$3,"",$Q961+1)))</f>
        <v/>
      </c>
      <c r="R962">
        <f>IF(OR($R961="",$R961="T"),"",IF($R961="B","S",IF($Q961+1&gt;$K$3,"T",IF(INDEX($M$4:$M$2003,MATCH($Q961+1,$P$4:$P$2003,0))&lt;&gt;INDEX($M$4:$M$2003,MATCH($Q961,$P$4:$P$2003,0)),"B","S"))))</f>
        <v/>
      </c>
      <c r="S962">
        <f>IF(Q962="","",IFERROR(MATCH(Q962,$P$4:$P$2003,0),""))</f>
        <v/>
      </c>
    </row>
    <row r="963">
      <c r="A963" s="4">
        <f>IF($R963="","",IF($R963="T","Gesamtergebnis",IF($R963="B",INDEX($M$4:$M$2003,$S963),INDEX($L$4:$L$2003,$S963))))</f>
        <v/>
      </c>
      <c r="B963" s="4">
        <f>IF($R963="","",IF($R963="T",$K$3,IF($R963="B",COUNTIFS($M$4:$M$2003,INDEX($M$4:$M$2003,$S963),$N$4:$N$2003,1),1)))</f>
        <v/>
      </c>
      <c r="L963">
        <f>IF($K$1="","",IFERROR(INDEX(Lines!$A:$AA,ROW()-2,$K$1),""))</f>
        <v/>
      </c>
      <c r="M963">
        <f>IF($K$2="","",IFERROR(INDEX(Lines!$A:$AA,ROW()-2,$K$2),""))</f>
        <v/>
      </c>
      <c r="N963">
        <f>IF(AND(L963&lt;&gt;"",LEFT(L963,1)="N",M963&lt;&gt;"PICKING",M963&lt;&gt;""),1,0)</f>
        <v/>
      </c>
      <c r="O963">
        <f>IF(N963=1,M963&amp;"|"&amp;L963,REPT("z",40))</f>
        <v/>
      </c>
      <c r="P963">
        <f>IF(N963=1,COUNTIF($O$4:$O$2003,"&lt;"&amp;O963)+1,"")</f>
        <v/>
      </c>
      <c r="Q963">
        <f>IF(OR($R962="",$R962="T"),"",IF($R962="B",$Q962,IF($Q962+1&gt;$K$3,"",$Q962+1)))</f>
        <v/>
      </c>
      <c r="R963">
        <f>IF(OR($R962="",$R962="T"),"",IF($R962="B","S",IF($Q962+1&gt;$K$3,"T",IF(INDEX($M$4:$M$2003,MATCH($Q962+1,$P$4:$P$2003,0))&lt;&gt;INDEX($M$4:$M$2003,MATCH($Q962,$P$4:$P$2003,0)),"B","S"))))</f>
        <v/>
      </c>
      <c r="S963">
        <f>IF(Q963="","",IFERROR(MATCH(Q963,$P$4:$P$2003,0),""))</f>
        <v/>
      </c>
    </row>
    <row r="964">
      <c r="A964" s="4">
        <f>IF($R964="","",IF($R964="T","Gesamtergebnis",IF($R964="B",INDEX($M$4:$M$2003,$S964),INDEX($L$4:$L$2003,$S964))))</f>
        <v/>
      </c>
      <c r="B964" s="4">
        <f>IF($R964="","",IF($R964="T",$K$3,IF($R964="B",COUNTIFS($M$4:$M$2003,INDEX($M$4:$M$2003,$S964),$N$4:$N$2003,1),1)))</f>
        <v/>
      </c>
      <c r="L964">
        <f>IF($K$1="","",IFERROR(INDEX(Lines!$A:$AA,ROW()-2,$K$1),""))</f>
        <v/>
      </c>
      <c r="M964">
        <f>IF($K$2="","",IFERROR(INDEX(Lines!$A:$AA,ROW()-2,$K$2),""))</f>
        <v/>
      </c>
      <c r="N964">
        <f>IF(AND(L964&lt;&gt;"",LEFT(L964,1)="N",M964&lt;&gt;"PICKING",M964&lt;&gt;""),1,0)</f>
        <v/>
      </c>
      <c r="O964">
        <f>IF(N964=1,M964&amp;"|"&amp;L964,REPT("z",40))</f>
        <v/>
      </c>
      <c r="P964">
        <f>IF(N964=1,COUNTIF($O$4:$O$2003,"&lt;"&amp;O964)+1,"")</f>
        <v/>
      </c>
      <c r="Q964">
        <f>IF(OR($R963="",$R963="T"),"",IF($R963="B",$Q963,IF($Q963+1&gt;$K$3,"",$Q963+1)))</f>
        <v/>
      </c>
      <c r="R964">
        <f>IF(OR($R963="",$R963="T"),"",IF($R963="B","S",IF($Q963+1&gt;$K$3,"T",IF(INDEX($M$4:$M$2003,MATCH($Q963+1,$P$4:$P$2003,0))&lt;&gt;INDEX($M$4:$M$2003,MATCH($Q963,$P$4:$P$2003,0)),"B","S"))))</f>
        <v/>
      </c>
      <c r="S964">
        <f>IF(Q964="","",IFERROR(MATCH(Q964,$P$4:$P$2003,0),""))</f>
        <v/>
      </c>
    </row>
    <row r="965">
      <c r="A965" s="4">
        <f>IF($R965="","",IF($R965="T","Gesamtergebnis",IF($R965="B",INDEX($M$4:$M$2003,$S965),INDEX($L$4:$L$2003,$S965))))</f>
        <v/>
      </c>
      <c r="B965" s="4">
        <f>IF($R965="","",IF($R965="T",$K$3,IF($R965="B",COUNTIFS($M$4:$M$2003,INDEX($M$4:$M$2003,$S965),$N$4:$N$2003,1),1)))</f>
        <v/>
      </c>
      <c r="L965">
        <f>IF($K$1="","",IFERROR(INDEX(Lines!$A:$AA,ROW()-2,$K$1),""))</f>
        <v/>
      </c>
      <c r="M965">
        <f>IF($K$2="","",IFERROR(INDEX(Lines!$A:$AA,ROW()-2,$K$2),""))</f>
        <v/>
      </c>
      <c r="N965">
        <f>IF(AND(L965&lt;&gt;"",LEFT(L965,1)="N",M965&lt;&gt;"PICKING",M965&lt;&gt;""),1,0)</f>
        <v/>
      </c>
      <c r="O965">
        <f>IF(N965=1,M965&amp;"|"&amp;L965,REPT("z",40))</f>
        <v/>
      </c>
      <c r="P965">
        <f>IF(N965=1,COUNTIF($O$4:$O$2003,"&lt;"&amp;O965)+1,"")</f>
        <v/>
      </c>
      <c r="Q965">
        <f>IF(OR($R964="",$R964="T"),"",IF($R964="B",$Q964,IF($Q964+1&gt;$K$3,"",$Q964+1)))</f>
        <v/>
      </c>
      <c r="R965">
        <f>IF(OR($R964="",$R964="T"),"",IF($R964="B","S",IF($Q964+1&gt;$K$3,"T",IF(INDEX($M$4:$M$2003,MATCH($Q964+1,$P$4:$P$2003,0))&lt;&gt;INDEX($M$4:$M$2003,MATCH($Q964,$P$4:$P$2003,0)),"B","S"))))</f>
        <v/>
      </c>
      <c r="S965">
        <f>IF(Q965="","",IFERROR(MATCH(Q965,$P$4:$P$2003,0),""))</f>
        <v/>
      </c>
    </row>
    <row r="966">
      <c r="A966" s="4">
        <f>IF($R966="","",IF($R966="T","Gesamtergebnis",IF($R966="B",INDEX($M$4:$M$2003,$S966),INDEX($L$4:$L$2003,$S966))))</f>
        <v/>
      </c>
      <c r="B966" s="4">
        <f>IF($R966="","",IF($R966="T",$K$3,IF($R966="B",COUNTIFS($M$4:$M$2003,INDEX($M$4:$M$2003,$S966),$N$4:$N$2003,1),1)))</f>
        <v/>
      </c>
      <c r="L966">
        <f>IF($K$1="","",IFERROR(INDEX(Lines!$A:$AA,ROW()-2,$K$1),""))</f>
        <v/>
      </c>
      <c r="M966">
        <f>IF($K$2="","",IFERROR(INDEX(Lines!$A:$AA,ROW()-2,$K$2),""))</f>
        <v/>
      </c>
      <c r="N966">
        <f>IF(AND(L966&lt;&gt;"",LEFT(L966,1)="N",M966&lt;&gt;"PICKING",M966&lt;&gt;""),1,0)</f>
        <v/>
      </c>
      <c r="O966">
        <f>IF(N966=1,M966&amp;"|"&amp;L966,REPT("z",40))</f>
        <v/>
      </c>
      <c r="P966">
        <f>IF(N966=1,COUNTIF($O$4:$O$2003,"&lt;"&amp;O966)+1,"")</f>
        <v/>
      </c>
      <c r="Q966">
        <f>IF(OR($R965="",$R965="T"),"",IF($R965="B",$Q965,IF($Q965+1&gt;$K$3,"",$Q965+1)))</f>
        <v/>
      </c>
      <c r="R966">
        <f>IF(OR($R965="",$R965="T"),"",IF($R965="B","S",IF($Q965+1&gt;$K$3,"T",IF(INDEX($M$4:$M$2003,MATCH($Q965+1,$P$4:$P$2003,0))&lt;&gt;INDEX($M$4:$M$2003,MATCH($Q965,$P$4:$P$2003,0)),"B","S"))))</f>
        <v/>
      </c>
      <c r="S966">
        <f>IF(Q966="","",IFERROR(MATCH(Q966,$P$4:$P$2003,0),""))</f>
        <v/>
      </c>
    </row>
    <row r="967">
      <c r="A967" s="4">
        <f>IF($R967="","",IF($R967="T","Gesamtergebnis",IF($R967="B",INDEX($M$4:$M$2003,$S967),INDEX($L$4:$L$2003,$S967))))</f>
        <v/>
      </c>
      <c r="B967" s="4">
        <f>IF($R967="","",IF($R967="T",$K$3,IF($R967="B",COUNTIFS($M$4:$M$2003,INDEX($M$4:$M$2003,$S967),$N$4:$N$2003,1),1)))</f>
        <v/>
      </c>
      <c r="L967">
        <f>IF($K$1="","",IFERROR(INDEX(Lines!$A:$AA,ROW()-2,$K$1),""))</f>
        <v/>
      </c>
      <c r="M967">
        <f>IF($K$2="","",IFERROR(INDEX(Lines!$A:$AA,ROW()-2,$K$2),""))</f>
        <v/>
      </c>
      <c r="N967">
        <f>IF(AND(L967&lt;&gt;"",LEFT(L967,1)="N",M967&lt;&gt;"PICKING",M967&lt;&gt;""),1,0)</f>
        <v/>
      </c>
      <c r="O967">
        <f>IF(N967=1,M967&amp;"|"&amp;L967,REPT("z",40))</f>
        <v/>
      </c>
      <c r="P967">
        <f>IF(N967=1,COUNTIF($O$4:$O$2003,"&lt;"&amp;O967)+1,"")</f>
        <v/>
      </c>
      <c r="Q967">
        <f>IF(OR($R966="",$R966="T"),"",IF($R966="B",$Q966,IF($Q966+1&gt;$K$3,"",$Q966+1)))</f>
        <v/>
      </c>
      <c r="R967">
        <f>IF(OR($R966="",$R966="T"),"",IF($R966="B","S",IF($Q966+1&gt;$K$3,"T",IF(INDEX($M$4:$M$2003,MATCH($Q966+1,$P$4:$P$2003,0))&lt;&gt;INDEX($M$4:$M$2003,MATCH($Q966,$P$4:$P$2003,0)),"B","S"))))</f>
        <v/>
      </c>
      <c r="S967">
        <f>IF(Q967="","",IFERROR(MATCH(Q967,$P$4:$P$2003,0),""))</f>
        <v/>
      </c>
    </row>
    <row r="968">
      <c r="A968" s="4">
        <f>IF($R968="","",IF($R968="T","Gesamtergebnis",IF($R968="B",INDEX($M$4:$M$2003,$S968),INDEX($L$4:$L$2003,$S968))))</f>
        <v/>
      </c>
      <c r="B968" s="4">
        <f>IF($R968="","",IF($R968="T",$K$3,IF($R968="B",COUNTIFS($M$4:$M$2003,INDEX($M$4:$M$2003,$S968),$N$4:$N$2003,1),1)))</f>
        <v/>
      </c>
      <c r="L968">
        <f>IF($K$1="","",IFERROR(INDEX(Lines!$A:$AA,ROW()-2,$K$1),""))</f>
        <v/>
      </c>
      <c r="M968">
        <f>IF($K$2="","",IFERROR(INDEX(Lines!$A:$AA,ROW()-2,$K$2),""))</f>
        <v/>
      </c>
      <c r="N968">
        <f>IF(AND(L968&lt;&gt;"",LEFT(L968,1)="N",M968&lt;&gt;"PICKING",M968&lt;&gt;""),1,0)</f>
        <v/>
      </c>
      <c r="O968">
        <f>IF(N968=1,M968&amp;"|"&amp;L968,REPT("z",40))</f>
        <v/>
      </c>
      <c r="P968">
        <f>IF(N968=1,COUNTIF($O$4:$O$2003,"&lt;"&amp;O968)+1,"")</f>
        <v/>
      </c>
      <c r="Q968">
        <f>IF(OR($R967="",$R967="T"),"",IF($R967="B",$Q967,IF($Q967+1&gt;$K$3,"",$Q967+1)))</f>
        <v/>
      </c>
      <c r="R968">
        <f>IF(OR($R967="",$R967="T"),"",IF($R967="B","S",IF($Q967+1&gt;$K$3,"T",IF(INDEX($M$4:$M$2003,MATCH($Q967+1,$P$4:$P$2003,0))&lt;&gt;INDEX($M$4:$M$2003,MATCH($Q967,$P$4:$P$2003,0)),"B","S"))))</f>
        <v/>
      </c>
      <c r="S968">
        <f>IF(Q968="","",IFERROR(MATCH(Q968,$P$4:$P$2003,0),""))</f>
        <v/>
      </c>
    </row>
    <row r="969">
      <c r="A969" s="4">
        <f>IF($R969="","",IF($R969="T","Gesamtergebnis",IF($R969="B",INDEX($M$4:$M$2003,$S969),INDEX($L$4:$L$2003,$S969))))</f>
        <v/>
      </c>
      <c r="B969" s="4">
        <f>IF($R969="","",IF($R969="T",$K$3,IF($R969="B",COUNTIFS($M$4:$M$2003,INDEX($M$4:$M$2003,$S969),$N$4:$N$2003,1),1)))</f>
        <v/>
      </c>
      <c r="L969">
        <f>IF($K$1="","",IFERROR(INDEX(Lines!$A:$AA,ROW()-2,$K$1),""))</f>
        <v/>
      </c>
      <c r="M969">
        <f>IF($K$2="","",IFERROR(INDEX(Lines!$A:$AA,ROW()-2,$K$2),""))</f>
        <v/>
      </c>
      <c r="N969">
        <f>IF(AND(L969&lt;&gt;"",LEFT(L969,1)="N",M969&lt;&gt;"PICKING",M969&lt;&gt;""),1,0)</f>
        <v/>
      </c>
      <c r="O969">
        <f>IF(N969=1,M969&amp;"|"&amp;L969,REPT("z",40))</f>
        <v/>
      </c>
      <c r="P969">
        <f>IF(N969=1,COUNTIF($O$4:$O$2003,"&lt;"&amp;O969)+1,"")</f>
        <v/>
      </c>
      <c r="Q969">
        <f>IF(OR($R968="",$R968="T"),"",IF($R968="B",$Q968,IF($Q968+1&gt;$K$3,"",$Q968+1)))</f>
        <v/>
      </c>
      <c r="R969">
        <f>IF(OR($R968="",$R968="T"),"",IF($R968="B","S",IF($Q968+1&gt;$K$3,"T",IF(INDEX($M$4:$M$2003,MATCH($Q968+1,$P$4:$P$2003,0))&lt;&gt;INDEX($M$4:$M$2003,MATCH($Q968,$P$4:$P$2003,0)),"B","S"))))</f>
        <v/>
      </c>
      <c r="S969">
        <f>IF(Q969="","",IFERROR(MATCH(Q969,$P$4:$P$2003,0),""))</f>
        <v/>
      </c>
    </row>
    <row r="970">
      <c r="A970" s="4">
        <f>IF($R970="","",IF($R970="T","Gesamtergebnis",IF($R970="B",INDEX($M$4:$M$2003,$S970),INDEX($L$4:$L$2003,$S970))))</f>
        <v/>
      </c>
      <c r="B970" s="4">
        <f>IF($R970="","",IF($R970="T",$K$3,IF($R970="B",COUNTIFS($M$4:$M$2003,INDEX($M$4:$M$2003,$S970),$N$4:$N$2003,1),1)))</f>
        <v/>
      </c>
      <c r="L970">
        <f>IF($K$1="","",IFERROR(INDEX(Lines!$A:$AA,ROW()-2,$K$1),""))</f>
        <v/>
      </c>
      <c r="M970">
        <f>IF($K$2="","",IFERROR(INDEX(Lines!$A:$AA,ROW()-2,$K$2),""))</f>
        <v/>
      </c>
      <c r="N970">
        <f>IF(AND(L970&lt;&gt;"",LEFT(L970,1)="N",M970&lt;&gt;"PICKING",M970&lt;&gt;""),1,0)</f>
        <v/>
      </c>
      <c r="O970">
        <f>IF(N970=1,M970&amp;"|"&amp;L970,REPT("z",40))</f>
        <v/>
      </c>
      <c r="P970">
        <f>IF(N970=1,COUNTIF($O$4:$O$2003,"&lt;"&amp;O970)+1,"")</f>
        <v/>
      </c>
      <c r="Q970">
        <f>IF(OR($R969="",$R969="T"),"",IF($R969="B",$Q969,IF($Q969+1&gt;$K$3,"",$Q969+1)))</f>
        <v/>
      </c>
      <c r="R970">
        <f>IF(OR($R969="",$R969="T"),"",IF($R969="B","S",IF($Q969+1&gt;$K$3,"T",IF(INDEX($M$4:$M$2003,MATCH($Q969+1,$P$4:$P$2003,0))&lt;&gt;INDEX($M$4:$M$2003,MATCH($Q969,$P$4:$P$2003,0)),"B","S"))))</f>
        <v/>
      </c>
      <c r="S970">
        <f>IF(Q970="","",IFERROR(MATCH(Q970,$P$4:$P$2003,0),""))</f>
        <v/>
      </c>
    </row>
    <row r="971">
      <c r="A971" s="4">
        <f>IF($R971="","",IF($R971="T","Gesamtergebnis",IF($R971="B",INDEX($M$4:$M$2003,$S971),INDEX($L$4:$L$2003,$S971))))</f>
        <v/>
      </c>
      <c r="B971" s="4">
        <f>IF($R971="","",IF($R971="T",$K$3,IF($R971="B",COUNTIFS($M$4:$M$2003,INDEX($M$4:$M$2003,$S971),$N$4:$N$2003,1),1)))</f>
        <v/>
      </c>
      <c r="L971">
        <f>IF($K$1="","",IFERROR(INDEX(Lines!$A:$AA,ROW()-2,$K$1),""))</f>
        <v/>
      </c>
      <c r="M971">
        <f>IF($K$2="","",IFERROR(INDEX(Lines!$A:$AA,ROW()-2,$K$2),""))</f>
        <v/>
      </c>
      <c r="N971">
        <f>IF(AND(L971&lt;&gt;"",LEFT(L971,1)="N",M971&lt;&gt;"PICKING",M971&lt;&gt;""),1,0)</f>
        <v/>
      </c>
      <c r="O971">
        <f>IF(N971=1,M971&amp;"|"&amp;L971,REPT("z",40))</f>
        <v/>
      </c>
      <c r="P971">
        <f>IF(N971=1,COUNTIF($O$4:$O$2003,"&lt;"&amp;O971)+1,"")</f>
        <v/>
      </c>
      <c r="Q971">
        <f>IF(OR($R970="",$R970="T"),"",IF($R970="B",$Q970,IF($Q970+1&gt;$K$3,"",$Q970+1)))</f>
        <v/>
      </c>
      <c r="R971">
        <f>IF(OR($R970="",$R970="T"),"",IF($R970="B","S",IF($Q970+1&gt;$K$3,"T",IF(INDEX($M$4:$M$2003,MATCH($Q970+1,$P$4:$P$2003,0))&lt;&gt;INDEX($M$4:$M$2003,MATCH($Q970,$P$4:$P$2003,0)),"B","S"))))</f>
        <v/>
      </c>
      <c r="S971">
        <f>IF(Q971="","",IFERROR(MATCH(Q971,$P$4:$P$2003,0),""))</f>
        <v/>
      </c>
    </row>
    <row r="972">
      <c r="A972" s="4">
        <f>IF($R972="","",IF($R972="T","Gesamtergebnis",IF($R972="B",INDEX($M$4:$M$2003,$S972),INDEX($L$4:$L$2003,$S972))))</f>
        <v/>
      </c>
      <c r="B972" s="4">
        <f>IF($R972="","",IF($R972="T",$K$3,IF($R972="B",COUNTIFS($M$4:$M$2003,INDEX($M$4:$M$2003,$S972),$N$4:$N$2003,1),1)))</f>
        <v/>
      </c>
      <c r="L972">
        <f>IF($K$1="","",IFERROR(INDEX(Lines!$A:$AA,ROW()-2,$K$1),""))</f>
        <v/>
      </c>
      <c r="M972">
        <f>IF($K$2="","",IFERROR(INDEX(Lines!$A:$AA,ROW()-2,$K$2),""))</f>
        <v/>
      </c>
      <c r="N972">
        <f>IF(AND(L972&lt;&gt;"",LEFT(L972,1)="N",M972&lt;&gt;"PICKING",M972&lt;&gt;""),1,0)</f>
        <v/>
      </c>
      <c r="O972">
        <f>IF(N972=1,M972&amp;"|"&amp;L972,REPT("z",40))</f>
        <v/>
      </c>
      <c r="P972">
        <f>IF(N972=1,COUNTIF($O$4:$O$2003,"&lt;"&amp;O972)+1,"")</f>
        <v/>
      </c>
      <c r="Q972">
        <f>IF(OR($R971="",$R971="T"),"",IF($R971="B",$Q971,IF($Q971+1&gt;$K$3,"",$Q971+1)))</f>
        <v/>
      </c>
      <c r="R972">
        <f>IF(OR($R971="",$R971="T"),"",IF($R971="B","S",IF($Q971+1&gt;$K$3,"T",IF(INDEX($M$4:$M$2003,MATCH($Q971+1,$P$4:$P$2003,0))&lt;&gt;INDEX($M$4:$M$2003,MATCH($Q971,$P$4:$P$2003,0)),"B","S"))))</f>
        <v/>
      </c>
      <c r="S972">
        <f>IF(Q972="","",IFERROR(MATCH(Q972,$P$4:$P$2003,0),""))</f>
        <v/>
      </c>
    </row>
    <row r="973">
      <c r="A973" s="4">
        <f>IF($R973="","",IF($R973="T","Gesamtergebnis",IF($R973="B",INDEX($M$4:$M$2003,$S973),INDEX($L$4:$L$2003,$S973))))</f>
        <v/>
      </c>
      <c r="B973" s="4">
        <f>IF($R973="","",IF($R973="T",$K$3,IF($R973="B",COUNTIFS($M$4:$M$2003,INDEX($M$4:$M$2003,$S973),$N$4:$N$2003,1),1)))</f>
        <v/>
      </c>
      <c r="L973">
        <f>IF($K$1="","",IFERROR(INDEX(Lines!$A:$AA,ROW()-2,$K$1),""))</f>
        <v/>
      </c>
      <c r="M973">
        <f>IF($K$2="","",IFERROR(INDEX(Lines!$A:$AA,ROW()-2,$K$2),""))</f>
        <v/>
      </c>
      <c r="N973">
        <f>IF(AND(L973&lt;&gt;"",LEFT(L973,1)="N",M973&lt;&gt;"PICKING",M973&lt;&gt;""),1,0)</f>
        <v/>
      </c>
      <c r="O973">
        <f>IF(N973=1,M973&amp;"|"&amp;L973,REPT("z",40))</f>
        <v/>
      </c>
      <c r="P973">
        <f>IF(N973=1,COUNTIF($O$4:$O$2003,"&lt;"&amp;O973)+1,"")</f>
        <v/>
      </c>
      <c r="Q973">
        <f>IF(OR($R972="",$R972="T"),"",IF($R972="B",$Q972,IF($Q972+1&gt;$K$3,"",$Q972+1)))</f>
        <v/>
      </c>
      <c r="R973">
        <f>IF(OR($R972="",$R972="T"),"",IF($R972="B","S",IF($Q972+1&gt;$K$3,"T",IF(INDEX($M$4:$M$2003,MATCH($Q972+1,$P$4:$P$2003,0))&lt;&gt;INDEX($M$4:$M$2003,MATCH($Q972,$P$4:$P$2003,0)),"B","S"))))</f>
        <v/>
      </c>
      <c r="S973">
        <f>IF(Q973="","",IFERROR(MATCH(Q973,$P$4:$P$2003,0),""))</f>
        <v/>
      </c>
    </row>
    <row r="974">
      <c r="A974" s="4">
        <f>IF($R974="","",IF($R974="T","Gesamtergebnis",IF($R974="B",INDEX($M$4:$M$2003,$S974),INDEX($L$4:$L$2003,$S974))))</f>
        <v/>
      </c>
      <c r="B974" s="4">
        <f>IF($R974="","",IF($R974="T",$K$3,IF($R974="B",COUNTIFS($M$4:$M$2003,INDEX($M$4:$M$2003,$S974),$N$4:$N$2003,1),1)))</f>
        <v/>
      </c>
      <c r="L974">
        <f>IF($K$1="","",IFERROR(INDEX(Lines!$A:$AA,ROW()-2,$K$1),""))</f>
        <v/>
      </c>
      <c r="M974">
        <f>IF($K$2="","",IFERROR(INDEX(Lines!$A:$AA,ROW()-2,$K$2),""))</f>
        <v/>
      </c>
      <c r="N974">
        <f>IF(AND(L974&lt;&gt;"",LEFT(L974,1)="N",M974&lt;&gt;"PICKING",M974&lt;&gt;""),1,0)</f>
        <v/>
      </c>
      <c r="O974">
        <f>IF(N974=1,M974&amp;"|"&amp;L974,REPT("z",40))</f>
        <v/>
      </c>
      <c r="P974">
        <f>IF(N974=1,COUNTIF($O$4:$O$2003,"&lt;"&amp;O974)+1,"")</f>
        <v/>
      </c>
      <c r="Q974">
        <f>IF(OR($R973="",$R973="T"),"",IF($R973="B",$Q973,IF($Q973+1&gt;$K$3,"",$Q973+1)))</f>
        <v/>
      </c>
      <c r="R974">
        <f>IF(OR($R973="",$R973="T"),"",IF($R973="B","S",IF($Q973+1&gt;$K$3,"T",IF(INDEX($M$4:$M$2003,MATCH($Q973+1,$P$4:$P$2003,0))&lt;&gt;INDEX($M$4:$M$2003,MATCH($Q973,$P$4:$P$2003,0)),"B","S"))))</f>
        <v/>
      </c>
      <c r="S974">
        <f>IF(Q974="","",IFERROR(MATCH(Q974,$P$4:$P$2003,0),""))</f>
        <v/>
      </c>
    </row>
    <row r="975">
      <c r="A975" s="4">
        <f>IF($R975="","",IF($R975="T","Gesamtergebnis",IF($R975="B",INDEX($M$4:$M$2003,$S975),INDEX($L$4:$L$2003,$S975))))</f>
        <v/>
      </c>
      <c r="B975" s="4">
        <f>IF($R975="","",IF($R975="T",$K$3,IF($R975="B",COUNTIFS($M$4:$M$2003,INDEX($M$4:$M$2003,$S975),$N$4:$N$2003,1),1)))</f>
        <v/>
      </c>
      <c r="L975">
        <f>IF($K$1="","",IFERROR(INDEX(Lines!$A:$AA,ROW()-2,$K$1),""))</f>
        <v/>
      </c>
      <c r="M975">
        <f>IF($K$2="","",IFERROR(INDEX(Lines!$A:$AA,ROW()-2,$K$2),""))</f>
        <v/>
      </c>
      <c r="N975">
        <f>IF(AND(L975&lt;&gt;"",LEFT(L975,1)="N",M975&lt;&gt;"PICKING",M975&lt;&gt;""),1,0)</f>
        <v/>
      </c>
      <c r="O975">
        <f>IF(N975=1,M975&amp;"|"&amp;L975,REPT("z",40))</f>
        <v/>
      </c>
      <c r="P975">
        <f>IF(N975=1,COUNTIF($O$4:$O$2003,"&lt;"&amp;O975)+1,"")</f>
        <v/>
      </c>
      <c r="Q975">
        <f>IF(OR($R974="",$R974="T"),"",IF($R974="B",$Q974,IF($Q974+1&gt;$K$3,"",$Q974+1)))</f>
        <v/>
      </c>
      <c r="R975">
        <f>IF(OR($R974="",$R974="T"),"",IF($R974="B","S",IF($Q974+1&gt;$K$3,"T",IF(INDEX($M$4:$M$2003,MATCH($Q974+1,$P$4:$P$2003,0))&lt;&gt;INDEX($M$4:$M$2003,MATCH($Q974,$P$4:$P$2003,0)),"B","S"))))</f>
        <v/>
      </c>
      <c r="S975">
        <f>IF(Q975="","",IFERROR(MATCH(Q975,$P$4:$P$2003,0),""))</f>
        <v/>
      </c>
    </row>
    <row r="976">
      <c r="A976" s="4">
        <f>IF($R976="","",IF($R976="T","Gesamtergebnis",IF($R976="B",INDEX($M$4:$M$2003,$S976),INDEX($L$4:$L$2003,$S976))))</f>
        <v/>
      </c>
      <c r="B976" s="4">
        <f>IF($R976="","",IF($R976="T",$K$3,IF($R976="B",COUNTIFS($M$4:$M$2003,INDEX($M$4:$M$2003,$S976),$N$4:$N$2003,1),1)))</f>
        <v/>
      </c>
      <c r="L976">
        <f>IF($K$1="","",IFERROR(INDEX(Lines!$A:$AA,ROW()-2,$K$1),""))</f>
        <v/>
      </c>
      <c r="M976">
        <f>IF($K$2="","",IFERROR(INDEX(Lines!$A:$AA,ROW()-2,$K$2),""))</f>
        <v/>
      </c>
      <c r="N976">
        <f>IF(AND(L976&lt;&gt;"",LEFT(L976,1)="N",M976&lt;&gt;"PICKING",M976&lt;&gt;""),1,0)</f>
        <v/>
      </c>
      <c r="O976">
        <f>IF(N976=1,M976&amp;"|"&amp;L976,REPT("z",40))</f>
        <v/>
      </c>
      <c r="P976">
        <f>IF(N976=1,COUNTIF($O$4:$O$2003,"&lt;"&amp;O976)+1,"")</f>
        <v/>
      </c>
      <c r="Q976">
        <f>IF(OR($R975="",$R975="T"),"",IF($R975="B",$Q975,IF($Q975+1&gt;$K$3,"",$Q975+1)))</f>
        <v/>
      </c>
      <c r="R976">
        <f>IF(OR($R975="",$R975="T"),"",IF($R975="B","S",IF($Q975+1&gt;$K$3,"T",IF(INDEX($M$4:$M$2003,MATCH($Q975+1,$P$4:$P$2003,0))&lt;&gt;INDEX($M$4:$M$2003,MATCH($Q975,$P$4:$P$2003,0)),"B","S"))))</f>
        <v/>
      </c>
      <c r="S976">
        <f>IF(Q976="","",IFERROR(MATCH(Q976,$P$4:$P$2003,0),""))</f>
        <v/>
      </c>
    </row>
    <row r="977">
      <c r="A977" s="4">
        <f>IF($R977="","",IF($R977="T","Gesamtergebnis",IF($R977="B",INDEX($M$4:$M$2003,$S977),INDEX($L$4:$L$2003,$S977))))</f>
        <v/>
      </c>
      <c r="B977" s="4">
        <f>IF($R977="","",IF($R977="T",$K$3,IF($R977="B",COUNTIFS($M$4:$M$2003,INDEX($M$4:$M$2003,$S977),$N$4:$N$2003,1),1)))</f>
        <v/>
      </c>
      <c r="L977">
        <f>IF($K$1="","",IFERROR(INDEX(Lines!$A:$AA,ROW()-2,$K$1),""))</f>
        <v/>
      </c>
      <c r="M977">
        <f>IF($K$2="","",IFERROR(INDEX(Lines!$A:$AA,ROW()-2,$K$2),""))</f>
        <v/>
      </c>
      <c r="N977">
        <f>IF(AND(L977&lt;&gt;"",LEFT(L977,1)="N",M977&lt;&gt;"PICKING",M977&lt;&gt;""),1,0)</f>
        <v/>
      </c>
      <c r="O977">
        <f>IF(N977=1,M977&amp;"|"&amp;L977,REPT("z",40))</f>
        <v/>
      </c>
      <c r="P977">
        <f>IF(N977=1,COUNTIF($O$4:$O$2003,"&lt;"&amp;O977)+1,"")</f>
        <v/>
      </c>
      <c r="Q977">
        <f>IF(OR($R976="",$R976="T"),"",IF($R976="B",$Q976,IF($Q976+1&gt;$K$3,"",$Q976+1)))</f>
        <v/>
      </c>
      <c r="R977">
        <f>IF(OR($R976="",$R976="T"),"",IF($R976="B","S",IF($Q976+1&gt;$K$3,"T",IF(INDEX($M$4:$M$2003,MATCH($Q976+1,$P$4:$P$2003,0))&lt;&gt;INDEX($M$4:$M$2003,MATCH($Q976,$P$4:$P$2003,0)),"B","S"))))</f>
        <v/>
      </c>
      <c r="S977">
        <f>IF(Q977="","",IFERROR(MATCH(Q977,$P$4:$P$2003,0),""))</f>
        <v/>
      </c>
    </row>
    <row r="978">
      <c r="A978" s="4">
        <f>IF($R978="","",IF($R978="T","Gesamtergebnis",IF($R978="B",INDEX($M$4:$M$2003,$S978),INDEX($L$4:$L$2003,$S978))))</f>
        <v/>
      </c>
      <c r="B978" s="4">
        <f>IF($R978="","",IF($R978="T",$K$3,IF($R978="B",COUNTIFS($M$4:$M$2003,INDEX($M$4:$M$2003,$S978),$N$4:$N$2003,1),1)))</f>
        <v/>
      </c>
      <c r="L978">
        <f>IF($K$1="","",IFERROR(INDEX(Lines!$A:$AA,ROW()-2,$K$1),""))</f>
        <v/>
      </c>
      <c r="M978">
        <f>IF($K$2="","",IFERROR(INDEX(Lines!$A:$AA,ROW()-2,$K$2),""))</f>
        <v/>
      </c>
      <c r="N978">
        <f>IF(AND(L978&lt;&gt;"",LEFT(L978,1)="N",M978&lt;&gt;"PICKING",M978&lt;&gt;""),1,0)</f>
        <v/>
      </c>
      <c r="O978">
        <f>IF(N978=1,M978&amp;"|"&amp;L978,REPT("z",40))</f>
        <v/>
      </c>
      <c r="P978">
        <f>IF(N978=1,COUNTIF($O$4:$O$2003,"&lt;"&amp;O978)+1,"")</f>
        <v/>
      </c>
      <c r="Q978">
        <f>IF(OR($R977="",$R977="T"),"",IF($R977="B",$Q977,IF($Q977+1&gt;$K$3,"",$Q977+1)))</f>
        <v/>
      </c>
      <c r="R978">
        <f>IF(OR($R977="",$R977="T"),"",IF($R977="B","S",IF($Q977+1&gt;$K$3,"T",IF(INDEX($M$4:$M$2003,MATCH($Q977+1,$P$4:$P$2003,0))&lt;&gt;INDEX($M$4:$M$2003,MATCH($Q977,$P$4:$P$2003,0)),"B","S"))))</f>
        <v/>
      </c>
      <c r="S978">
        <f>IF(Q978="","",IFERROR(MATCH(Q978,$P$4:$P$2003,0),""))</f>
        <v/>
      </c>
    </row>
    <row r="979">
      <c r="A979" s="4">
        <f>IF($R979="","",IF($R979="T","Gesamtergebnis",IF($R979="B",INDEX($M$4:$M$2003,$S979),INDEX($L$4:$L$2003,$S979))))</f>
        <v/>
      </c>
      <c r="B979" s="4">
        <f>IF($R979="","",IF($R979="T",$K$3,IF($R979="B",COUNTIFS($M$4:$M$2003,INDEX($M$4:$M$2003,$S979),$N$4:$N$2003,1),1)))</f>
        <v/>
      </c>
      <c r="L979">
        <f>IF($K$1="","",IFERROR(INDEX(Lines!$A:$AA,ROW()-2,$K$1),""))</f>
        <v/>
      </c>
      <c r="M979">
        <f>IF($K$2="","",IFERROR(INDEX(Lines!$A:$AA,ROW()-2,$K$2),""))</f>
        <v/>
      </c>
      <c r="N979">
        <f>IF(AND(L979&lt;&gt;"",LEFT(L979,1)="N",M979&lt;&gt;"PICKING",M979&lt;&gt;""),1,0)</f>
        <v/>
      </c>
      <c r="O979">
        <f>IF(N979=1,M979&amp;"|"&amp;L979,REPT("z",40))</f>
        <v/>
      </c>
      <c r="P979">
        <f>IF(N979=1,COUNTIF($O$4:$O$2003,"&lt;"&amp;O979)+1,"")</f>
        <v/>
      </c>
      <c r="Q979">
        <f>IF(OR($R978="",$R978="T"),"",IF($R978="B",$Q978,IF($Q978+1&gt;$K$3,"",$Q978+1)))</f>
        <v/>
      </c>
      <c r="R979">
        <f>IF(OR($R978="",$R978="T"),"",IF($R978="B","S",IF($Q978+1&gt;$K$3,"T",IF(INDEX($M$4:$M$2003,MATCH($Q978+1,$P$4:$P$2003,0))&lt;&gt;INDEX($M$4:$M$2003,MATCH($Q978,$P$4:$P$2003,0)),"B","S"))))</f>
        <v/>
      </c>
      <c r="S979">
        <f>IF(Q979="","",IFERROR(MATCH(Q979,$P$4:$P$2003,0),""))</f>
        <v/>
      </c>
    </row>
    <row r="980">
      <c r="A980" s="4">
        <f>IF($R980="","",IF($R980="T","Gesamtergebnis",IF($R980="B",INDEX($M$4:$M$2003,$S980),INDEX($L$4:$L$2003,$S980))))</f>
        <v/>
      </c>
      <c r="B980" s="4">
        <f>IF($R980="","",IF($R980="T",$K$3,IF($R980="B",COUNTIFS($M$4:$M$2003,INDEX($M$4:$M$2003,$S980),$N$4:$N$2003,1),1)))</f>
        <v/>
      </c>
      <c r="L980">
        <f>IF($K$1="","",IFERROR(INDEX(Lines!$A:$AA,ROW()-2,$K$1),""))</f>
        <v/>
      </c>
      <c r="M980">
        <f>IF($K$2="","",IFERROR(INDEX(Lines!$A:$AA,ROW()-2,$K$2),""))</f>
        <v/>
      </c>
      <c r="N980">
        <f>IF(AND(L980&lt;&gt;"",LEFT(L980,1)="N",M980&lt;&gt;"PICKING",M980&lt;&gt;""),1,0)</f>
        <v/>
      </c>
      <c r="O980">
        <f>IF(N980=1,M980&amp;"|"&amp;L980,REPT("z",40))</f>
        <v/>
      </c>
      <c r="P980">
        <f>IF(N980=1,COUNTIF($O$4:$O$2003,"&lt;"&amp;O980)+1,"")</f>
        <v/>
      </c>
      <c r="Q980">
        <f>IF(OR($R979="",$R979="T"),"",IF($R979="B",$Q979,IF($Q979+1&gt;$K$3,"",$Q979+1)))</f>
        <v/>
      </c>
      <c r="R980">
        <f>IF(OR($R979="",$R979="T"),"",IF($R979="B","S",IF($Q979+1&gt;$K$3,"T",IF(INDEX($M$4:$M$2003,MATCH($Q979+1,$P$4:$P$2003,0))&lt;&gt;INDEX($M$4:$M$2003,MATCH($Q979,$P$4:$P$2003,0)),"B","S"))))</f>
        <v/>
      </c>
      <c r="S980">
        <f>IF(Q980="","",IFERROR(MATCH(Q980,$P$4:$P$2003,0),""))</f>
        <v/>
      </c>
    </row>
    <row r="981">
      <c r="A981" s="4">
        <f>IF($R981="","",IF($R981="T","Gesamtergebnis",IF($R981="B",INDEX($M$4:$M$2003,$S981),INDEX($L$4:$L$2003,$S981))))</f>
        <v/>
      </c>
      <c r="B981" s="4">
        <f>IF($R981="","",IF($R981="T",$K$3,IF($R981="B",COUNTIFS($M$4:$M$2003,INDEX($M$4:$M$2003,$S981),$N$4:$N$2003,1),1)))</f>
        <v/>
      </c>
      <c r="L981">
        <f>IF($K$1="","",IFERROR(INDEX(Lines!$A:$AA,ROW()-2,$K$1),""))</f>
        <v/>
      </c>
      <c r="M981">
        <f>IF($K$2="","",IFERROR(INDEX(Lines!$A:$AA,ROW()-2,$K$2),""))</f>
        <v/>
      </c>
      <c r="N981">
        <f>IF(AND(L981&lt;&gt;"",LEFT(L981,1)="N",M981&lt;&gt;"PICKING",M981&lt;&gt;""),1,0)</f>
        <v/>
      </c>
      <c r="O981">
        <f>IF(N981=1,M981&amp;"|"&amp;L981,REPT("z",40))</f>
        <v/>
      </c>
      <c r="P981">
        <f>IF(N981=1,COUNTIF($O$4:$O$2003,"&lt;"&amp;O981)+1,"")</f>
        <v/>
      </c>
      <c r="Q981">
        <f>IF(OR($R980="",$R980="T"),"",IF($R980="B",$Q980,IF($Q980+1&gt;$K$3,"",$Q980+1)))</f>
        <v/>
      </c>
      <c r="R981">
        <f>IF(OR($R980="",$R980="T"),"",IF($R980="B","S",IF($Q980+1&gt;$K$3,"T",IF(INDEX($M$4:$M$2003,MATCH($Q980+1,$P$4:$P$2003,0))&lt;&gt;INDEX($M$4:$M$2003,MATCH($Q980,$P$4:$P$2003,0)),"B","S"))))</f>
        <v/>
      </c>
      <c r="S981">
        <f>IF(Q981="","",IFERROR(MATCH(Q981,$P$4:$P$2003,0),""))</f>
        <v/>
      </c>
    </row>
    <row r="982">
      <c r="A982" s="4">
        <f>IF($R982="","",IF($R982="T","Gesamtergebnis",IF($R982="B",INDEX($M$4:$M$2003,$S982),INDEX($L$4:$L$2003,$S982))))</f>
        <v/>
      </c>
      <c r="B982" s="4">
        <f>IF($R982="","",IF($R982="T",$K$3,IF($R982="B",COUNTIFS($M$4:$M$2003,INDEX($M$4:$M$2003,$S982),$N$4:$N$2003,1),1)))</f>
        <v/>
      </c>
      <c r="L982">
        <f>IF($K$1="","",IFERROR(INDEX(Lines!$A:$AA,ROW()-2,$K$1),""))</f>
        <v/>
      </c>
      <c r="M982">
        <f>IF($K$2="","",IFERROR(INDEX(Lines!$A:$AA,ROW()-2,$K$2),""))</f>
        <v/>
      </c>
      <c r="N982">
        <f>IF(AND(L982&lt;&gt;"",LEFT(L982,1)="N",M982&lt;&gt;"PICKING",M982&lt;&gt;""),1,0)</f>
        <v/>
      </c>
      <c r="O982">
        <f>IF(N982=1,M982&amp;"|"&amp;L982,REPT("z",40))</f>
        <v/>
      </c>
      <c r="P982">
        <f>IF(N982=1,COUNTIF($O$4:$O$2003,"&lt;"&amp;O982)+1,"")</f>
        <v/>
      </c>
      <c r="Q982">
        <f>IF(OR($R981="",$R981="T"),"",IF($R981="B",$Q981,IF($Q981+1&gt;$K$3,"",$Q981+1)))</f>
        <v/>
      </c>
      <c r="R982">
        <f>IF(OR($R981="",$R981="T"),"",IF($R981="B","S",IF($Q981+1&gt;$K$3,"T",IF(INDEX($M$4:$M$2003,MATCH($Q981+1,$P$4:$P$2003,0))&lt;&gt;INDEX($M$4:$M$2003,MATCH($Q981,$P$4:$P$2003,0)),"B","S"))))</f>
        <v/>
      </c>
      <c r="S982">
        <f>IF(Q982="","",IFERROR(MATCH(Q982,$P$4:$P$2003,0),""))</f>
        <v/>
      </c>
    </row>
    <row r="983">
      <c r="A983" s="4">
        <f>IF($R983="","",IF($R983="T","Gesamtergebnis",IF($R983="B",INDEX($M$4:$M$2003,$S983),INDEX($L$4:$L$2003,$S983))))</f>
        <v/>
      </c>
      <c r="B983" s="4">
        <f>IF($R983="","",IF($R983="T",$K$3,IF($R983="B",COUNTIFS($M$4:$M$2003,INDEX($M$4:$M$2003,$S983),$N$4:$N$2003,1),1)))</f>
        <v/>
      </c>
      <c r="L983">
        <f>IF($K$1="","",IFERROR(INDEX(Lines!$A:$AA,ROW()-2,$K$1),""))</f>
        <v/>
      </c>
      <c r="M983">
        <f>IF($K$2="","",IFERROR(INDEX(Lines!$A:$AA,ROW()-2,$K$2),""))</f>
        <v/>
      </c>
      <c r="N983">
        <f>IF(AND(L983&lt;&gt;"",LEFT(L983,1)="N",M983&lt;&gt;"PICKING",M983&lt;&gt;""),1,0)</f>
        <v/>
      </c>
      <c r="O983">
        <f>IF(N983=1,M983&amp;"|"&amp;L983,REPT("z",40))</f>
        <v/>
      </c>
      <c r="P983">
        <f>IF(N983=1,COUNTIF($O$4:$O$2003,"&lt;"&amp;O983)+1,"")</f>
        <v/>
      </c>
      <c r="Q983">
        <f>IF(OR($R982="",$R982="T"),"",IF($R982="B",$Q982,IF($Q982+1&gt;$K$3,"",$Q982+1)))</f>
        <v/>
      </c>
      <c r="R983">
        <f>IF(OR($R982="",$R982="T"),"",IF($R982="B","S",IF($Q982+1&gt;$K$3,"T",IF(INDEX($M$4:$M$2003,MATCH($Q982+1,$P$4:$P$2003,0))&lt;&gt;INDEX($M$4:$M$2003,MATCH($Q982,$P$4:$P$2003,0)),"B","S"))))</f>
        <v/>
      </c>
      <c r="S983">
        <f>IF(Q983="","",IFERROR(MATCH(Q983,$P$4:$P$2003,0),""))</f>
        <v/>
      </c>
    </row>
    <row r="984">
      <c r="A984" s="4">
        <f>IF($R984="","",IF($R984="T","Gesamtergebnis",IF($R984="B",INDEX($M$4:$M$2003,$S984),INDEX($L$4:$L$2003,$S984))))</f>
        <v/>
      </c>
      <c r="B984" s="4">
        <f>IF($R984="","",IF($R984="T",$K$3,IF($R984="B",COUNTIFS($M$4:$M$2003,INDEX($M$4:$M$2003,$S984),$N$4:$N$2003,1),1)))</f>
        <v/>
      </c>
      <c r="L984">
        <f>IF($K$1="","",IFERROR(INDEX(Lines!$A:$AA,ROW()-2,$K$1),""))</f>
        <v/>
      </c>
      <c r="M984">
        <f>IF($K$2="","",IFERROR(INDEX(Lines!$A:$AA,ROW()-2,$K$2),""))</f>
        <v/>
      </c>
      <c r="N984">
        <f>IF(AND(L984&lt;&gt;"",LEFT(L984,1)="N",M984&lt;&gt;"PICKING",M984&lt;&gt;""),1,0)</f>
        <v/>
      </c>
      <c r="O984">
        <f>IF(N984=1,M984&amp;"|"&amp;L984,REPT("z",40))</f>
        <v/>
      </c>
      <c r="P984">
        <f>IF(N984=1,COUNTIF($O$4:$O$2003,"&lt;"&amp;O984)+1,"")</f>
        <v/>
      </c>
      <c r="Q984">
        <f>IF(OR($R983="",$R983="T"),"",IF($R983="B",$Q983,IF($Q983+1&gt;$K$3,"",$Q983+1)))</f>
        <v/>
      </c>
      <c r="R984">
        <f>IF(OR($R983="",$R983="T"),"",IF($R983="B","S",IF($Q983+1&gt;$K$3,"T",IF(INDEX($M$4:$M$2003,MATCH($Q983+1,$P$4:$P$2003,0))&lt;&gt;INDEX($M$4:$M$2003,MATCH($Q983,$P$4:$P$2003,0)),"B","S"))))</f>
        <v/>
      </c>
      <c r="S984">
        <f>IF(Q984="","",IFERROR(MATCH(Q984,$P$4:$P$2003,0),""))</f>
        <v/>
      </c>
    </row>
    <row r="985">
      <c r="A985" s="4">
        <f>IF($R985="","",IF($R985="T","Gesamtergebnis",IF($R985="B",INDEX($M$4:$M$2003,$S985),INDEX($L$4:$L$2003,$S985))))</f>
        <v/>
      </c>
      <c r="B985" s="4">
        <f>IF($R985="","",IF($R985="T",$K$3,IF($R985="B",COUNTIFS($M$4:$M$2003,INDEX($M$4:$M$2003,$S985),$N$4:$N$2003,1),1)))</f>
        <v/>
      </c>
      <c r="L985">
        <f>IF($K$1="","",IFERROR(INDEX(Lines!$A:$AA,ROW()-2,$K$1),""))</f>
        <v/>
      </c>
      <c r="M985">
        <f>IF($K$2="","",IFERROR(INDEX(Lines!$A:$AA,ROW()-2,$K$2),""))</f>
        <v/>
      </c>
      <c r="N985">
        <f>IF(AND(L985&lt;&gt;"",LEFT(L985,1)="N",M985&lt;&gt;"PICKING",M985&lt;&gt;""),1,0)</f>
        <v/>
      </c>
      <c r="O985">
        <f>IF(N985=1,M985&amp;"|"&amp;L985,REPT("z",40))</f>
        <v/>
      </c>
      <c r="P985">
        <f>IF(N985=1,COUNTIF($O$4:$O$2003,"&lt;"&amp;O985)+1,"")</f>
        <v/>
      </c>
      <c r="Q985">
        <f>IF(OR($R984="",$R984="T"),"",IF($R984="B",$Q984,IF($Q984+1&gt;$K$3,"",$Q984+1)))</f>
        <v/>
      </c>
      <c r="R985">
        <f>IF(OR($R984="",$R984="T"),"",IF($R984="B","S",IF($Q984+1&gt;$K$3,"T",IF(INDEX($M$4:$M$2003,MATCH($Q984+1,$P$4:$P$2003,0))&lt;&gt;INDEX($M$4:$M$2003,MATCH($Q984,$P$4:$P$2003,0)),"B","S"))))</f>
        <v/>
      </c>
      <c r="S985">
        <f>IF(Q985="","",IFERROR(MATCH(Q985,$P$4:$P$2003,0),""))</f>
        <v/>
      </c>
    </row>
    <row r="986">
      <c r="A986" s="4">
        <f>IF($R986="","",IF($R986="T","Gesamtergebnis",IF($R986="B",INDEX($M$4:$M$2003,$S986),INDEX($L$4:$L$2003,$S986))))</f>
        <v/>
      </c>
      <c r="B986" s="4">
        <f>IF($R986="","",IF($R986="T",$K$3,IF($R986="B",COUNTIFS($M$4:$M$2003,INDEX($M$4:$M$2003,$S986),$N$4:$N$2003,1),1)))</f>
        <v/>
      </c>
      <c r="L986">
        <f>IF($K$1="","",IFERROR(INDEX(Lines!$A:$AA,ROW()-2,$K$1),""))</f>
        <v/>
      </c>
      <c r="M986">
        <f>IF($K$2="","",IFERROR(INDEX(Lines!$A:$AA,ROW()-2,$K$2),""))</f>
        <v/>
      </c>
      <c r="N986">
        <f>IF(AND(L986&lt;&gt;"",LEFT(L986,1)="N",M986&lt;&gt;"PICKING",M986&lt;&gt;""),1,0)</f>
        <v/>
      </c>
      <c r="O986">
        <f>IF(N986=1,M986&amp;"|"&amp;L986,REPT("z",40))</f>
        <v/>
      </c>
      <c r="P986">
        <f>IF(N986=1,COUNTIF($O$4:$O$2003,"&lt;"&amp;O986)+1,"")</f>
        <v/>
      </c>
      <c r="Q986">
        <f>IF(OR($R985="",$R985="T"),"",IF($R985="B",$Q985,IF($Q985+1&gt;$K$3,"",$Q985+1)))</f>
        <v/>
      </c>
      <c r="R986">
        <f>IF(OR($R985="",$R985="T"),"",IF($R985="B","S",IF($Q985+1&gt;$K$3,"T",IF(INDEX($M$4:$M$2003,MATCH($Q985+1,$P$4:$P$2003,0))&lt;&gt;INDEX($M$4:$M$2003,MATCH($Q985,$P$4:$P$2003,0)),"B","S"))))</f>
        <v/>
      </c>
      <c r="S986">
        <f>IF(Q986="","",IFERROR(MATCH(Q986,$P$4:$P$2003,0),""))</f>
        <v/>
      </c>
    </row>
    <row r="987">
      <c r="A987" s="4">
        <f>IF($R987="","",IF($R987="T","Gesamtergebnis",IF($R987="B",INDEX($M$4:$M$2003,$S987),INDEX($L$4:$L$2003,$S987))))</f>
        <v/>
      </c>
      <c r="B987" s="4">
        <f>IF($R987="","",IF($R987="T",$K$3,IF($R987="B",COUNTIFS($M$4:$M$2003,INDEX($M$4:$M$2003,$S987),$N$4:$N$2003,1),1)))</f>
        <v/>
      </c>
      <c r="L987">
        <f>IF($K$1="","",IFERROR(INDEX(Lines!$A:$AA,ROW()-2,$K$1),""))</f>
        <v/>
      </c>
      <c r="M987">
        <f>IF($K$2="","",IFERROR(INDEX(Lines!$A:$AA,ROW()-2,$K$2),""))</f>
        <v/>
      </c>
      <c r="N987">
        <f>IF(AND(L987&lt;&gt;"",LEFT(L987,1)="N",M987&lt;&gt;"PICKING",M987&lt;&gt;""),1,0)</f>
        <v/>
      </c>
      <c r="O987">
        <f>IF(N987=1,M987&amp;"|"&amp;L987,REPT("z",40))</f>
        <v/>
      </c>
      <c r="P987">
        <f>IF(N987=1,COUNTIF($O$4:$O$2003,"&lt;"&amp;O987)+1,"")</f>
        <v/>
      </c>
      <c r="Q987">
        <f>IF(OR($R986="",$R986="T"),"",IF($R986="B",$Q986,IF($Q986+1&gt;$K$3,"",$Q986+1)))</f>
        <v/>
      </c>
      <c r="R987">
        <f>IF(OR($R986="",$R986="T"),"",IF($R986="B","S",IF($Q986+1&gt;$K$3,"T",IF(INDEX($M$4:$M$2003,MATCH($Q986+1,$P$4:$P$2003,0))&lt;&gt;INDEX($M$4:$M$2003,MATCH($Q986,$P$4:$P$2003,0)),"B","S"))))</f>
        <v/>
      </c>
      <c r="S987">
        <f>IF(Q987="","",IFERROR(MATCH(Q987,$P$4:$P$2003,0),""))</f>
        <v/>
      </c>
    </row>
    <row r="988">
      <c r="A988" s="4">
        <f>IF($R988="","",IF($R988="T","Gesamtergebnis",IF($R988="B",INDEX($M$4:$M$2003,$S988),INDEX($L$4:$L$2003,$S988))))</f>
        <v/>
      </c>
      <c r="B988" s="4">
        <f>IF($R988="","",IF($R988="T",$K$3,IF($R988="B",COUNTIFS($M$4:$M$2003,INDEX($M$4:$M$2003,$S988),$N$4:$N$2003,1),1)))</f>
        <v/>
      </c>
      <c r="L988">
        <f>IF($K$1="","",IFERROR(INDEX(Lines!$A:$AA,ROW()-2,$K$1),""))</f>
        <v/>
      </c>
      <c r="M988">
        <f>IF($K$2="","",IFERROR(INDEX(Lines!$A:$AA,ROW()-2,$K$2),""))</f>
        <v/>
      </c>
      <c r="N988">
        <f>IF(AND(L988&lt;&gt;"",LEFT(L988,1)="N",M988&lt;&gt;"PICKING",M988&lt;&gt;""),1,0)</f>
        <v/>
      </c>
      <c r="O988">
        <f>IF(N988=1,M988&amp;"|"&amp;L988,REPT("z",40))</f>
        <v/>
      </c>
      <c r="P988">
        <f>IF(N988=1,COUNTIF($O$4:$O$2003,"&lt;"&amp;O988)+1,"")</f>
        <v/>
      </c>
      <c r="Q988">
        <f>IF(OR($R987="",$R987="T"),"",IF($R987="B",$Q987,IF($Q987+1&gt;$K$3,"",$Q987+1)))</f>
        <v/>
      </c>
      <c r="R988">
        <f>IF(OR($R987="",$R987="T"),"",IF($R987="B","S",IF($Q987+1&gt;$K$3,"T",IF(INDEX($M$4:$M$2003,MATCH($Q987+1,$P$4:$P$2003,0))&lt;&gt;INDEX($M$4:$M$2003,MATCH($Q987,$P$4:$P$2003,0)),"B","S"))))</f>
        <v/>
      </c>
      <c r="S988">
        <f>IF(Q988="","",IFERROR(MATCH(Q988,$P$4:$P$2003,0),""))</f>
        <v/>
      </c>
    </row>
    <row r="989">
      <c r="A989" s="4">
        <f>IF($R989="","",IF($R989="T","Gesamtergebnis",IF($R989="B",INDEX($M$4:$M$2003,$S989),INDEX($L$4:$L$2003,$S989))))</f>
        <v/>
      </c>
      <c r="B989" s="4">
        <f>IF($R989="","",IF($R989="T",$K$3,IF($R989="B",COUNTIFS($M$4:$M$2003,INDEX($M$4:$M$2003,$S989),$N$4:$N$2003,1),1)))</f>
        <v/>
      </c>
      <c r="L989">
        <f>IF($K$1="","",IFERROR(INDEX(Lines!$A:$AA,ROW()-2,$K$1),""))</f>
        <v/>
      </c>
      <c r="M989">
        <f>IF($K$2="","",IFERROR(INDEX(Lines!$A:$AA,ROW()-2,$K$2),""))</f>
        <v/>
      </c>
      <c r="N989">
        <f>IF(AND(L989&lt;&gt;"",LEFT(L989,1)="N",M989&lt;&gt;"PICKING",M989&lt;&gt;""),1,0)</f>
        <v/>
      </c>
      <c r="O989">
        <f>IF(N989=1,M989&amp;"|"&amp;L989,REPT("z",40))</f>
        <v/>
      </c>
      <c r="P989">
        <f>IF(N989=1,COUNTIF($O$4:$O$2003,"&lt;"&amp;O989)+1,"")</f>
        <v/>
      </c>
      <c r="Q989">
        <f>IF(OR($R988="",$R988="T"),"",IF($R988="B",$Q988,IF($Q988+1&gt;$K$3,"",$Q988+1)))</f>
        <v/>
      </c>
      <c r="R989">
        <f>IF(OR($R988="",$R988="T"),"",IF($R988="B","S",IF($Q988+1&gt;$K$3,"T",IF(INDEX($M$4:$M$2003,MATCH($Q988+1,$P$4:$P$2003,0))&lt;&gt;INDEX($M$4:$M$2003,MATCH($Q988,$P$4:$P$2003,0)),"B","S"))))</f>
        <v/>
      </c>
      <c r="S989">
        <f>IF(Q989="","",IFERROR(MATCH(Q989,$P$4:$P$2003,0),""))</f>
        <v/>
      </c>
    </row>
    <row r="990">
      <c r="A990" s="4">
        <f>IF($R990="","",IF($R990="T","Gesamtergebnis",IF($R990="B",INDEX($M$4:$M$2003,$S990),INDEX($L$4:$L$2003,$S990))))</f>
        <v/>
      </c>
      <c r="B990" s="4">
        <f>IF($R990="","",IF($R990="T",$K$3,IF($R990="B",COUNTIFS($M$4:$M$2003,INDEX($M$4:$M$2003,$S990),$N$4:$N$2003,1),1)))</f>
        <v/>
      </c>
      <c r="L990">
        <f>IF($K$1="","",IFERROR(INDEX(Lines!$A:$AA,ROW()-2,$K$1),""))</f>
        <v/>
      </c>
      <c r="M990">
        <f>IF($K$2="","",IFERROR(INDEX(Lines!$A:$AA,ROW()-2,$K$2),""))</f>
        <v/>
      </c>
      <c r="N990">
        <f>IF(AND(L990&lt;&gt;"",LEFT(L990,1)="N",M990&lt;&gt;"PICKING",M990&lt;&gt;""),1,0)</f>
        <v/>
      </c>
      <c r="O990">
        <f>IF(N990=1,M990&amp;"|"&amp;L990,REPT("z",40))</f>
        <v/>
      </c>
      <c r="P990">
        <f>IF(N990=1,COUNTIF($O$4:$O$2003,"&lt;"&amp;O990)+1,"")</f>
        <v/>
      </c>
      <c r="Q990">
        <f>IF(OR($R989="",$R989="T"),"",IF($R989="B",$Q989,IF($Q989+1&gt;$K$3,"",$Q989+1)))</f>
        <v/>
      </c>
      <c r="R990">
        <f>IF(OR($R989="",$R989="T"),"",IF($R989="B","S",IF($Q989+1&gt;$K$3,"T",IF(INDEX($M$4:$M$2003,MATCH($Q989+1,$P$4:$P$2003,0))&lt;&gt;INDEX($M$4:$M$2003,MATCH($Q989,$P$4:$P$2003,0)),"B","S"))))</f>
        <v/>
      </c>
      <c r="S990">
        <f>IF(Q990="","",IFERROR(MATCH(Q990,$P$4:$P$2003,0),""))</f>
        <v/>
      </c>
    </row>
    <row r="991">
      <c r="A991" s="4">
        <f>IF($R991="","",IF($R991="T","Gesamtergebnis",IF($R991="B",INDEX($M$4:$M$2003,$S991),INDEX($L$4:$L$2003,$S991))))</f>
        <v/>
      </c>
      <c r="B991" s="4">
        <f>IF($R991="","",IF($R991="T",$K$3,IF($R991="B",COUNTIFS($M$4:$M$2003,INDEX($M$4:$M$2003,$S991),$N$4:$N$2003,1),1)))</f>
        <v/>
      </c>
      <c r="L991">
        <f>IF($K$1="","",IFERROR(INDEX(Lines!$A:$AA,ROW()-2,$K$1),""))</f>
        <v/>
      </c>
      <c r="M991">
        <f>IF($K$2="","",IFERROR(INDEX(Lines!$A:$AA,ROW()-2,$K$2),""))</f>
        <v/>
      </c>
      <c r="N991">
        <f>IF(AND(L991&lt;&gt;"",LEFT(L991,1)="N",M991&lt;&gt;"PICKING",M991&lt;&gt;""),1,0)</f>
        <v/>
      </c>
      <c r="O991">
        <f>IF(N991=1,M991&amp;"|"&amp;L991,REPT("z",40))</f>
        <v/>
      </c>
      <c r="P991">
        <f>IF(N991=1,COUNTIF($O$4:$O$2003,"&lt;"&amp;O991)+1,"")</f>
        <v/>
      </c>
      <c r="Q991">
        <f>IF(OR($R990="",$R990="T"),"",IF($R990="B",$Q990,IF($Q990+1&gt;$K$3,"",$Q990+1)))</f>
        <v/>
      </c>
      <c r="R991">
        <f>IF(OR($R990="",$R990="T"),"",IF($R990="B","S",IF($Q990+1&gt;$K$3,"T",IF(INDEX($M$4:$M$2003,MATCH($Q990+1,$P$4:$P$2003,0))&lt;&gt;INDEX($M$4:$M$2003,MATCH($Q990,$P$4:$P$2003,0)),"B","S"))))</f>
        <v/>
      </c>
      <c r="S991">
        <f>IF(Q991="","",IFERROR(MATCH(Q991,$P$4:$P$2003,0),""))</f>
        <v/>
      </c>
    </row>
    <row r="992">
      <c r="A992" s="4">
        <f>IF($R992="","",IF($R992="T","Gesamtergebnis",IF($R992="B",INDEX($M$4:$M$2003,$S992),INDEX($L$4:$L$2003,$S992))))</f>
        <v/>
      </c>
      <c r="B992" s="4">
        <f>IF($R992="","",IF($R992="T",$K$3,IF($R992="B",COUNTIFS($M$4:$M$2003,INDEX($M$4:$M$2003,$S992),$N$4:$N$2003,1),1)))</f>
        <v/>
      </c>
      <c r="L992">
        <f>IF($K$1="","",IFERROR(INDEX(Lines!$A:$AA,ROW()-2,$K$1),""))</f>
        <v/>
      </c>
      <c r="M992">
        <f>IF($K$2="","",IFERROR(INDEX(Lines!$A:$AA,ROW()-2,$K$2),""))</f>
        <v/>
      </c>
      <c r="N992">
        <f>IF(AND(L992&lt;&gt;"",LEFT(L992,1)="N",M992&lt;&gt;"PICKING",M992&lt;&gt;""),1,0)</f>
        <v/>
      </c>
      <c r="O992">
        <f>IF(N992=1,M992&amp;"|"&amp;L992,REPT("z",40))</f>
        <v/>
      </c>
      <c r="P992">
        <f>IF(N992=1,COUNTIF($O$4:$O$2003,"&lt;"&amp;O992)+1,"")</f>
        <v/>
      </c>
      <c r="Q992">
        <f>IF(OR($R991="",$R991="T"),"",IF($R991="B",$Q991,IF($Q991+1&gt;$K$3,"",$Q991+1)))</f>
        <v/>
      </c>
      <c r="R992">
        <f>IF(OR($R991="",$R991="T"),"",IF($R991="B","S",IF($Q991+1&gt;$K$3,"T",IF(INDEX($M$4:$M$2003,MATCH($Q991+1,$P$4:$P$2003,0))&lt;&gt;INDEX($M$4:$M$2003,MATCH($Q991,$P$4:$P$2003,0)),"B","S"))))</f>
        <v/>
      </c>
      <c r="S992">
        <f>IF(Q992="","",IFERROR(MATCH(Q992,$P$4:$P$2003,0),""))</f>
        <v/>
      </c>
    </row>
    <row r="993">
      <c r="A993" s="4">
        <f>IF($R993="","",IF($R993="T","Gesamtergebnis",IF($R993="B",INDEX($M$4:$M$2003,$S993),INDEX($L$4:$L$2003,$S993))))</f>
        <v/>
      </c>
      <c r="B993" s="4">
        <f>IF($R993="","",IF($R993="T",$K$3,IF($R993="B",COUNTIFS($M$4:$M$2003,INDEX($M$4:$M$2003,$S993),$N$4:$N$2003,1),1)))</f>
        <v/>
      </c>
      <c r="L993">
        <f>IF($K$1="","",IFERROR(INDEX(Lines!$A:$AA,ROW()-2,$K$1),""))</f>
        <v/>
      </c>
      <c r="M993">
        <f>IF($K$2="","",IFERROR(INDEX(Lines!$A:$AA,ROW()-2,$K$2),""))</f>
        <v/>
      </c>
      <c r="N993">
        <f>IF(AND(L993&lt;&gt;"",LEFT(L993,1)="N",M993&lt;&gt;"PICKING",M993&lt;&gt;""),1,0)</f>
        <v/>
      </c>
      <c r="O993">
        <f>IF(N993=1,M993&amp;"|"&amp;L993,REPT("z",40))</f>
        <v/>
      </c>
      <c r="P993">
        <f>IF(N993=1,COUNTIF($O$4:$O$2003,"&lt;"&amp;O993)+1,"")</f>
        <v/>
      </c>
      <c r="Q993">
        <f>IF(OR($R992="",$R992="T"),"",IF($R992="B",$Q992,IF($Q992+1&gt;$K$3,"",$Q992+1)))</f>
        <v/>
      </c>
      <c r="R993">
        <f>IF(OR($R992="",$R992="T"),"",IF($R992="B","S",IF($Q992+1&gt;$K$3,"T",IF(INDEX($M$4:$M$2003,MATCH($Q992+1,$P$4:$P$2003,0))&lt;&gt;INDEX($M$4:$M$2003,MATCH($Q992,$P$4:$P$2003,0)),"B","S"))))</f>
        <v/>
      </c>
      <c r="S993">
        <f>IF(Q993="","",IFERROR(MATCH(Q993,$P$4:$P$2003,0),""))</f>
        <v/>
      </c>
    </row>
    <row r="994">
      <c r="A994" s="4">
        <f>IF($R994="","",IF($R994="T","Gesamtergebnis",IF($R994="B",INDEX($M$4:$M$2003,$S994),INDEX($L$4:$L$2003,$S994))))</f>
        <v/>
      </c>
      <c r="B994" s="4">
        <f>IF($R994="","",IF($R994="T",$K$3,IF($R994="B",COUNTIFS($M$4:$M$2003,INDEX($M$4:$M$2003,$S994),$N$4:$N$2003,1),1)))</f>
        <v/>
      </c>
      <c r="L994">
        <f>IF($K$1="","",IFERROR(INDEX(Lines!$A:$AA,ROW()-2,$K$1),""))</f>
        <v/>
      </c>
      <c r="M994">
        <f>IF($K$2="","",IFERROR(INDEX(Lines!$A:$AA,ROW()-2,$K$2),""))</f>
        <v/>
      </c>
      <c r="N994">
        <f>IF(AND(L994&lt;&gt;"",LEFT(L994,1)="N",M994&lt;&gt;"PICKING",M994&lt;&gt;""),1,0)</f>
        <v/>
      </c>
      <c r="O994">
        <f>IF(N994=1,M994&amp;"|"&amp;L994,REPT("z",40))</f>
        <v/>
      </c>
      <c r="P994">
        <f>IF(N994=1,COUNTIF($O$4:$O$2003,"&lt;"&amp;O994)+1,"")</f>
        <v/>
      </c>
      <c r="Q994">
        <f>IF(OR($R993="",$R993="T"),"",IF($R993="B",$Q993,IF($Q993+1&gt;$K$3,"",$Q993+1)))</f>
        <v/>
      </c>
      <c r="R994">
        <f>IF(OR($R993="",$R993="T"),"",IF($R993="B","S",IF($Q993+1&gt;$K$3,"T",IF(INDEX($M$4:$M$2003,MATCH($Q993+1,$P$4:$P$2003,0))&lt;&gt;INDEX($M$4:$M$2003,MATCH($Q993,$P$4:$P$2003,0)),"B","S"))))</f>
        <v/>
      </c>
      <c r="S994">
        <f>IF(Q994="","",IFERROR(MATCH(Q994,$P$4:$P$2003,0),""))</f>
        <v/>
      </c>
    </row>
    <row r="995">
      <c r="A995" s="4">
        <f>IF($R995="","",IF($R995="T","Gesamtergebnis",IF($R995="B",INDEX($M$4:$M$2003,$S995),INDEX($L$4:$L$2003,$S995))))</f>
        <v/>
      </c>
      <c r="B995" s="4">
        <f>IF($R995="","",IF($R995="T",$K$3,IF($R995="B",COUNTIFS($M$4:$M$2003,INDEX($M$4:$M$2003,$S995),$N$4:$N$2003,1),1)))</f>
        <v/>
      </c>
      <c r="L995">
        <f>IF($K$1="","",IFERROR(INDEX(Lines!$A:$AA,ROW()-2,$K$1),""))</f>
        <v/>
      </c>
      <c r="M995">
        <f>IF($K$2="","",IFERROR(INDEX(Lines!$A:$AA,ROW()-2,$K$2),""))</f>
        <v/>
      </c>
      <c r="N995">
        <f>IF(AND(L995&lt;&gt;"",LEFT(L995,1)="N",M995&lt;&gt;"PICKING",M995&lt;&gt;""),1,0)</f>
        <v/>
      </c>
      <c r="O995">
        <f>IF(N995=1,M995&amp;"|"&amp;L995,REPT("z",40))</f>
        <v/>
      </c>
      <c r="P995">
        <f>IF(N995=1,COUNTIF($O$4:$O$2003,"&lt;"&amp;O995)+1,"")</f>
        <v/>
      </c>
      <c r="Q995">
        <f>IF(OR($R994="",$R994="T"),"",IF($R994="B",$Q994,IF($Q994+1&gt;$K$3,"",$Q994+1)))</f>
        <v/>
      </c>
      <c r="R995">
        <f>IF(OR($R994="",$R994="T"),"",IF($R994="B","S",IF($Q994+1&gt;$K$3,"T",IF(INDEX($M$4:$M$2003,MATCH($Q994+1,$P$4:$P$2003,0))&lt;&gt;INDEX($M$4:$M$2003,MATCH($Q994,$P$4:$P$2003,0)),"B","S"))))</f>
        <v/>
      </c>
      <c r="S995">
        <f>IF(Q995="","",IFERROR(MATCH(Q995,$P$4:$P$2003,0),""))</f>
        <v/>
      </c>
    </row>
    <row r="996">
      <c r="A996" s="4">
        <f>IF($R996="","",IF($R996="T","Gesamtergebnis",IF($R996="B",INDEX($M$4:$M$2003,$S996),INDEX($L$4:$L$2003,$S996))))</f>
        <v/>
      </c>
      <c r="B996" s="4">
        <f>IF($R996="","",IF($R996="T",$K$3,IF($R996="B",COUNTIFS($M$4:$M$2003,INDEX($M$4:$M$2003,$S996),$N$4:$N$2003,1),1)))</f>
        <v/>
      </c>
      <c r="L996">
        <f>IF($K$1="","",IFERROR(INDEX(Lines!$A:$AA,ROW()-2,$K$1),""))</f>
        <v/>
      </c>
      <c r="M996">
        <f>IF($K$2="","",IFERROR(INDEX(Lines!$A:$AA,ROW()-2,$K$2),""))</f>
        <v/>
      </c>
      <c r="N996">
        <f>IF(AND(L996&lt;&gt;"",LEFT(L996,1)="N",M996&lt;&gt;"PICKING",M996&lt;&gt;""),1,0)</f>
        <v/>
      </c>
      <c r="O996">
        <f>IF(N996=1,M996&amp;"|"&amp;L996,REPT("z",40))</f>
        <v/>
      </c>
      <c r="P996">
        <f>IF(N996=1,COUNTIF($O$4:$O$2003,"&lt;"&amp;O996)+1,"")</f>
        <v/>
      </c>
      <c r="Q996">
        <f>IF(OR($R995="",$R995="T"),"",IF($R995="B",$Q995,IF($Q995+1&gt;$K$3,"",$Q995+1)))</f>
        <v/>
      </c>
      <c r="R996">
        <f>IF(OR($R995="",$R995="T"),"",IF($R995="B","S",IF($Q995+1&gt;$K$3,"T",IF(INDEX($M$4:$M$2003,MATCH($Q995+1,$P$4:$P$2003,0))&lt;&gt;INDEX($M$4:$M$2003,MATCH($Q995,$P$4:$P$2003,0)),"B","S"))))</f>
        <v/>
      </c>
      <c r="S996">
        <f>IF(Q996="","",IFERROR(MATCH(Q996,$P$4:$P$2003,0),""))</f>
        <v/>
      </c>
    </row>
    <row r="997">
      <c r="A997" s="4">
        <f>IF($R997="","",IF($R997="T","Gesamtergebnis",IF($R997="B",INDEX($M$4:$M$2003,$S997),INDEX($L$4:$L$2003,$S997))))</f>
        <v/>
      </c>
      <c r="B997" s="4">
        <f>IF($R997="","",IF($R997="T",$K$3,IF($R997="B",COUNTIFS($M$4:$M$2003,INDEX($M$4:$M$2003,$S997),$N$4:$N$2003,1),1)))</f>
        <v/>
      </c>
      <c r="L997">
        <f>IF($K$1="","",IFERROR(INDEX(Lines!$A:$AA,ROW()-2,$K$1),""))</f>
        <v/>
      </c>
      <c r="M997">
        <f>IF($K$2="","",IFERROR(INDEX(Lines!$A:$AA,ROW()-2,$K$2),""))</f>
        <v/>
      </c>
      <c r="N997">
        <f>IF(AND(L997&lt;&gt;"",LEFT(L997,1)="N",M997&lt;&gt;"PICKING",M997&lt;&gt;""),1,0)</f>
        <v/>
      </c>
      <c r="O997">
        <f>IF(N997=1,M997&amp;"|"&amp;L997,REPT("z",40))</f>
        <v/>
      </c>
      <c r="P997">
        <f>IF(N997=1,COUNTIF($O$4:$O$2003,"&lt;"&amp;O997)+1,"")</f>
        <v/>
      </c>
      <c r="Q997">
        <f>IF(OR($R996="",$R996="T"),"",IF($R996="B",$Q996,IF($Q996+1&gt;$K$3,"",$Q996+1)))</f>
        <v/>
      </c>
      <c r="R997">
        <f>IF(OR($R996="",$R996="T"),"",IF($R996="B","S",IF($Q996+1&gt;$K$3,"T",IF(INDEX($M$4:$M$2003,MATCH($Q996+1,$P$4:$P$2003,0))&lt;&gt;INDEX($M$4:$M$2003,MATCH($Q996,$P$4:$P$2003,0)),"B","S"))))</f>
        <v/>
      </c>
      <c r="S997">
        <f>IF(Q997="","",IFERROR(MATCH(Q997,$P$4:$P$2003,0),""))</f>
        <v/>
      </c>
    </row>
    <row r="998">
      <c r="A998" s="4">
        <f>IF($R998="","",IF($R998="T","Gesamtergebnis",IF($R998="B",INDEX($M$4:$M$2003,$S998),INDEX($L$4:$L$2003,$S998))))</f>
        <v/>
      </c>
      <c r="B998" s="4">
        <f>IF($R998="","",IF($R998="T",$K$3,IF($R998="B",COUNTIFS($M$4:$M$2003,INDEX($M$4:$M$2003,$S998),$N$4:$N$2003,1),1)))</f>
        <v/>
      </c>
      <c r="L998">
        <f>IF($K$1="","",IFERROR(INDEX(Lines!$A:$AA,ROW()-2,$K$1),""))</f>
        <v/>
      </c>
      <c r="M998">
        <f>IF($K$2="","",IFERROR(INDEX(Lines!$A:$AA,ROW()-2,$K$2),""))</f>
        <v/>
      </c>
      <c r="N998">
        <f>IF(AND(L998&lt;&gt;"",LEFT(L998,1)="N",M998&lt;&gt;"PICKING",M998&lt;&gt;""),1,0)</f>
        <v/>
      </c>
      <c r="O998">
        <f>IF(N998=1,M998&amp;"|"&amp;L998,REPT("z",40))</f>
        <v/>
      </c>
      <c r="P998">
        <f>IF(N998=1,COUNTIF($O$4:$O$2003,"&lt;"&amp;O998)+1,"")</f>
        <v/>
      </c>
      <c r="Q998">
        <f>IF(OR($R997="",$R997="T"),"",IF($R997="B",$Q997,IF($Q997+1&gt;$K$3,"",$Q997+1)))</f>
        <v/>
      </c>
      <c r="R998">
        <f>IF(OR($R997="",$R997="T"),"",IF($R997="B","S",IF($Q997+1&gt;$K$3,"T",IF(INDEX($M$4:$M$2003,MATCH($Q997+1,$P$4:$P$2003,0))&lt;&gt;INDEX($M$4:$M$2003,MATCH($Q997,$P$4:$P$2003,0)),"B","S"))))</f>
        <v/>
      </c>
      <c r="S998">
        <f>IF(Q998="","",IFERROR(MATCH(Q998,$P$4:$P$2003,0),""))</f>
        <v/>
      </c>
    </row>
    <row r="999">
      <c r="A999" s="4">
        <f>IF($R999="","",IF($R999="T","Gesamtergebnis",IF($R999="B",INDEX($M$4:$M$2003,$S999),INDEX($L$4:$L$2003,$S999))))</f>
        <v/>
      </c>
      <c r="B999" s="4">
        <f>IF($R999="","",IF($R999="T",$K$3,IF($R999="B",COUNTIFS($M$4:$M$2003,INDEX($M$4:$M$2003,$S999),$N$4:$N$2003,1),1)))</f>
        <v/>
      </c>
      <c r="L999">
        <f>IF($K$1="","",IFERROR(INDEX(Lines!$A:$AA,ROW()-2,$K$1),""))</f>
        <v/>
      </c>
      <c r="M999">
        <f>IF($K$2="","",IFERROR(INDEX(Lines!$A:$AA,ROW()-2,$K$2),""))</f>
        <v/>
      </c>
      <c r="N999">
        <f>IF(AND(L999&lt;&gt;"",LEFT(L999,1)="N",M999&lt;&gt;"PICKING",M999&lt;&gt;""),1,0)</f>
        <v/>
      </c>
      <c r="O999">
        <f>IF(N999=1,M999&amp;"|"&amp;L999,REPT("z",40))</f>
        <v/>
      </c>
      <c r="P999">
        <f>IF(N999=1,COUNTIF($O$4:$O$2003,"&lt;"&amp;O999)+1,"")</f>
        <v/>
      </c>
      <c r="Q999">
        <f>IF(OR($R998="",$R998="T"),"",IF($R998="B",$Q998,IF($Q998+1&gt;$K$3,"",$Q998+1)))</f>
        <v/>
      </c>
      <c r="R999">
        <f>IF(OR($R998="",$R998="T"),"",IF($R998="B","S",IF($Q998+1&gt;$K$3,"T",IF(INDEX($M$4:$M$2003,MATCH($Q998+1,$P$4:$P$2003,0))&lt;&gt;INDEX($M$4:$M$2003,MATCH($Q998,$P$4:$P$2003,0)),"B","S"))))</f>
        <v/>
      </c>
      <c r="S999">
        <f>IF(Q999="","",IFERROR(MATCH(Q999,$P$4:$P$2003,0),""))</f>
        <v/>
      </c>
    </row>
    <row r="1000">
      <c r="A1000" s="4">
        <f>IF($R1000="","",IF($R1000="T","Gesamtergebnis",IF($R1000="B",INDEX($M$4:$M$2003,$S1000),INDEX($L$4:$L$2003,$S1000))))</f>
        <v/>
      </c>
      <c r="B1000" s="4">
        <f>IF($R1000="","",IF($R1000="T",$K$3,IF($R1000="B",COUNTIFS($M$4:$M$2003,INDEX($M$4:$M$2003,$S1000),$N$4:$N$2003,1),1)))</f>
        <v/>
      </c>
      <c r="L1000">
        <f>IF($K$1="","",IFERROR(INDEX(Lines!$A:$AA,ROW()-2,$K$1),""))</f>
        <v/>
      </c>
      <c r="M1000">
        <f>IF($K$2="","",IFERROR(INDEX(Lines!$A:$AA,ROW()-2,$K$2),""))</f>
        <v/>
      </c>
      <c r="N1000">
        <f>IF(AND(L1000&lt;&gt;"",LEFT(L1000,1)="N",M1000&lt;&gt;"PICKING",M1000&lt;&gt;""),1,0)</f>
        <v/>
      </c>
      <c r="O1000">
        <f>IF(N1000=1,M1000&amp;"|"&amp;L1000,REPT("z",40))</f>
        <v/>
      </c>
      <c r="P1000">
        <f>IF(N1000=1,COUNTIF($O$4:$O$2003,"&lt;"&amp;O1000)+1,"")</f>
        <v/>
      </c>
      <c r="Q1000">
        <f>IF(OR($R999="",$R999="T"),"",IF($R999="B",$Q999,IF($Q999+1&gt;$K$3,"",$Q999+1)))</f>
        <v/>
      </c>
      <c r="R1000">
        <f>IF(OR($R999="",$R999="T"),"",IF($R999="B","S",IF($Q999+1&gt;$K$3,"T",IF(INDEX($M$4:$M$2003,MATCH($Q999+1,$P$4:$P$2003,0))&lt;&gt;INDEX($M$4:$M$2003,MATCH($Q999,$P$4:$P$2003,0)),"B","S"))))</f>
        <v/>
      </c>
      <c r="S1000">
        <f>IF(Q1000="","",IFERROR(MATCH(Q1000,$P$4:$P$2003,0),""))</f>
        <v/>
      </c>
    </row>
    <row r="1001">
      <c r="A1001" s="4">
        <f>IF($R1001="","",IF($R1001="T","Gesamtergebnis",IF($R1001="B",INDEX($M$4:$M$2003,$S1001),INDEX($L$4:$L$2003,$S1001))))</f>
        <v/>
      </c>
      <c r="B1001" s="4">
        <f>IF($R1001="","",IF($R1001="T",$K$3,IF($R1001="B",COUNTIFS($M$4:$M$2003,INDEX($M$4:$M$2003,$S1001),$N$4:$N$2003,1),1)))</f>
        <v/>
      </c>
      <c r="L1001">
        <f>IF($K$1="","",IFERROR(INDEX(Lines!$A:$AA,ROW()-2,$K$1),""))</f>
        <v/>
      </c>
      <c r="M1001">
        <f>IF($K$2="","",IFERROR(INDEX(Lines!$A:$AA,ROW()-2,$K$2),""))</f>
        <v/>
      </c>
      <c r="N1001">
        <f>IF(AND(L1001&lt;&gt;"",LEFT(L1001,1)="N",M1001&lt;&gt;"PICKING",M1001&lt;&gt;""),1,0)</f>
        <v/>
      </c>
      <c r="O1001">
        <f>IF(N1001=1,M1001&amp;"|"&amp;L1001,REPT("z",40))</f>
        <v/>
      </c>
      <c r="P1001">
        <f>IF(N1001=1,COUNTIF($O$4:$O$2003,"&lt;"&amp;O1001)+1,"")</f>
        <v/>
      </c>
      <c r="Q1001">
        <f>IF(OR($R1000="",$R1000="T"),"",IF($R1000="B",$Q1000,IF($Q1000+1&gt;$K$3,"",$Q1000+1)))</f>
        <v/>
      </c>
      <c r="R1001">
        <f>IF(OR($R1000="",$R1000="T"),"",IF($R1000="B","S",IF($Q1000+1&gt;$K$3,"T",IF(INDEX($M$4:$M$2003,MATCH($Q1000+1,$P$4:$P$2003,0))&lt;&gt;INDEX($M$4:$M$2003,MATCH($Q1000,$P$4:$P$2003,0)),"B","S"))))</f>
        <v/>
      </c>
      <c r="S1001">
        <f>IF(Q1001="","",IFERROR(MATCH(Q1001,$P$4:$P$2003,0),""))</f>
        <v/>
      </c>
    </row>
    <row r="1002">
      <c r="A1002" s="4">
        <f>IF($R1002="","",IF($R1002="T","Gesamtergebnis",IF($R1002="B",INDEX($M$4:$M$2003,$S1002),INDEX($L$4:$L$2003,$S1002))))</f>
        <v/>
      </c>
      <c r="B1002" s="4">
        <f>IF($R1002="","",IF($R1002="T",$K$3,IF($R1002="B",COUNTIFS($M$4:$M$2003,INDEX($M$4:$M$2003,$S1002),$N$4:$N$2003,1),1)))</f>
        <v/>
      </c>
      <c r="L1002">
        <f>IF($K$1="","",IFERROR(INDEX(Lines!$A:$AA,ROW()-2,$K$1),""))</f>
        <v/>
      </c>
      <c r="M1002">
        <f>IF($K$2="","",IFERROR(INDEX(Lines!$A:$AA,ROW()-2,$K$2),""))</f>
        <v/>
      </c>
      <c r="N1002">
        <f>IF(AND(L1002&lt;&gt;"",LEFT(L1002,1)="N",M1002&lt;&gt;"PICKING",M1002&lt;&gt;""),1,0)</f>
        <v/>
      </c>
      <c r="O1002">
        <f>IF(N1002=1,M1002&amp;"|"&amp;L1002,REPT("z",40))</f>
        <v/>
      </c>
      <c r="P1002">
        <f>IF(N1002=1,COUNTIF($O$4:$O$2003,"&lt;"&amp;O1002)+1,"")</f>
        <v/>
      </c>
      <c r="Q1002">
        <f>IF(OR($R1001="",$R1001="T"),"",IF($R1001="B",$Q1001,IF($Q1001+1&gt;$K$3,"",$Q1001+1)))</f>
        <v/>
      </c>
      <c r="R1002">
        <f>IF(OR($R1001="",$R1001="T"),"",IF($R1001="B","S",IF($Q1001+1&gt;$K$3,"T",IF(INDEX($M$4:$M$2003,MATCH($Q1001+1,$P$4:$P$2003,0))&lt;&gt;INDEX($M$4:$M$2003,MATCH($Q1001,$P$4:$P$2003,0)),"B","S"))))</f>
        <v/>
      </c>
      <c r="S1002">
        <f>IF(Q1002="","",IFERROR(MATCH(Q1002,$P$4:$P$2003,0),""))</f>
        <v/>
      </c>
    </row>
    <row r="1003">
      <c r="A1003" s="4">
        <f>IF($R1003="","",IF($R1003="T","Gesamtergebnis",IF($R1003="B",INDEX($M$4:$M$2003,$S1003),INDEX($L$4:$L$2003,$S1003))))</f>
        <v/>
      </c>
      <c r="B1003" s="4">
        <f>IF($R1003="","",IF($R1003="T",$K$3,IF($R1003="B",COUNTIFS($M$4:$M$2003,INDEX($M$4:$M$2003,$S1003),$N$4:$N$2003,1),1)))</f>
        <v/>
      </c>
      <c r="L1003">
        <f>IF($K$1="","",IFERROR(INDEX(Lines!$A:$AA,ROW()-2,$K$1),""))</f>
        <v/>
      </c>
      <c r="M1003">
        <f>IF($K$2="","",IFERROR(INDEX(Lines!$A:$AA,ROW()-2,$K$2),""))</f>
        <v/>
      </c>
      <c r="N1003">
        <f>IF(AND(L1003&lt;&gt;"",LEFT(L1003,1)="N",M1003&lt;&gt;"PICKING",M1003&lt;&gt;""),1,0)</f>
        <v/>
      </c>
      <c r="O1003">
        <f>IF(N1003=1,M1003&amp;"|"&amp;L1003,REPT("z",40))</f>
        <v/>
      </c>
      <c r="P1003">
        <f>IF(N1003=1,COUNTIF($O$4:$O$2003,"&lt;"&amp;O1003)+1,"")</f>
        <v/>
      </c>
      <c r="Q1003">
        <f>IF(OR($R1002="",$R1002="T"),"",IF($R1002="B",$Q1002,IF($Q1002+1&gt;$K$3,"",$Q1002+1)))</f>
        <v/>
      </c>
      <c r="R1003">
        <f>IF(OR($R1002="",$R1002="T"),"",IF($R1002="B","S",IF($Q1002+1&gt;$K$3,"T",IF(INDEX($M$4:$M$2003,MATCH($Q1002+1,$P$4:$P$2003,0))&lt;&gt;INDEX($M$4:$M$2003,MATCH($Q1002,$P$4:$P$2003,0)),"B","S"))))</f>
        <v/>
      </c>
      <c r="S1003">
        <f>IF(Q1003="","",IFERROR(MATCH(Q1003,$P$4:$P$2003,0),""))</f>
        <v/>
      </c>
    </row>
    <row r="1004">
      <c r="A1004" s="4">
        <f>IF($R1004="","",IF($R1004="T","Gesamtergebnis",IF($R1004="B",INDEX($M$4:$M$2003,$S1004),INDEX($L$4:$L$2003,$S1004))))</f>
        <v/>
      </c>
      <c r="B1004" s="4">
        <f>IF($R1004="","",IF($R1004="T",$K$3,IF($R1004="B",COUNTIFS($M$4:$M$2003,INDEX($M$4:$M$2003,$S1004),$N$4:$N$2003,1),1)))</f>
        <v/>
      </c>
      <c r="L1004">
        <f>IF($K$1="","",IFERROR(INDEX(Lines!$A:$AA,ROW()-2,$K$1),""))</f>
        <v/>
      </c>
      <c r="M1004">
        <f>IF($K$2="","",IFERROR(INDEX(Lines!$A:$AA,ROW()-2,$K$2),""))</f>
        <v/>
      </c>
      <c r="N1004">
        <f>IF(AND(L1004&lt;&gt;"",LEFT(L1004,1)="N",M1004&lt;&gt;"PICKING",M1004&lt;&gt;""),1,0)</f>
        <v/>
      </c>
      <c r="O1004">
        <f>IF(N1004=1,M1004&amp;"|"&amp;L1004,REPT("z",40))</f>
        <v/>
      </c>
      <c r="P1004">
        <f>IF(N1004=1,COUNTIF($O$4:$O$2003,"&lt;"&amp;O1004)+1,"")</f>
        <v/>
      </c>
      <c r="Q1004">
        <f>IF(OR($R1003="",$R1003="T"),"",IF($R1003="B",$Q1003,IF($Q1003+1&gt;$K$3,"",$Q1003+1)))</f>
        <v/>
      </c>
      <c r="R1004">
        <f>IF(OR($R1003="",$R1003="T"),"",IF($R1003="B","S",IF($Q1003+1&gt;$K$3,"T",IF(INDEX($M$4:$M$2003,MATCH($Q1003+1,$P$4:$P$2003,0))&lt;&gt;INDEX($M$4:$M$2003,MATCH($Q1003,$P$4:$P$2003,0)),"B","S"))))</f>
        <v/>
      </c>
      <c r="S1004">
        <f>IF(Q1004="","",IFERROR(MATCH(Q1004,$P$4:$P$2003,0),""))</f>
        <v/>
      </c>
    </row>
    <row r="1005">
      <c r="A1005" s="4">
        <f>IF($R1005="","",IF($R1005="T","Gesamtergebnis",IF($R1005="B",INDEX($M$4:$M$2003,$S1005),INDEX($L$4:$L$2003,$S1005))))</f>
        <v/>
      </c>
      <c r="B1005" s="4">
        <f>IF($R1005="","",IF($R1005="T",$K$3,IF($R1005="B",COUNTIFS($M$4:$M$2003,INDEX($M$4:$M$2003,$S1005),$N$4:$N$2003,1),1)))</f>
        <v/>
      </c>
      <c r="L1005">
        <f>IF($K$1="","",IFERROR(INDEX(Lines!$A:$AA,ROW()-2,$K$1),""))</f>
        <v/>
      </c>
      <c r="M1005">
        <f>IF($K$2="","",IFERROR(INDEX(Lines!$A:$AA,ROW()-2,$K$2),""))</f>
        <v/>
      </c>
      <c r="N1005">
        <f>IF(AND(L1005&lt;&gt;"",LEFT(L1005,1)="N",M1005&lt;&gt;"PICKING",M1005&lt;&gt;""),1,0)</f>
        <v/>
      </c>
      <c r="O1005">
        <f>IF(N1005=1,M1005&amp;"|"&amp;L1005,REPT("z",40))</f>
        <v/>
      </c>
      <c r="P1005">
        <f>IF(N1005=1,COUNTIF($O$4:$O$2003,"&lt;"&amp;O1005)+1,"")</f>
        <v/>
      </c>
      <c r="Q1005">
        <f>IF(OR($R1004="",$R1004="T"),"",IF($R1004="B",$Q1004,IF($Q1004+1&gt;$K$3,"",$Q1004+1)))</f>
        <v/>
      </c>
      <c r="R1005">
        <f>IF(OR($R1004="",$R1004="T"),"",IF($R1004="B","S",IF($Q1004+1&gt;$K$3,"T",IF(INDEX($M$4:$M$2003,MATCH($Q1004+1,$P$4:$P$2003,0))&lt;&gt;INDEX($M$4:$M$2003,MATCH($Q1004,$P$4:$P$2003,0)),"B","S"))))</f>
        <v/>
      </c>
      <c r="S1005">
        <f>IF(Q1005="","",IFERROR(MATCH(Q1005,$P$4:$P$2003,0),""))</f>
        <v/>
      </c>
    </row>
    <row r="1006">
      <c r="A1006" s="4">
        <f>IF($R1006="","",IF($R1006="T","Gesamtergebnis",IF($R1006="B",INDEX($M$4:$M$2003,$S1006),INDEX($L$4:$L$2003,$S1006))))</f>
        <v/>
      </c>
      <c r="B1006" s="4">
        <f>IF($R1006="","",IF($R1006="T",$K$3,IF($R1006="B",COUNTIFS($M$4:$M$2003,INDEX($M$4:$M$2003,$S1006),$N$4:$N$2003,1),1)))</f>
        <v/>
      </c>
      <c r="L1006">
        <f>IF($K$1="","",IFERROR(INDEX(Lines!$A:$AA,ROW()-2,$K$1),""))</f>
        <v/>
      </c>
      <c r="M1006">
        <f>IF($K$2="","",IFERROR(INDEX(Lines!$A:$AA,ROW()-2,$K$2),""))</f>
        <v/>
      </c>
      <c r="N1006">
        <f>IF(AND(L1006&lt;&gt;"",LEFT(L1006,1)="N",M1006&lt;&gt;"PICKING",M1006&lt;&gt;""),1,0)</f>
        <v/>
      </c>
      <c r="O1006">
        <f>IF(N1006=1,M1006&amp;"|"&amp;L1006,REPT("z",40))</f>
        <v/>
      </c>
      <c r="P1006">
        <f>IF(N1006=1,COUNTIF($O$4:$O$2003,"&lt;"&amp;O1006)+1,"")</f>
        <v/>
      </c>
      <c r="Q1006">
        <f>IF(OR($R1005="",$R1005="T"),"",IF($R1005="B",$Q1005,IF($Q1005+1&gt;$K$3,"",$Q1005+1)))</f>
        <v/>
      </c>
      <c r="R1006">
        <f>IF(OR($R1005="",$R1005="T"),"",IF($R1005="B","S",IF($Q1005+1&gt;$K$3,"T",IF(INDEX($M$4:$M$2003,MATCH($Q1005+1,$P$4:$P$2003,0))&lt;&gt;INDEX($M$4:$M$2003,MATCH($Q1005,$P$4:$P$2003,0)),"B","S"))))</f>
        <v/>
      </c>
      <c r="S1006">
        <f>IF(Q1006="","",IFERROR(MATCH(Q1006,$P$4:$P$2003,0),""))</f>
        <v/>
      </c>
    </row>
    <row r="1007">
      <c r="A1007" s="4">
        <f>IF($R1007="","",IF($R1007="T","Gesamtergebnis",IF($R1007="B",INDEX($M$4:$M$2003,$S1007),INDEX($L$4:$L$2003,$S1007))))</f>
        <v/>
      </c>
      <c r="B1007" s="4">
        <f>IF($R1007="","",IF($R1007="T",$K$3,IF($R1007="B",COUNTIFS($M$4:$M$2003,INDEX($M$4:$M$2003,$S1007),$N$4:$N$2003,1),1)))</f>
        <v/>
      </c>
      <c r="L1007">
        <f>IF($K$1="","",IFERROR(INDEX(Lines!$A:$AA,ROW()-2,$K$1),""))</f>
        <v/>
      </c>
      <c r="M1007">
        <f>IF($K$2="","",IFERROR(INDEX(Lines!$A:$AA,ROW()-2,$K$2),""))</f>
        <v/>
      </c>
      <c r="N1007">
        <f>IF(AND(L1007&lt;&gt;"",LEFT(L1007,1)="N",M1007&lt;&gt;"PICKING",M1007&lt;&gt;""),1,0)</f>
        <v/>
      </c>
      <c r="O1007">
        <f>IF(N1007=1,M1007&amp;"|"&amp;L1007,REPT("z",40))</f>
        <v/>
      </c>
      <c r="P1007">
        <f>IF(N1007=1,COUNTIF($O$4:$O$2003,"&lt;"&amp;O1007)+1,"")</f>
        <v/>
      </c>
      <c r="Q1007">
        <f>IF(OR($R1006="",$R1006="T"),"",IF($R1006="B",$Q1006,IF($Q1006+1&gt;$K$3,"",$Q1006+1)))</f>
        <v/>
      </c>
      <c r="R1007">
        <f>IF(OR($R1006="",$R1006="T"),"",IF($R1006="B","S",IF($Q1006+1&gt;$K$3,"T",IF(INDEX($M$4:$M$2003,MATCH($Q1006+1,$P$4:$P$2003,0))&lt;&gt;INDEX($M$4:$M$2003,MATCH($Q1006,$P$4:$P$2003,0)),"B","S"))))</f>
        <v/>
      </c>
      <c r="S1007">
        <f>IF(Q1007="","",IFERROR(MATCH(Q1007,$P$4:$P$2003,0),""))</f>
        <v/>
      </c>
    </row>
    <row r="1008">
      <c r="A1008" s="4">
        <f>IF($R1008="","",IF($R1008="T","Gesamtergebnis",IF($R1008="B",INDEX($M$4:$M$2003,$S1008),INDEX($L$4:$L$2003,$S1008))))</f>
        <v/>
      </c>
      <c r="B1008" s="4">
        <f>IF($R1008="","",IF($R1008="T",$K$3,IF($R1008="B",COUNTIFS($M$4:$M$2003,INDEX($M$4:$M$2003,$S1008),$N$4:$N$2003,1),1)))</f>
        <v/>
      </c>
      <c r="L1008">
        <f>IF($K$1="","",IFERROR(INDEX(Lines!$A:$AA,ROW()-2,$K$1),""))</f>
        <v/>
      </c>
      <c r="M1008">
        <f>IF($K$2="","",IFERROR(INDEX(Lines!$A:$AA,ROW()-2,$K$2),""))</f>
        <v/>
      </c>
      <c r="N1008">
        <f>IF(AND(L1008&lt;&gt;"",LEFT(L1008,1)="N",M1008&lt;&gt;"PICKING",M1008&lt;&gt;""),1,0)</f>
        <v/>
      </c>
      <c r="O1008">
        <f>IF(N1008=1,M1008&amp;"|"&amp;L1008,REPT("z",40))</f>
        <v/>
      </c>
      <c r="P1008">
        <f>IF(N1008=1,COUNTIF($O$4:$O$2003,"&lt;"&amp;O1008)+1,"")</f>
        <v/>
      </c>
      <c r="Q1008">
        <f>IF(OR($R1007="",$R1007="T"),"",IF($R1007="B",$Q1007,IF($Q1007+1&gt;$K$3,"",$Q1007+1)))</f>
        <v/>
      </c>
      <c r="R1008">
        <f>IF(OR($R1007="",$R1007="T"),"",IF($R1007="B","S",IF($Q1007+1&gt;$K$3,"T",IF(INDEX($M$4:$M$2003,MATCH($Q1007+1,$P$4:$P$2003,0))&lt;&gt;INDEX($M$4:$M$2003,MATCH($Q1007,$P$4:$P$2003,0)),"B","S"))))</f>
        <v/>
      </c>
      <c r="S1008">
        <f>IF(Q1008="","",IFERROR(MATCH(Q1008,$P$4:$P$2003,0),""))</f>
        <v/>
      </c>
    </row>
    <row r="1009">
      <c r="A1009" s="4">
        <f>IF($R1009="","",IF($R1009="T","Gesamtergebnis",IF($R1009="B",INDEX($M$4:$M$2003,$S1009),INDEX($L$4:$L$2003,$S1009))))</f>
        <v/>
      </c>
      <c r="B1009" s="4">
        <f>IF($R1009="","",IF($R1009="T",$K$3,IF($R1009="B",COUNTIFS($M$4:$M$2003,INDEX($M$4:$M$2003,$S1009),$N$4:$N$2003,1),1)))</f>
        <v/>
      </c>
      <c r="L1009">
        <f>IF($K$1="","",IFERROR(INDEX(Lines!$A:$AA,ROW()-2,$K$1),""))</f>
        <v/>
      </c>
      <c r="M1009">
        <f>IF($K$2="","",IFERROR(INDEX(Lines!$A:$AA,ROW()-2,$K$2),""))</f>
        <v/>
      </c>
      <c r="N1009">
        <f>IF(AND(L1009&lt;&gt;"",LEFT(L1009,1)="N",M1009&lt;&gt;"PICKING",M1009&lt;&gt;""),1,0)</f>
        <v/>
      </c>
      <c r="O1009">
        <f>IF(N1009=1,M1009&amp;"|"&amp;L1009,REPT("z",40))</f>
        <v/>
      </c>
      <c r="P1009">
        <f>IF(N1009=1,COUNTIF($O$4:$O$2003,"&lt;"&amp;O1009)+1,"")</f>
        <v/>
      </c>
      <c r="Q1009">
        <f>IF(OR($R1008="",$R1008="T"),"",IF($R1008="B",$Q1008,IF($Q1008+1&gt;$K$3,"",$Q1008+1)))</f>
        <v/>
      </c>
      <c r="R1009">
        <f>IF(OR($R1008="",$R1008="T"),"",IF($R1008="B","S",IF($Q1008+1&gt;$K$3,"T",IF(INDEX($M$4:$M$2003,MATCH($Q1008+1,$P$4:$P$2003,0))&lt;&gt;INDEX($M$4:$M$2003,MATCH($Q1008,$P$4:$P$2003,0)),"B","S"))))</f>
        <v/>
      </c>
      <c r="S1009">
        <f>IF(Q1009="","",IFERROR(MATCH(Q1009,$P$4:$P$2003,0),""))</f>
        <v/>
      </c>
    </row>
    <row r="1010">
      <c r="A1010" s="4">
        <f>IF($R1010="","",IF($R1010="T","Gesamtergebnis",IF($R1010="B",INDEX($M$4:$M$2003,$S1010),INDEX($L$4:$L$2003,$S1010))))</f>
        <v/>
      </c>
      <c r="B1010" s="4">
        <f>IF($R1010="","",IF($R1010="T",$K$3,IF($R1010="B",COUNTIFS($M$4:$M$2003,INDEX($M$4:$M$2003,$S1010),$N$4:$N$2003,1),1)))</f>
        <v/>
      </c>
      <c r="L1010">
        <f>IF($K$1="","",IFERROR(INDEX(Lines!$A:$AA,ROW()-2,$K$1),""))</f>
        <v/>
      </c>
      <c r="M1010">
        <f>IF($K$2="","",IFERROR(INDEX(Lines!$A:$AA,ROW()-2,$K$2),""))</f>
        <v/>
      </c>
      <c r="N1010">
        <f>IF(AND(L1010&lt;&gt;"",LEFT(L1010,1)="N",M1010&lt;&gt;"PICKING",M1010&lt;&gt;""),1,0)</f>
        <v/>
      </c>
      <c r="O1010">
        <f>IF(N1010=1,M1010&amp;"|"&amp;L1010,REPT("z",40))</f>
        <v/>
      </c>
      <c r="P1010">
        <f>IF(N1010=1,COUNTIF($O$4:$O$2003,"&lt;"&amp;O1010)+1,"")</f>
        <v/>
      </c>
      <c r="Q1010">
        <f>IF(OR($R1009="",$R1009="T"),"",IF($R1009="B",$Q1009,IF($Q1009+1&gt;$K$3,"",$Q1009+1)))</f>
        <v/>
      </c>
      <c r="R1010">
        <f>IF(OR($R1009="",$R1009="T"),"",IF($R1009="B","S",IF($Q1009+1&gt;$K$3,"T",IF(INDEX($M$4:$M$2003,MATCH($Q1009+1,$P$4:$P$2003,0))&lt;&gt;INDEX($M$4:$M$2003,MATCH($Q1009,$P$4:$P$2003,0)),"B","S"))))</f>
        <v/>
      </c>
      <c r="S1010">
        <f>IF(Q1010="","",IFERROR(MATCH(Q1010,$P$4:$P$2003,0),""))</f>
        <v/>
      </c>
    </row>
    <row r="1011">
      <c r="A1011" s="4">
        <f>IF($R1011="","",IF($R1011="T","Gesamtergebnis",IF($R1011="B",INDEX($M$4:$M$2003,$S1011),INDEX($L$4:$L$2003,$S1011))))</f>
        <v/>
      </c>
      <c r="B1011" s="4">
        <f>IF($R1011="","",IF($R1011="T",$K$3,IF($R1011="B",COUNTIFS($M$4:$M$2003,INDEX($M$4:$M$2003,$S1011),$N$4:$N$2003,1),1)))</f>
        <v/>
      </c>
      <c r="L1011">
        <f>IF($K$1="","",IFERROR(INDEX(Lines!$A:$AA,ROW()-2,$K$1),""))</f>
        <v/>
      </c>
      <c r="M1011">
        <f>IF($K$2="","",IFERROR(INDEX(Lines!$A:$AA,ROW()-2,$K$2),""))</f>
        <v/>
      </c>
      <c r="N1011">
        <f>IF(AND(L1011&lt;&gt;"",LEFT(L1011,1)="N",M1011&lt;&gt;"PICKING",M1011&lt;&gt;""),1,0)</f>
        <v/>
      </c>
      <c r="O1011">
        <f>IF(N1011=1,M1011&amp;"|"&amp;L1011,REPT("z",40))</f>
        <v/>
      </c>
      <c r="P1011">
        <f>IF(N1011=1,COUNTIF($O$4:$O$2003,"&lt;"&amp;O1011)+1,"")</f>
        <v/>
      </c>
      <c r="Q1011">
        <f>IF(OR($R1010="",$R1010="T"),"",IF($R1010="B",$Q1010,IF($Q1010+1&gt;$K$3,"",$Q1010+1)))</f>
        <v/>
      </c>
      <c r="R1011">
        <f>IF(OR($R1010="",$R1010="T"),"",IF($R1010="B","S",IF($Q1010+1&gt;$K$3,"T",IF(INDEX($M$4:$M$2003,MATCH($Q1010+1,$P$4:$P$2003,0))&lt;&gt;INDEX($M$4:$M$2003,MATCH($Q1010,$P$4:$P$2003,0)),"B","S"))))</f>
        <v/>
      </c>
      <c r="S1011">
        <f>IF(Q1011="","",IFERROR(MATCH(Q1011,$P$4:$P$2003,0),""))</f>
        <v/>
      </c>
    </row>
    <row r="1012">
      <c r="A1012" s="4">
        <f>IF($R1012="","",IF($R1012="T","Gesamtergebnis",IF($R1012="B",INDEX($M$4:$M$2003,$S1012),INDEX($L$4:$L$2003,$S1012))))</f>
        <v/>
      </c>
      <c r="B1012" s="4">
        <f>IF($R1012="","",IF($R1012="T",$K$3,IF($R1012="B",COUNTIFS($M$4:$M$2003,INDEX($M$4:$M$2003,$S1012),$N$4:$N$2003,1),1)))</f>
        <v/>
      </c>
      <c r="L1012">
        <f>IF($K$1="","",IFERROR(INDEX(Lines!$A:$AA,ROW()-2,$K$1),""))</f>
        <v/>
      </c>
      <c r="M1012">
        <f>IF($K$2="","",IFERROR(INDEX(Lines!$A:$AA,ROW()-2,$K$2),""))</f>
        <v/>
      </c>
      <c r="N1012">
        <f>IF(AND(L1012&lt;&gt;"",LEFT(L1012,1)="N",M1012&lt;&gt;"PICKING",M1012&lt;&gt;""),1,0)</f>
        <v/>
      </c>
      <c r="O1012">
        <f>IF(N1012=1,M1012&amp;"|"&amp;L1012,REPT("z",40))</f>
        <v/>
      </c>
      <c r="P1012">
        <f>IF(N1012=1,COUNTIF($O$4:$O$2003,"&lt;"&amp;O1012)+1,"")</f>
        <v/>
      </c>
      <c r="Q1012">
        <f>IF(OR($R1011="",$R1011="T"),"",IF($R1011="B",$Q1011,IF($Q1011+1&gt;$K$3,"",$Q1011+1)))</f>
        <v/>
      </c>
      <c r="R1012">
        <f>IF(OR($R1011="",$R1011="T"),"",IF($R1011="B","S",IF($Q1011+1&gt;$K$3,"T",IF(INDEX($M$4:$M$2003,MATCH($Q1011+1,$P$4:$P$2003,0))&lt;&gt;INDEX($M$4:$M$2003,MATCH($Q1011,$P$4:$P$2003,0)),"B","S"))))</f>
        <v/>
      </c>
      <c r="S1012">
        <f>IF(Q1012="","",IFERROR(MATCH(Q1012,$P$4:$P$2003,0),""))</f>
        <v/>
      </c>
    </row>
    <row r="1013">
      <c r="A1013" s="4">
        <f>IF($R1013="","",IF($R1013="T","Gesamtergebnis",IF($R1013="B",INDEX($M$4:$M$2003,$S1013),INDEX($L$4:$L$2003,$S1013))))</f>
        <v/>
      </c>
      <c r="B1013" s="4">
        <f>IF($R1013="","",IF($R1013="T",$K$3,IF($R1013="B",COUNTIFS($M$4:$M$2003,INDEX($M$4:$M$2003,$S1013),$N$4:$N$2003,1),1)))</f>
        <v/>
      </c>
      <c r="L1013">
        <f>IF($K$1="","",IFERROR(INDEX(Lines!$A:$AA,ROW()-2,$K$1),""))</f>
        <v/>
      </c>
      <c r="M1013">
        <f>IF($K$2="","",IFERROR(INDEX(Lines!$A:$AA,ROW()-2,$K$2),""))</f>
        <v/>
      </c>
      <c r="N1013">
        <f>IF(AND(L1013&lt;&gt;"",LEFT(L1013,1)="N",M1013&lt;&gt;"PICKING",M1013&lt;&gt;""),1,0)</f>
        <v/>
      </c>
      <c r="O1013">
        <f>IF(N1013=1,M1013&amp;"|"&amp;L1013,REPT("z",40))</f>
        <v/>
      </c>
      <c r="P1013">
        <f>IF(N1013=1,COUNTIF($O$4:$O$2003,"&lt;"&amp;O1013)+1,"")</f>
        <v/>
      </c>
      <c r="Q1013">
        <f>IF(OR($R1012="",$R1012="T"),"",IF($R1012="B",$Q1012,IF($Q1012+1&gt;$K$3,"",$Q1012+1)))</f>
        <v/>
      </c>
      <c r="R1013">
        <f>IF(OR($R1012="",$R1012="T"),"",IF($R1012="B","S",IF($Q1012+1&gt;$K$3,"T",IF(INDEX($M$4:$M$2003,MATCH($Q1012+1,$P$4:$P$2003,0))&lt;&gt;INDEX($M$4:$M$2003,MATCH($Q1012,$P$4:$P$2003,0)),"B","S"))))</f>
        <v/>
      </c>
      <c r="S1013">
        <f>IF(Q1013="","",IFERROR(MATCH(Q1013,$P$4:$P$2003,0),""))</f>
        <v/>
      </c>
    </row>
    <row r="1014">
      <c r="A1014" s="4">
        <f>IF($R1014="","",IF($R1014="T","Gesamtergebnis",IF($R1014="B",INDEX($M$4:$M$2003,$S1014),INDEX($L$4:$L$2003,$S1014))))</f>
        <v/>
      </c>
      <c r="B1014" s="4">
        <f>IF($R1014="","",IF($R1014="T",$K$3,IF($R1014="B",COUNTIFS($M$4:$M$2003,INDEX($M$4:$M$2003,$S1014),$N$4:$N$2003,1),1)))</f>
        <v/>
      </c>
      <c r="L1014">
        <f>IF($K$1="","",IFERROR(INDEX(Lines!$A:$AA,ROW()-2,$K$1),""))</f>
        <v/>
      </c>
      <c r="M1014">
        <f>IF($K$2="","",IFERROR(INDEX(Lines!$A:$AA,ROW()-2,$K$2),""))</f>
        <v/>
      </c>
      <c r="N1014">
        <f>IF(AND(L1014&lt;&gt;"",LEFT(L1014,1)="N",M1014&lt;&gt;"PICKING",M1014&lt;&gt;""),1,0)</f>
        <v/>
      </c>
      <c r="O1014">
        <f>IF(N1014=1,M1014&amp;"|"&amp;L1014,REPT("z",40))</f>
        <v/>
      </c>
      <c r="P1014">
        <f>IF(N1014=1,COUNTIF($O$4:$O$2003,"&lt;"&amp;O1014)+1,"")</f>
        <v/>
      </c>
      <c r="Q1014">
        <f>IF(OR($R1013="",$R1013="T"),"",IF($R1013="B",$Q1013,IF($Q1013+1&gt;$K$3,"",$Q1013+1)))</f>
        <v/>
      </c>
      <c r="R1014">
        <f>IF(OR($R1013="",$R1013="T"),"",IF($R1013="B","S",IF($Q1013+1&gt;$K$3,"T",IF(INDEX($M$4:$M$2003,MATCH($Q1013+1,$P$4:$P$2003,0))&lt;&gt;INDEX($M$4:$M$2003,MATCH($Q1013,$P$4:$P$2003,0)),"B","S"))))</f>
        <v/>
      </c>
      <c r="S1014">
        <f>IF(Q1014="","",IFERROR(MATCH(Q1014,$P$4:$P$2003,0),""))</f>
        <v/>
      </c>
    </row>
    <row r="1015">
      <c r="A1015" s="4">
        <f>IF($R1015="","",IF($R1015="T","Gesamtergebnis",IF($R1015="B",INDEX($M$4:$M$2003,$S1015),INDEX($L$4:$L$2003,$S1015))))</f>
        <v/>
      </c>
      <c r="B1015" s="4">
        <f>IF($R1015="","",IF($R1015="T",$K$3,IF($R1015="B",COUNTIFS($M$4:$M$2003,INDEX($M$4:$M$2003,$S1015),$N$4:$N$2003,1),1)))</f>
        <v/>
      </c>
      <c r="L1015">
        <f>IF($K$1="","",IFERROR(INDEX(Lines!$A:$AA,ROW()-2,$K$1),""))</f>
        <v/>
      </c>
      <c r="M1015">
        <f>IF($K$2="","",IFERROR(INDEX(Lines!$A:$AA,ROW()-2,$K$2),""))</f>
        <v/>
      </c>
      <c r="N1015">
        <f>IF(AND(L1015&lt;&gt;"",LEFT(L1015,1)="N",M1015&lt;&gt;"PICKING",M1015&lt;&gt;""),1,0)</f>
        <v/>
      </c>
      <c r="O1015">
        <f>IF(N1015=1,M1015&amp;"|"&amp;L1015,REPT("z",40))</f>
        <v/>
      </c>
      <c r="P1015">
        <f>IF(N1015=1,COUNTIF($O$4:$O$2003,"&lt;"&amp;O1015)+1,"")</f>
        <v/>
      </c>
      <c r="Q1015">
        <f>IF(OR($R1014="",$R1014="T"),"",IF($R1014="B",$Q1014,IF($Q1014+1&gt;$K$3,"",$Q1014+1)))</f>
        <v/>
      </c>
      <c r="R1015">
        <f>IF(OR($R1014="",$R1014="T"),"",IF($R1014="B","S",IF($Q1014+1&gt;$K$3,"T",IF(INDEX($M$4:$M$2003,MATCH($Q1014+1,$P$4:$P$2003,0))&lt;&gt;INDEX($M$4:$M$2003,MATCH($Q1014,$P$4:$P$2003,0)),"B","S"))))</f>
        <v/>
      </c>
      <c r="S1015">
        <f>IF(Q1015="","",IFERROR(MATCH(Q1015,$P$4:$P$2003,0),""))</f>
        <v/>
      </c>
    </row>
    <row r="1016">
      <c r="A1016" s="4">
        <f>IF($R1016="","",IF($R1016="T","Gesamtergebnis",IF($R1016="B",INDEX($M$4:$M$2003,$S1016),INDEX($L$4:$L$2003,$S1016))))</f>
        <v/>
      </c>
      <c r="B1016" s="4">
        <f>IF($R1016="","",IF($R1016="T",$K$3,IF($R1016="B",COUNTIFS($M$4:$M$2003,INDEX($M$4:$M$2003,$S1016),$N$4:$N$2003,1),1)))</f>
        <v/>
      </c>
      <c r="L1016">
        <f>IF($K$1="","",IFERROR(INDEX(Lines!$A:$AA,ROW()-2,$K$1),""))</f>
        <v/>
      </c>
      <c r="M1016">
        <f>IF($K$2="","",IFERROR(INDEX(Lines!$A:$AA,ROW()-2,$K$2),""))</f>
        <v/>
      </c>
      <c r="N1016">
        <f>IF(AND(L1016&lt;&gt;"",LEFT(L1016,1)="N",M1016&lt;&gt;"PICKING",M1016&lt;&gt;""),1,0)</f>
        <v/>
      </c>
      <c r="O1016">
        <f>IF(N1016=1,M1016&amp;"|"&amp;L1016,REPT("z",40))</f>
        <v/>
      </c>
      <c r="P1016">
        <f>IF(N1016=1,COUNTIF($O$4:$O$2003,"&lt;"&amp;O1016)+1,"")</f>
        <v/>
      </c>
      <c r="Q1016">
        <f>IF(OR($R1015="",$R1015="T"),"",IF($R1015="B",$Q1015,IF($Q1015+1&gt;$K$3,"",$Q1015+1)))</f>
        <v/>
      </c>
      <c r="R1016">
        <f>IF(OR($R1015="",$R1015="T"),"",IF($R1015="B","S",IF($Q1015+1&gt;$K$3,"T",IF(INDEX($M$4:$M$2003,MATCH($Q1015+1,$P$4:$P$2003,0))&lt;&gt;INDEX($M$4:$M$2003,MATCH($Q1015,$P$4:$P$2003,0)),"B","S"))))</f>
        <v/>
      </c>
      <c r="S1016">
        <f>IF(Q1016="","",IFERROR(MATCH(Q1016,$P$4:$P$2003,0),""))</f>
        <v/>
      </c>
    </row>
    <row r="1017">
      <c r="A1017" s="4">
        <f>IF($R1017="","",IF($R1017="T","Gesamtergebnis",IF($R1017="B",INDEX($M$4:$M$2003,$S1017),INDEX($L$4:$L$2003,$S1017))))</f>
        <v/>
      </c>
      <c r="B1017" s="4">
        <f>IF($R1017="","",IF($R1017="T",$K$3,IF($R1017="B",COUNTIFS($M$4:$M$2003,INDEX($M$4:$M$2003,$S1017),$N$4:$N$2003,1),1)))</f>
        <v/>
      </c>
      <c r="L1017">
        <f>IF($K$1="","",IFERROR(INDEX(Lines!$A:$AA,ROW()-2,$K$1),""))</f>
        <v/>
      </c>
      <c r="M1017">
        <f>IF($K$2="","",IFERROR(INDEX(Lines!$A:$AA,ROW()-2,$K$2),""))</f>
        <v/>
      </c>
      <c r="N1017">
        <f>IF(AND(L1017&lt;&gt;"",LEFT(L1017,1)="N",M1017&lt;&gt;"PICKING",M1017&lt;&gt;""),1,0)</f>
        <v/>
      </c>
      <c r="O1017">
        <f>IF(N1017=1,M1017&amp;"|"&amp;L1017,REPT("z",40))</f>
        <v/>
      </c>
      <c r="P1017">
        <f>IF(N1017=1,COUNTIF($O$4:$O$2003,"&lt;"&amp;O1017)+1,"")</f>
        <v/>
      </c>
      <c r="Q1017">
        <f>IF(OR($R1016="",$R1016="T"),"",IF($R1016="B",$Q1016,IF($Q1016+1&gt;$K$3,"",$Q1016+1)))</f>
        <v/>
      </c>
      <c r="R1017">
        <f>IF(OR($R1016="",$R1016="T"),"",IF($R1016="B","S",IF($Q1016+1&gt;$K$3,"T",IF(INDEX($M$4:$M$2003,MATCH($Q1016+1,$P$4:$P$2003,0))&lt;&gt;INDEX($M$4:$M$2003,MATCH($Q1016,$P$4:$P$2003,0)),"B","S"))))</f>
        <v/>
      </c>
      <c r="S1017">
        <f>IF(Q1017="","",IFERROR(MATCH(Q1017,$P$4:$P$2003,0),""))</f>
        <v/>
      </c>
    </row>
    <row r="1018">
      <c r="A1018" s="4">
        <f>IF($R1018="","",IF($R1018="T","Gesamtergebnis",IF($R1018="B",INDEX($M$4:$M$2003,$S1018),INDEX($L$4:$L$2003,$S1018))))</f>
        <v/>
      </c>
      <c r="B1018" s="4">
        <f>IF($R1018="","",IF($R1018="T",$K$3,IF($R1018="B",COUNTIFS($M$4:$M$2003,INDEX($M$4:$M$2003,$S1018),$N$4:$N$2003,1),1)))</f>
        <v/>
      </c>
      <c r="L1018">
        <f>IF($K$1="","",IFERROR(INDEX(Lines!$A:$AA,ROW()-2,$K$1),""))</f>
        <v/>
      </c>
      <c r="M1018">
        <f>IF($K$2="","",IFERROR(INDEX(Lines!$A:$AA,ROW()-2,$K$2),""))</f>
        <v/>
      </c>
      <c r="N1018">
        <f>IF(AND(L1018&lt;&gt;"",LEFT(L1018,1)="N",M1018&lt;&gt;"PICKING",M1018&lt;&gt;""),1,0)</f>
        <v/>
      </c>
      <c r="O1018">
        <f>IF(N1018=1,M1018&amp;"|"&amp;L1018,REPT("z",40))</f>
        <v/>
      </c>
      <c r="P1018">
        <f>IF(N1018=1,COUNTIF($O$4:$O$2003,"&lt;"&amp;O1018)+1,"")</f>
        <v/>
      </c>
      <c r="Q1018">
        <f>IF(OR($R1017="",$R1017="T"),"",IF($R1017="B",$Q1017,IF($Q1017+1&gt;$K$3,"",$Q1017+1)))</f>
        <v/>
      </c>
      <c r="R1018">
        <f>IF(OR($R1017="",$R1017="T"),"",IF($R1017="B","S",IF($Q1017+1&gt;$K$3,"T",IF(INDEX($M$4:$M$2003,MATCH($Q1017+1,$P$4:$P$2003,0))&lt;&gt;INDEX($M$4:$M$2003,MATCH($Q1017,$P$4:$P$2003,0)),"B","S"))))</f>
        <v/>
      </c>
      <c r="S1018">
        <f>IF(Q1018="","",IFERROR(MATCH(Q1018,$P$4:$P$2003,0),""))</f>
        <v/>
      </c>
    </row>
    <row r="1019">
      <c r="A1019" s="4">
        <f>IF($R1019="","",IF($R1019="T","Gesamtergebnis",IF($R1019="B",INDEX($M$4:$M$2003,$S1019),INDEX($L$4:$L$2003,$S1019))))</f>
        <v/>
      </c>
      <c r="B1019" s="4">
        <f>IF($R1019="","",IF($R1019="T",$K$3,IF($R1019="B",COUNTIFS($M$4:$M$2003,INDEX($M$4:$M$2003,$S1019),$N$4:$N$2003,1),1)))</f>
        <v/>
      </c>
      <c r="L1019">
        <f>IF($K$1="","",IFERROR(INDEX(Lines!$A:$AA,ROW()-2,$K$1),""))</f>
        <v/>
      </c>
      <c r="M1019">
        <f>IF($K$2="","",IFERROR(INDEX(Lines!$A:$AA,ROW()-2,$K$2),""))</f>
        <v/>
      </c>
      <c r="N1019">
        <f>IF(AND(L1019&lt;&gt;"",LEFT(L1019,1)="N",M1019&lt;&gt;"PICKING",M1019&lt;&gt;""),1,0)</f>
        <v/>
      </c>
      <c r="O1019">
        <f>IF(N1019=1,M1019&amp;"|"&amp;L1019,REPT("z",40))</f>
        <v/>
      </c>
      <c r="P1019">
        <f>IF(N1019=1,COUNTIF($O$4:$O$2003,"&lt;"&amp;O1019)+1,"")</f>
        <v/>
      </c>
      <c r="Q1019">
        <f>IF(OR($R1018="",$R1018="T"),"",IF($R1018="B",$Q1018,IF($Q1018+1&gt;$K$3,"",$Q1018+1)))</f>
        <v/>
      </c>
      <c r="R1019">
        <f>IF(OR($R1018="",$R1018="T"),"",IF($R1018="B","S",IF($Q1018+1&gt;$K$3,"T",IF(INDEX($M$4:$M$2003,MATCH($Q1018+1,$P$4:$P$2003,0))&lt;&gt;INDEX($M$4:$M$2003,MATCH($Q1018,$P$4:$P$2003,0)),"B","S"))))</f>
        <v/>
      </c>
      <c r="S1019">
        <f>IF(Q1019="","",IFERROR(MATCH(Q1019,$P$4:$P$2003,0),""))</f>
        <v/>
      </c>
    </row>
    <row r="1020">
      <c r="A1020" s="4">
        <f>IF($R1020="","",IF($R1020="T","Gesamtergebnis",IF($R1020="B",INDEX($M$4:$M$2003,$S1020),INDEX($L$4:$L$2003,$S1020))))</f>
        <v/>
      </c>
      <c r="B1020" s="4">
        <f>IF($R1020="","",IF($R1020="T",$K$3,IF($R1020="B",COUNTIFS($M$4:$M$2003,INDEX($M$4:$M$2003,$S1020),$N$4:$N$2003,1),1)))</f>
        <v/>
      </c>
      <c r="L1020">
        <f>IF($K$1="","",IFERROR(INDEX(Lines!$A:$AA,ROW()-2,$K$1),""))</f>
        <v/>
      </c>
      <c r="M1020">
        <f>IF($K$2="","",IFERROR(INDEX(Lines!$A:$AA,ROW()-2,$K$2),""))</f>
        <v/>
      </c>
      <c r="N1020">
        <f>IF(AND(L1020&lt;&gt;"",LEFT(L1020,1)="N",M1020&lt;&gt;"PICKING",M1020&lt;&gt;""),1,0)</f>
        <v/>
      </c>
      <c r="O1020">
        <f>IF(N1020=1,M1020&amp;"|"&amp;L1020,REPT("z",40))</f>
        <v/>
      </c>
      <c r="P1020">
        <f>IF(N1020=1,COUNTIF($O$4:$O$2003,"&lt;"&amp;O1020)+1,"")</f>
        <v/>
      </c>
      <c r="Q1020">
        <f>IF(OR($R1019="",$R1019="T"),"",IF($R1019="B",$Q1019,IF($Q1019+1&gt;$K$3,"",$Q1019+1)))</f>
        <v/>
      </c>
      <c r="R1020">
        <f>IF(OR($R1019="",$R1019="T"),"",IF($R1019="B","S",IF($Q1019+1&gt;$K$3,"T",IF(INDEX($M$4:$M$2003,MATCH($Q1019+1,$P$4:$P$2003,0))&lt;&gt;INDEX($M$4:$M$2003,MATCH($Q1019,$P$4:$P$2003,0)),"B","S"))))</f>
        <v/>
      </c>
      <c r="S1020">
        <f>IF(Q1020="","",IFERROR(MATCH(Q1020,$P$4:$P$2003,0),""))</f>
        <v/>
      </c>
    </row>
    <row r="1021">
      <c r="A1021" s="4">
        <f>IF($R1021="","",IF($R1021="T","Gesamtergebnis",IF($R1021="B",INDEX($M$4:$M$2003,$S1021),INDEX($L$4:$L$2003,$S1021))))</f>
        <v/>
      </c>
      <c r="B1021" s="4">
        <f>IF($R1021="","",IF($R1021="T",$K$3,IF($R1021="B",COUNTIFS($M$4:$M$2003,INDEX($M$4:$M$2003,$S1021),$N$4:$N$2003,1),1)))</f>
        <v/>
      </c>
      <c r="L1021">
        <f>IF($K$1="","",IFERROR(INDEX(Lines!$A:$AA,ROW()-2,$K$1),""))</f>
        <v/>
      </c>
      <c r="M1021">
        <f>IF($K$2="","",IFERROR(INDEX(Lines!$A:$AA,ROW()-2,$K$2),""))</f>
        <v/>
      </c>
      <c r="N1021">
        <f>IF(AND(L1021&lt;&gt;"",LEFT(L1021,1)="N",M1021&lt;&gt;"PICKING",M1021&lt;&gt;""),1,0)</f>
        <v/>
      </c>
      <c r="O1021">
        <f>IF(N1021=1,M1021&amp;"|"&amp;L1021,REPT("z",40))</f>
        <v/>
      </c>
      <c r="P1021">
        <f>IF(N1021=1,COUNTIF($O$4:$O$2003,"&lt;"&amp;O1021)+1,"")</f>
        <v/>
      </c>
      <c r="Q1021">
        <f>IF(OR($R1020="",$R1020="T"),"",IF($R1020="B",$Q1020,IF($Q1020+1&gt;$K$3,"",$Q1020+1)))</f>
        <v/>
      </c>
      <c r="R1021">
        <f>IF(OR($R1020="",$R1020="T"),"",IF($R1020="B","S",IF($Q1020+1&gt;$K$3,"T",IF(INDEX($M$4:$M$2003,MATCH($Q1020+1,$P$4:$P$2003,0))&lt;&gt;INDEX($M$4:$M$2003,MATCH($Q1020,$P$4:$P$2003,0)),"B","S"))))</f>
        <v/>
      </c>
      <c r="S1021">
        <f>IF(Q1021="","",IFERROR(MATCH(Q1021,$P$4:$P$2003,0),""))</f>
        <v/>
      </c>
    </row>
    <row r="1022">
      <c r="A1022" s="4">
        <f>IF($R1022="","",IF($R1022="T","Gesamtergebnis",IF($R1022="B",INDEX($M$4:$M$2003,$S1022),INDEX($L$4:$L$2003,$S1022))))</f>
        <v/>
      </c>
      <c r="B1022" s="4">
        <f>IF($R1022="","",IF($R1022="T",$K$3,IF($R1022="B",COUNTIFS($M$4:$M$2003,INDEX($M$4:$M$2003,$S1022),$N$4:$N$2003,1),1)))</f>
        <v/>
      </c>
      <c r="L1022">
        <f>IF($K$1="","",IFERROR(INDEX(Lines!$A:$AA,ROW()-2,$K$1),""))</f>
        <v/>
      </c>
      <c r="M1022">
        <f>IF($K$2="","",IFERROR(INDEX(Lines!$A:$AA,ROW()-2,$K$2),""))</f>
        <v/>
      </c>
      <c r="N1022">
        <f>IF(AND(L1022&lt;&gt;"",LEFT(L1022,1)="N",M1022&lt;&gt;"PICKING",M1022&lt;&gt;""),1,0)</f>
        <v/>
      </c>
      <c r="O1022">
        <f>IF(N1022=1,M1022&amp;"|"&amp;L1022,REPT("z",40))</f>
        <v/>
      </c>
      <c r="P1022">
        <f>IF(N1022=1,COUNTIF($O$4:$O$2003,"&lt;"&amp;O1022)+1,"")</f>
        <v/>
      </c>
      <c r="Q1022">
        <f>IF(OR($R1021="",$R1021="T"),"",IF($R1021="B",$Q1021,IF($Q1021+1&gt;$K$3,"",$Q1021+1)))</f>
        <v/>
      </c>
      <c r="R1022">
        <f>IF(OR($R1021="",$R1021="T"),"",IF($R1021="B","S",IF($Q1021+1&gt;$K$3,"T",IF(INDEX($M$4:$M$2003,MATCH($Q1021+1,$P$4:$P$2003,0))&lt;&gt;INDEX($M$4:$M$2003,MATCH($Q1021,$P$4:$P$2003,0)),"B","S"))))</f>
        <v/>
      </c>
      <c r="S1022">
        <f>IF(Q1022="","",IFERROR(MATCH(Q1022,$P$4:$P$2003,0),""))</f>
        <v/>
      </c>
    </row>
    <row r="1023">
      <c r="A1023" s="4">
        <f>IF($R1023="","",IF($R1023="T","Gesamtergebnis",IF($R1023="B",INDEX($M$4:$M$2003,$S1023),INDEX($L$4:$L$2003,$S1023))))</f>
        <v/>
      </c>
      <c r="B1023" s="4">
        <f>IF($R1023="","",IF($R1023="T",$K$3,IF($R1023="B",COUNTIFS($M$4:$M$2003,INDEX($M$4:$M$2003,$S1023),$N$4:$N$2003,1),1)))</f>
        <v/>
      </c>
      <c r="L1023">
        <f>IF($K$1="","",IFERROR(INDEX(Lines!$A:$AA,ROW()-2,$K$1),""))</f>
        <v/>
      </c>
      <c r="M1023">
        <f>IF($K$2="","",IFERROR(INDEX(Lines!$A:$AA,ROW()-2,$K$2),""))</f>
        <v/>
      </c>
      <c r="N1023">
        <f>IF(AND(L1023&lt;&gt;"",LEFT(L1023,1)="N",M1023&lt;&gt;"PICKING",M1023&lt;&gt;""),1,0)</f>
        <v/>
      </c>
      <c r="O1023">
        <f>IF(N1023=1,M1023&amp;"|"&amp;L1023,REPT("z",40))</f>
        <v/>
      </c>
      <c r="P1023">
        <f>IF(N1023=1,COUNTIF($O$4:$O$2003,"&lt;"&amp;O1023)+1,"")</f>
        <v/>
      </c>
      <c r="Q1023">
        <f>IF(OR($R1022="",$R1022="T"),"",IF($R1022="B",$Q1022,IF($Q1022+1&gt;$K$3,"",$Q1022+1)))</f>
        <v/>
      </c>
      <c r="R1023">
        <f>IF(OR($R1022="",$R1022="T"),"",IF($R1022="B","S",IF($Q1022+1&gt;$K$3,"T",IF(INDEX($M$4:$M$2003,MATCH($Q1022+1,$P$4:$P$2003,0))&lt;&gt;INDEX($M$4:$M$2003,MATCH($Q1022,$P$4:$P$2003,0)),"B","S"))))</f>
        <v/>
      </c>
      <c r="S1023">
        <f>IF(Q1023="","",IFERROR(MATCH(Q1023,$P$4:$P$2003,0),""))</f>
        <v/>
      </c>
    </row>
    <row r="1024">
      <c r="A1024" s="4">
        <f>IF($R1024="","",IF($R1024="T","Gesamtergebnis",IF($R1024="B",INDEX($M$4:$M$2003,$S1024),INDEX($L$4:$L$2003,$S1024))))</f>
        <v/>
      </c>
      <c r="B1024" s="4">
        <f>IF($R1024="","",IF($R1024="T",$K$3,IF($R1024="B",COUNTIFS($M$4:$M$2003,INDEX($M$4:$M$2003,$S1024),$N$4:$N$2003,1),1)))</f>
        <v/>
      </c>
      <c r="L1024">
        <f>IF($K$1="","",IFERROR(INDEX(Lines!$A:$AA,ROW()-2,$K$1),""))</f>
        <v/>
      </c>
      <c r="M1024">
        <f>IF($K$2="","",IFERROR(INDEX(Lines!$A:$AA,ROW()-2,$K$2),""))</f>
        <v/>
      </c>
      <c r="N1024">
        <f>IF(AND(L1024&lt;&gt;"",LEFT(L1024,1)="N",M1024&lt;&gt;"PICKING",M1024&lt;&gt;""),1,0)</f>
        <v/>
      </c>
      <c r="O1024">
        <f>IF(N1024=1,M1024&amp;"|"&amp;L1024,REPT("z",40))</f>
        <v/>
      </c>
      <c r="P1024">
        <f>IF(N1024=1,COUNTIF($O$4:$O$2003,"&lt;"&amp;O1024)+1,"")</f>
        <v/>
      </c>
      <c r="Q1024">
        <f>IF(OR($R1023="",$R1023="T"),"",IF($R1023="B",$Q1023,IF($Q1023+1&gt;$K$3,"",$Q1023+1)))</f>
        <v/>
      </c>
      <c r="R1024">
        <f>IF(OR($R1023="",$R1023="T"),"",IF($R1023="B","S",IF($Q1023+1&gt;$K$3,"T",IF(INDEX($M$4:$M$2003,MATCH($Q1023+1,$P$4:$P$2003,0))&lt;&gt;INDEX($M$4:$M$2003,MATCH($Q1023,$P$4:$P$2003,0)),"B","S"))))</f>
        <v/>
      </c>
      <c r="S1024">
        <f>IF(Q1024="","",IFERROR(MATCH(Q1024,$P$4:$P$2003,0),""))</f>
        <v/>
      </c>
    </row>
    <row r="1025">
      <c r="A1025" s="4">
        <f>IF($R1025="","",IF($R1025="T","Gesamtergebnis",IF($R1025="B",INDEX($M$4:$M$2003,$S1025),INDEX($L$4:$L$2003,$S1025))))</f>
        <v/>
      </c>
      <c r="B1025" s="4">
        <f>IF($R1025="","",IF($R1025="T",$K$3,IF($R1025="B",COUNTIFS($M$4:$M$2003,INDEX($M$4:$M$2003,$S1025),$N$4:$N$2003,1),1)))</f>
        <v/>
      </c>
      <c r="L1025">
        <f>IF($K$1="","",IFERROR(INDEX(Lines!$A:$AA,ROW()-2,$K$1),""))</f>
        <v/>
      </c>
      <c r="M1025">
        <f>IF($K$2="","",IFERROR(INDEX(Lines!$A:$AA,ROW()-2,$K$2),""))</f>
        <v/>
      </c>
      <c r="N1025">
        <f>IF(AND(L1025&lt;&gt;"",LEFT(L1025,1)="N",M1025&lt;&gt;"PICKING",M1025&lt;&gt;""),1,0)</f>
        <v/>
      </c>
      <c r="O1025">
        <f>IF(N1025=1,M1025&amp;"|"&amp;L1025,REPT("z",40))</f>
        <v/>
      </c>
      <c r="P1025">
        <f>IF(N1025=1,COUNTIF($O$4:$O$2003,"&lt;"&amp;O1025)+1,"")</f>
        <v/>
      </c>
      <c r="Q1025">
        <f>IF(OR($R1024="",$R1024="T"),"",IF($R1024="B",$Q1024,IF($Q1024+1&gt;$K$3,"",$Q1024+1)))</f>
        <v/>
      </c>
      <c r="R1025">
        <f>IF(OR($R1024="",$R1024="T"),"",IF($R1024="B","S",IF($Q1024+1&gt;$K$3,"T",IF(INDEX($M$4:$M$2003,MATCH($Q1024+1,$P$4:$P$2003,0))&lt;&gt;INDEX($M$4:$M$2003,MATCH($Q1024,$P$4:$P$2003,0)),"B","S"))))</f>
        <v/>
      </c>
      <c r="S1025">
        <f>IF(Q1025="","",IFERROR(MATCH(Q1025,$P$4:$P$2003,0),""))</f>
        <v/>
      </c>
    </row>
    <row r="1026">
      <c r="A1026" s="4">
        <f>IF($R1026="","",IF($R1026="T","Gesamtergebnis",IF($R1026="B",INDEX($M$4:$M$2003,$S1026),INDEX($L$4:$L$2003,$S1026))))</f>
        <v/>
      </c>
      <c r="B1026" s="4">
        <f>IF($R1026="","",IF($R1026="T",$K$3,IF($R1026="B",COUNTIFS($M$4:$M$2003,INDEX($M$4:$M$2003,$S1026),$N$4:$N$2003,1),1)))</f>
        <v/>
      </c>
      <c r="L1026">
        <f>IF($K$1="","",IFERROR(INDEX(Lines!$A:$AA,ROW()-2,$K$1),""))</f>
        <v/>
      </c>
      <c r="M1026">
        <f>IF($K$2="","",IFERROR(INDEX(Lines!$A:$AA,ROW()-2,$K$2),""))</f>
        <v/>
      </c>
      <c r="N1026">
        <f>IF(AND(L1026&lt;&gt;"",LEFT(L1026,1)="N",M1026&lt;&gt;"PICKING",M1026&lt;&gt;""),1,0)</f>
        <v/>
      </c>
      <c r="O1026">
        <f>IF(N1026=1,M1026&amp;"|"&amp;L1026,REPT("z",40))</f>
        <v/>
      </c>
      <c r="P1026">
        <f>IF(N1026=1,COUNTIF($O$4:$O$2003,"&lt;"&amp;O1026)+1,"")</f>
        <v/>
      </c>
      <c r="Q1026">
        <f>IF(OR($R1025="",$R1025="T"),"",IF($R1025="B",$Q1025,IF($Q1025+1&gt;$K$3,"",$Q1025+1)))</f>
        <v/>
      </c>
      <c r="R1026">
        <f>IF(OR($R1025="",$R1025="T"),"",IF($R1025="B","S",IF($Q1025+1&gt;$K$3,"T",IF(INDEX($M$4:$M$2003,MATCH($Q1025+1,$P$4:$P$2003,0))&lt;&gt;INDEX($M$4:$M$2003,MATCH($Q1025,$P$4:$P$2003,0)),"B","S"))))</f>
        <v/>
      </c>
      <c r="S1026">
        <f>IF(Q1026="","",IFERROR(MATCH(Q1026,$P$4:$P$2003,0),""))</f>
        <v/>
      </c>
    </row>
    <row r="1027">
      <c r="A1027" s="4">
        <f>IF($R1027="","",IF($R1027="T","Gesamtergebnis",IF($R1027="B",INDEX($M$4:$M$2003,$S1027),INDEX($L$4:$L$2003,$S1027))))</f>
        <v/>
      </c>
      <c r="B1027" s="4">
        <f>IF($R1027="","",IF($R1027="T",$K$3,IF($R1027="B",COUNTIFS($M$4:$M$2003,INDEX($M$4:$M$2003,$S1027),$N$4:$N$2003,1),1)))</f>
        <v/>
      </c>
      <c r="L1027">
        <f>IF($K$1="","",IFERROR(INDEX(Lines!$A:$AA,ROW()-2,$K$1),""))</f>
        <v/>
      </c>
      <c r="M1027">
        <f>IF($K$2="","",IFERROR(INDEX(Lines!$A:$AA,ROW()-2,$K$2),""))</f>
        <v/>
      </c>
      <c r="N1027">
        <f>IF(AND(L1027&lt;&gt;"",LEFT(L1027,1)="N",M1027&lt;&gt;"PICKING",M1027&lt;&gt;""),1,0)</f>
        <v/>
      </c>
      <c r="O1027">
        <f>IF(N1027=1,M1027&amp;"|"&amp;L1027,REPT("z",40))</f>
        <v/>
      </c>
      <c r="P1027">
        <f>IF(N1027=1,COUNTIF($O$4:$O$2003,"&lt;"&amp;O1027)+1,"")</f>
        <v/>
      </c>
      <c r="Q1027">
        <f>IF(OR($R1026="",$R1026="T"),"",IF($R1026="B",$Q1026,IF($Q1026+1&gt;$K$3,"",$Q1026+1)))</f>
        <v/>
      </c>
      <c r="R1027">
        <f>IF(OR($R1026="",$R1026="T"),"",IF($R1026="B","S",IF($Q1026+1&gt;$K$3,"T",IF(INDEX($M$4:$M$2003,MATCH($Q1026+1,$P$4:$P$2003,0))&lt;&gt;INDEX($M$4:$M$2003,MATCH($Q1026,$P$4:$P$2003,0)),"B","S"))))</f>
        <v/>
      </c>
      <c r="S1027">
        <f>IF(Q1027="","",IFERROR(MATCH(Q1027,$P$4:$P$2003,0),""))</f>
        <v/>
      </c>
    </row>
    <row r="1028">
      <c r="A1028" s="4">
        <f>IF($R1028="","",IF($R1028="T","Gesamtergebnis",IF($R1028="B",INDEX($M$4:$M$2003,$S1028),INDEX($L$4:$L$2003,$S1028))))</f>
        <v/>
      </c>
      <c r="B1028" s="4">
        <f>IF($R1028="","",IF($R1028="T",$K$3,IF($R1028="B",COUNTIFS($M$4:$M$2003,INDEX($M$4:$M$2003,$S1028),$N$4:$N$2003,1),1)))</f>
        <v/>
      </c>
      <c r="L1028">
        <f>IF($K$1="","",IFERROR(INDEX(Lines!$A:$AA,ROW()-2,$K$1),""))</f>
        <v/>
      </c>
      <c r="M1028">
        <f>IF($K$2="","",IFERROR(INDEX(Lines!$A:$AA,ROW()-2,$K$2),""))</f>
        <v/>
      </c>
      <c r="N1028">
        <f>IF(AND(L1028&lt;&gt;"",LEFT(L1028,1)="N",M1028&lt;&gt;"PICKING",M1028&lt;&gt;""),1,0)</f>
        <v/>
      </c>
      <c r="O1028">
        <f>IF(N1028=1,M1028&amp;"|"&amp;L1028,REPT("z",40))</f>
        <v/>
      </c>
      <c r="P1028">
        <f>IF(N1028=1,COUNTIF($O$4:$O$2003,"&lt;"&amp;O1028)+1,"")</f>
        <v/>
      </c>
      <c r="Q1028">
        <f>IF(OR($R1027="",$R1027="T"),"",IF($R1027="B",$Q1027,IF($Q1027+1&gt;$K$3,"",$Q1027+1)))</f>
        <v/>
      </c>
      <c r="R1028">
        <f>IF(OR($R1027="",$R1027="T"),"",IF($R1027="B","S",IF($Q1027+1&gt;$K$3,"T",IF(INDEX($M$4:$M$2003,MATCH($Q1027+1,$P$4:$P$2003,0))&lt;&gt;INDEX($M$4:$M$2003,MATCH($Q1027,$P$4:$P$2003,0)),"B","S"))))</f>
        <v/>
      </c>
      <c r="S1028">
        <f>IF(Q1028="","",IFERROR(MATCH(Q1028,$P$4:$P$2003,0),""))</f>
        <v/>
      </c>
    </row>
    <row r="1029">
      <c r="A1029" s="4">
        <f>IF($R1029="","",IF($R1029="T","Gesamtergebnis",IF($R1029="B",INDEX($M$4:$M$2003,$S1029),INDEX($L$4:$L$2003,$S1029))))</f>
        <v/>
      </c>
      <c r="B1029" s="4">
        <f>IF($R1029="","",IF($R1029="T",$K$3,IF($R1029="B",COUNTIFS($M$4:$M$2003,INDEX($M$4:$M$2003,$S1029),$N$4:$N$2003,1),1)))</f>
        <v/>
      </c>
      <c r="L1029">
        <f>IF($K$1="","",IFERROR(INDEX(Lines!$A:$AA,ROW()-2,$K$1),""))</f>
        <v/>
      </c>
      <c r="M1029">
        <f>IF($K$2="","",IFERROR(INDEX(Lines!$A:$AA,ROW()-2,$K$2),""))</f>
        <v/>
      </c>
      <c r="N1029">
        <f>IF(AND(L1029&lt;&gt;"",LEFT(L1029,1)="N",M1029&lt;&gt;"PICKING",M1029&lt;&gt;""),1,0)</f>
        <v/>
      </c>
      <c r="O1029">
        <f>IF(N1029=1,M1029&amp;"|"&amp;L1029,REPT("z",40))</f>
        <v/>
      </c>
      <c r="P1029">
        <f>IF(N1029=1,COUNTIF($O$4:$O$2003,"&lt;"&amp;O1029)+1,"")</f>
        <v/>
      </c>
      <c r="Q1029">
        <f>IF(OR($R1028="",$R1028="T"),"",IF($R1028="B",$Q1028,IF($Q1028+1&gt;$K$3,"",$Q1028+1)))</f>
        <v/>
      </c>
      <c r="R1029">
        <f>IF(OR($R1028="",$R1028="T"),"",IF($R1028="B","S",IF($Q1028+1&gt;$K$3,"T",IF(INDEX($M$4:$M$2003,MATCH($Q1028+1,$P$4:$P$2003,0))&lt;&gt;INDEX($M$4:$M$2003,MATCH($Q1028,$P$4:$P$2003,0)),"B","S"))))</f>
        <v/>
      </c>
      <c r="S1029">
        <f>IF(Q1029="","",IFERROR(MATCH(Q1029,$P$4:$P$2003,0),""))</f>
        <v/>
      </c>
    </row>
    <row r="1030">
      <c r="A1030" s="4">
        <f>IF($R1030="","",IF($R1030="T","Gesamtergebnis",IF($R1030="B",INDEX($M$4:$M$2003,$S1030),INDEX($L$4:$L$2003,$S1030))))</f>
        <v/>
      </c>
      <c r="B1030" s="4">
        <f>IF($R1030="","",IF($R1030="T",$K$3,IF($R1030="B",COUNTIFS($M$4:$M$2003,INDEX($M$4:$M$2003,$S1030),$N$4:$N$2003,1),1)))</f>
        <v/>
      </c>
      <c r="L1030">
        <f>IF($K$1="","",IFERROR(INDEX(Lines!$A:$AA,ROW()-2,$K$1),""))</f>
        <v/>
      </c>
      <c r="M1030">
        <f>IF($K$2="","",IFERROR(INDEX(Lines!$A:$AA,ROW()-2,$K$2),""))</f>
        <v/>
      </c>
      <c r="N1030">
        <f>IF(AND(L1030&lt;&gt;"",LEFT(L1030,1)="N",M1030&lt;&gt;"PICKING",M1030&lt;&gt;""),1,0)</f>
        <v/>
      </c>
      <c r="O1030">
        <f>IF(N1030=1,M1030&amp;"|"&amp;L1030,REPT("z",40))</f>
        <v/>
      </c>
      <c r="P1030">
        <f>IF(N1030=1,COUNTIF($O$4:$O$2003,"&lt;"&amp;O1030)+1,"")</f>
        <v/>
      </c>
      <c r="Q1030">
        <f>IF(OR($R1029="",$R1029="T"),"",IF($R1029="B",$Q1029,IF($Q1029+1&gt;$K$3,"",$Q1029+1)))</f>
        <v/>
      </c>
      <c r="R1030">
        <f>IF(OR($R1029="",$R1029="T"),"",IF($R1029="B","S",IF($Q1029+1&gt;$K$3,"T",IF(INDEX($M$4:$M$2003,MATCH($Q1029+1,$P$4:$P$2003,0))&lt;&gt;INDEX($M$4:$M$2003,MATCH($Q1029,$P$4:$P$2003,0)),"B","S"))))</f>
        <v/>
      </c>
      <c r="S1030">
        <f>IF(Q1030="","",IFERROR(MATCH(Q1030,$P$4:$P$2003,0),""))</f>
        <v/>
      </c>
    </row>
    <row r="1031">
      <c r="A1031" s="4">
        <f>IF($R1031="","",IF($R1031="T","Gesamtergebnis",IF($R1031="B",INDEX($M$4:$M$2003,$S1031),INDEX($L$4:$L$2003,$S1031))))</f>
        <v/>
      </c>
      <c r="B1031" s="4">
        <f>IF($R1031="","",IF($R1031="T",$K$3,IF($R1031="B",COUNTIFS($M$4:$M$2003,INDEX($M$4:$M$2003,$S1031),$N$4:$N$2003,1),1)))</f>
        <v/>
      </c>
      <c r="L1031">
        <f>IF($K$1="","",IFERROR(INDEX(Lines!$A:$AA,ROW()-2,$K$1),""))</f>
        <v/>
      </c>
      <c r="M1031">
        <f>IF($K$2="","",IFERROR(INDEX(Lines!$A:$AA,ROW()-2,$K$2),""))</f>
        <v/>
      </c>
      <c r="N1031">
        <f>IF(AND(L1031&lt;&gt;"",LEFT(L1031,1)="N",M1031&lt;&gt;"PICKING",M1031&lt;&gt;""),1,0)</f>
        <v/>
      </c>
      <c r="O1031">
        <f>IF(N1031=1,M1031&amp;"|"&amp;L1031,REPT("z",40))</f>
        <v/>
      </c>
      <c r="P1031">
        <f>IF(N1031=1,COUNTIF($O$4:$O$2003,"&lt;"&amp;O1031)+1,"")</f>
        <v/>
      </c>
      <c r="Q1031">
        <f>IF(OR($R1030="",$R1030="T"),"",IF($R1030="B",$Q1030,IF($Q1030+1&gt;$K$3,"",$Q1030+1)))</f>
        <v/>
      </c>
      <c r="R1031">
        <f>IF(OR($R1030="",$R1030="T"),"",IF($R1030="B","S",IF($Q1030+1&gt;$K$3,"T",IF(INDEX($M$4:$M$2003,MATCH($Q1030+1,$P$4:$P$2003,0))&lt;&gt;INDEX($M$4:$M$2003,MATCH($Q1030,$P$4:$P$2003,0)),"B","S"))))</f>
        <v/>
      </c>
      <c r="S1031">
        <f>IF(Q1031="","",IFERROR(MATCH(Q1031,$P$4:$P$2003,0),""))</f>
        <v/>
      </c>
    </row>
    <row r="1032">
      <c r="A1032" s="4">
        <f>IF($R1032="","",IF($R1032="T","Gesamtergebnis",IF($R1032="B",INDEX($M$4:$M$2003,$S1032),INDEX($L$4:$L$2003,$S1032))))</f>
        <v/>
      </c>
      <c r="B1032" s="4">
        <f>IF($R1032="","",IF($R1032="T",$K$3,IF($R1032="B",COUNTIFS($M$4:$M$2003,INDEX($M$4:$M$2003,$S1032),$N$4:$N$2003,1),1)))</f>
        <v/>
      </c>
      <c r="L1032">
        <f>IF($K$1="","",IFERROR(INDEX(Lines!$A:$AA,ROW()-2,$K$1),""))</f>
        <v/>
      </c>
      <c r="M1032">
        <f>IF($K$2="","",IFERROR(INDEX(Lines!$A:$AA,ROW()-2,$K$2),""))</f>
        <v/>
      </c>
      <c r="N1032">
        <f>IF(AND(L1032&lt;&gt;"",LEFT(L1032,1)="N",M1032&lt;&gt;"PICKING",M1032&lt;&gt;""),1,0)</f>
        <v/>
      </c>
      <c r="O1032">
        <f>IF(N1032=1,M1032&amp;"|"&amp;L1032,REPT("z",40))</f>
        <v/>
      </c>
      <c r="P1032">
        <f>IF(N1032=1,COUNTIF($O$4:$O$2003,"&lt;"&amp;O1032)+1,"")</f>
        <v/>
      </c>
      <c r="Q1032">
        <f>IF(OR($R1031="",$R1031="T"),"",IF($R1031="B",$Q1031,IF($Q1031+1&gt;$K$3,"",$Q1031+1)))</f>
        <v/>
      </c>
      <c r="R1032">
        <f>IF(OR($R1031="",$R1031="T"),"",IF($R1031="B","S",IF($Q1031+1&gt;$K$3,"T",IF(INDEX($M$4:$M$2003,MATCH($Q1031+1,$P$4:$P$2003,0))&lt;&gt;INDEX($M$4:$M$2003,MATCH($Q1031,$P$4:$P$2003,0)),"B","S"))))</f>
        <v/>
      </c>
      <c r="S1032">
        <f>IF(Q1032="","",IFERROR(MATCH(Q1032,$P$4:$P$2003,0),""))</f>
        <v/>
      </c>
    </row>
    <row r="1033">
      <c r="A1033" s="4">
        <f>IF($R1033="","",IF($R1033="T","Gesamtergebnis",IF($R1033="B",INDEX($M$4:$M$2003,$S1033),INDEX($L$4:$L$2003,$S1033))))</f>
        <v/>
      </c>
      <c r="B1033" s="4">
        <f>IF($R1033="","",IF($R1033="T",$K$3,IF($R1033="B",COUNTIFS($M$4:$M$2003,INDEX($M$4:$M$2003,$S1033),$N$4:$N$2003,1),1)))</f>
        <v/>
      </c>
      <c r="L1033">
        <f>IF($K$1="","",IFERROR(INDEX(Lines!$A:$AA,ROW()-2,$K$1),""))</f>
        <v/>
      </c>
      <c r="M1033">
        <f>IF($K$2="","",IFERROR(INDEX(Lines!$A:$AA,ROW()-2,$K$2),""))</f>
        <v/>
      </c>
      <c r="N1033">
        <f>IF(AND(L1033&lt;&gt;"",LEFT(L1033,1)="N",M1033&lt;&gt;"PICKING",M1033&lt;&gt;""),1,0)</f>
        <v/>
      </c>
      <c r="O1033">
        <f>IF(N1033=1,M1033&amp;"|"&amp;L1033,REPT("z",40))</f>
        <v/>
      </c>
      <c r="P1033">
        <f>IF(N1033=1,COUNTIF($O$4:$O$2003,"&lt;"&amp;O1033)+1,"")</f>
        <v/>
      </c>
      <c r="Q1033">
        <f>IF(OR($R1032="",$R1032="T"),"",IF($R1032="B",$Q1032,IF($Q1032+1&gt;$K$3,"",$Q1032+1)))</f>
        <v/>
      </c>
      <c r="R1033">
        <f>IF(OR($R1032="",$R1032="T"),"",IF($R1032="B","S",IF($Q1032+1&gt;$K$3,"T",IF(INDEX($M$4:$M$2003,MATCH($Q1032+1,$P$4:$P$2003,0))&lt;&gt;INDEX($M$4:$M$2003,MATCH($Q1032,$P$4:$P$2003,0)),"B","S"))))</f>
        <v/>
      </c>
      <c r="S1033">
        <f>IF(Q1033="","",IFERROR(MATCH(Q1033,$P$4:$P$2003,0),""))</f>
        <v/>
      </c>
    </row>
    <row r="1034">
      <c r="A1034" s="4">
        <f>IF($R1034="","",IF($R1034="T","Gesamtergebnis",IF($R1034="B",INDEX($M$4:$M$2003,$S1034),INDEX($L$4:$L$2003,$S1034))))</f>
        <v/>
      </c>
      <c r="B1034" s="4">
        <f>IF($R1034="","",IF($R1034="T",$K$3,IF($R1034="B",COUNTIFS($M$4:$M$2003,INDEX($M$4:$M$2003,$S1034),$N$4:$N$2003,1),1)))</f>
        <v/>
      </c>
      <c r="L1034">
        <f>IF($K$1="","",IFERROR(INDEX(Lines!$A:$AA,ROW()-2,$K$1),""))</f>
        <v/>
      </c>
      <c r="M1034">
        <f>IF($K$2="","",IFERROR(INDEX(Lines!$A:$AA,ROW()-2,$K$2),""))</f>
        <v/>
      </c>
      <c r="N1034">
        <f>IF(AND(L1034&lt;&gt;"",LEFT(L1034,1)="N",M1034&lt;&gt;"PICKING",M1034&lt;&gt;""),1,0)</f>
        <v/>
      </c>
      <c r="O1034">
        <f>IF(N1034=1,M1034&amp;"|"&amp;L1034,REPT("z",40))</f>
        <v/>
      </c>
      <c r="P1034">
        <f>IF(N1034=1,COUNTIF($O$4:$O$2003,"&lt;"&amp;O1034)+1,"")</f>
        <v/>
      </c>
      <c r="Q1034">
        <f>IF(OR($R1033="",$R1033="T"),"",IF($R1033="B",$Q1033,IF($Q1033+1&gt;$K$3,"",$Q1033+1)))</f>
        <v/>
      </c>
      <c r="R1034">
        <f>IF(OR($R1033="",$R1033="T"),"",IF($R1033="B","S",IF($Q1033+1&gt;$K$3,"T",IF(INDEX($M$4:$M$2003,MATCH($Q1033+1,$P$4:$P$2003,0))&lt;&gt;INDEX($M$4:$M$2003,MATCH($Q1033,$P$4:$P$2003,0)),"B","S"))))</f>
        <v/>
      </c>
      <c r="S1034">
        <f>IF(Q1034="","",IFERROR(MATCH(Q1034,$P$4:$P$2003,0),""))</f>
        <v/>
      </c>
    </row>
    <row r="1035">
      <c r="A1035" s="4">
        <f>IF($R1035="","",IF($R1035="T","Gesamtergebnis",IF($R1035="B",INDEX($M$4:$M$2003,$S1035),INDEX($L$4:$L$2003,$S1035))))</f>
        <v/>
      </c>
      <c r="B1035" s="4">
        <f>IF($R1035="","",IF($R1035="T",$K$3,IF($R1035="B",COUNTIFS($M$4:$M$2003,INDEX($M$4:$M$2003,$S1035),$N$4:$N$2003,1),1)))</f>
        <v/>
      </c>
      <c r="L1035">
        <f>IF($K$1="","",IFERROR(INDEX(Lines!$A:$AA,ROW()-2,$K$1),""))</f>
        <v/>
      </c>
      <c r="M1035">
        <f>IF($K$2="","",IFERROR(INDEX(Lines!$A:$AA,ROW()-2,$K$2),""))</f>
        <v/>
      </c>
      <c r="N1035">
        <f>IF(AND(L1035&lt;&gt;"",LEFT(L1035,1)="N",M1035&lt;&gt;"PICKING",M1035&lt;&gt;""),1,0)</f>
        <v/>
      </c>
      <c r="O1035">
        <f>IF(N1035=1,M1035&amp;"|"&amp;L1035,REPT("z",40))</f>
        <v/>
      </c>
      <c r="P1035">
        <f>IF(N1035=1,COUNTIF($O$4:$O$2003,"&lt;"&amp;O1035)+1,"")</f>
        <v/>
      </c>
      <c r="Q1035">
        <f>IF(OR($R1034="",$R1034="T"),"",IF($R1034="B",$Q1034,IF($Q1034+1&gt;$K$3,"",$Q1034+1)))</f>
        <v/>
      </c>
      <c r="R1035">
        <f>IF(OR($R1034="",$R1034="T"),"",IF($R1034="B","S",IF($Q1034+1&gt;$K$3,"T",IF(INDEX($M$4:$M$2003,MATCH($Q1034+1,$P$4:$P$2003,0))&lt;&gt;INDEX($M$4:$M$2003,MATCH($Q1034,$P$4:$P$2003,0)),"B","S"))))</f>
        <v/>
      </c>
      <c r="S1035">
        <f>IF(Q1035="","",IFERROR(MATCH(Q1035,$P$4:$P$2003,0),""))</f>
        <v/>
      </c>
    </row>
    <row r="1036">
      <c r="A1036" s="4">
        <f>IF($R1036="","",IF($R1036="T","Gesamtergebnis",IF($R1036="B",INDEX($M$4:$M$2003,$S1036),INDEX($L$4:$L$2003,$S1036))))</f>
        <v/>
      </c>
      <c r="B1036" s="4">
        <f>IF($R1036="","",IF($R1036="T",$K$3,IF($R1036="B",COUNTIFS($M$4:$M$2003,INDEX($M$4:$M$2003,$S1036),$N$4:$N$2003,1),1)))</f>
        <v/>
      </c>
      <c r="L1036">
        <f>IF($K$1="","",IFERROR(INDEX(Lines!$A:$AA,ROW()-2,$K$1),""))</f>
        <v/>
      </c>
      <c r="M1036">
        <f>IF($K$2="","",IFERROR(INDEX(Lines!$A:$AA,ROW()-2,$K$2),""))</f>
        <v/>
      </c>
      <c r="N1036">
        <f>IF(AND(L1036&lt;&gt;"",LEFT(L1036,1)="N",M1036&lt;&gt;"PICKING",M1036&lt;&gt;""),1,0)</f>
        <v/>
      </c>
      <c r="O1036">
        <f>IF(N1036=1,M1036&amp;"|"&amp;L1036,REPT("z",40))</f>
        <v/>
      </c>
      <c r="P1036">
        <f>IF(N1036=1,COUNTIF($O$4:$O$2003,"&lt;"&amp;O1036)+1,"")</f>
        <v/>
      </c>
      <c r="Q1036">
        <f>IF(OR($R1035="",$R1035="T"),"",IF($R1035="B",$Q1035,IF($Q1035+1&gt;$K$3,"",$Q1035+1)))</f>
        <v/>
      </c>
      <c r="R1036">
        <f>IF(OR($R1035="",$R1035="T"),"",IF($R1035="B","S",IF($Q1035+1&gt;$K$3,"T",IF(INDEX($M$4:$M$2003,MATCH($Q1035+1,$P$4:$P$2003,0))&lt;&gt;INDEX($M$4:$M$2003,MATCH($Q1035,$P$4:$P$2003,0)),"B","S"))))</f>
        <v/>
      </c>
      <c r="S1036">
        <f>IF(Q1036="","",IFERROR(MATCH(Q1036,$P$4:$P$2003,0),""))</f>
        <v/>
      </c>
    </row>
    <row r="1037">
      <c r="A1037" s="4">
        <f>IF($R1037="","",IF($R1037="T","Gesamtergebnis",IF($R1037="B",INDEX($M$4:$M$2003,$S1037),INDEX($L$4:$L$2003,$S1037))))</f>
        <v/>
      </c>
      <c r="B1037" s="4">
        <f>IF($R1037="","",IF($R1037="T",$K$3,IF($R1037="B",COUNTIFS($M$4:$M$2003,INDEX($M$4:$M$2003,$S1037),$N$4:$N$2003,1),1)))</f>
        <v/>
      </c>
      <c r="L1037">
        <f>IF($K$1="","",IFERROR(INDEX(Lines!$A:$AA,ROW()-2,$K$1),""))</f>
        <v/>
      </c>
      <c r="M1037">
        <f>IF($K$2="","",IFERROR(INDEX(Lines!$A:$AA,ROW()-2,$K$2),""))</f>
        <v/>
      </c>
      <c r="N1037">
        <f>IF(AND(L1037&lt;&gt;"",LEFT(L1037,1)="N",M1037&lt;&gt;"PICKING",M1037&lt;&gt;""),1,0)</f>
        <v/>
      </c>
      <c r="O1037">
        <f>IF(N1037=1,M1037&amp;"|"&amp;L1037,REPT("z",40))</f>
        <v/>
      </c>
      <c r="P1037">
        <f>IF(N1037=1,COUNTIF($O$4:$O$2003,"&lt;"&amp;O1037)+1,"")</f>
        <v/>
      </c>
      <c r="Q1037">
        <f>IF(OR($R1036="",$R1036="T"),"",IF($R1036="B",$Q1036,IF($Q1036+1&gt;$K$3,"",$Q1036+1)))</f>
        <v/>
      </c>
      <c r="R1037">
        <f>IF(OR($R1036="",$R1036="T"),"",IF($R1036="B","S",IF($Q1036+1&gt;$K$3,"T",IF(INDEX($M$4:$M$2003,MATCH($Q1036+1,$P$4:$P$2003,0))&lt;&gt;INDEX($M$4:$M$2003,MATCH($Q1036,$P$4:$P$2003,0)),"B","S"))))</f>
        <v/>
      </c>
      <c r="S1037">
        <f>IF(Q1037="","",IFERROR(MATCH(Q1037,$P$4:$P$2003,0),""))</f>
        <v/>
      </c>
    </row>
    <row r="1038">
      <c r="A1038" s="4">
        <f>IF($R1038="","",IF($R1038="T","Gesamtergebnis",IF($R1038="B",INDEX($M$4:$M$2003,$S1038),INDEX($L$4:$L$2003,$S1038))))</f>
        <v/>
      </c>
      <c r="B1038" s="4">
        <f>IF($R1038="","",IF($R1038="T",$K$3,IF($R1038="B",COUNTIFS($M$4:$M$2003,INDEX($M$4:$M$2003,$S1038),$N$4:$N$2003,1),1)))</f>
        <v/>
      </c>
      <c r="L1038">
        <f>IF($K$1="","",IFERROR(INDEX(Lines!$A:$AA,ROW()-2,$K$1),""))</f>
        <v/>
      </c>
      <c r="M1038">
        <f>IF($K$2="","",IFERROR(INDEX(Lines!$A:$AA,ROW()-2,$K$2),""))</f>
        <v/>
      </c>
      <c r="N1038">
        <f>IF(AND(L1038&lt;&gt;"",LEFT(L1038,1)="N",M1038&lt;&gt;"PICKING",M1038&lt;&gt;""),1,0)</f>
        <v/>
      </c>
      <c r="O1038">
        <f>IF(N1038=1,M1038&amp;"|"&amp;L1038,REPT("z",40))</f>
        <v/>
      </c>
      <c r="P1038">
        <f>IF(N1038=1,COUNTIF($O$4:$O$2003,"&lt;"&amp;O1038)+1,"")</f>
        <v/>
      </c>
      <c r="Q1038">
        <f>IF(OR($R1037="",$R1037="T"),"",IF($R1037="B",$Q1037,IF($Q1037+1&gt;$K$3,"",$Q1037+1)))</f>
        <v/>
      </c>
      <c r="R1038">
        <f>IF(OR($R1037="",$R1037="T"),"",IF($R1037="B","S",IF($Q1037+1&gt;$K$3,"T",IF(INDEX($M$4:$M$2003,MATCH($Q1037+1,$P$4:$P$2003,0))&lt;&gt;INDEX($M$4:$M$2003,MATCH($Q1037,$P$4:$P$2003,0)),"B","S"))))</f>
        <v/>
      </c>
      <c r="S1038">
        <f>IF(Q1038="","",IFERROR(MATCH(Q1038,$P$4:$P$2003,0),""))</f>
        <v/>
      </c>
    </row>
    <row r="1039">
      <c r="A1039" s="4">
        <f>IF($R1039="","",IF($R1039="T","Gesamtergebnis",IF($R1039="B",INDEX($M$4:$M$2003,$S1039),INDEX($L$4:$L$2003,$S1039))))</f>
        <v/>
      </c>
      <c r="B1039" s="4">
        <f>IF($R1039="","",IF($R1039="T",$K$3,IF($R1039="B",COUNTIFS($M$4:$M$2003,INDEX($M$4:$M$2003,$S1039),$N$4:$N$2003,1),1)))</f>
        <v/>
      </c>
      <c r="L1039">
        <f>IF($K$1="","",IFERROR(INDEX(Lines!$A:$AA,ROW()-2,$K$1),""))</f>
        <v/>
      </c>
      <c r="M1039">
        <f>IF($K$2="","",IFERROR(INDEX(Lines!$A:$AA,ROW()-2,$K$2),""))</f>
        <v/>
      </c>
      <c r="N1039">
        <f>IF(AND(L1039&lt;&gt;"",LEFT(L1039,1)="N",M1039&lt;&gt;"PICKING",M1039&lt;&gt;""),1,0)</f>
        <v/>
      </c>
      <c r="O1039">
        <f>IF(N1039=1,M1039&amp;"|"&amp;L1039,REPT("z",40))</f>
        <v/>
      </c>
      <c r="P1039">
        <f>IF(N1039=1,COUNTIF($O$4:$O$2003,"&lt;"&amp;O1039)+1,"")</f>
        <v/>
      </c>
      <c r="Q1039">
        <f>IF(OR($R1038="",$R1038="T"),"",IF($R1038="B",$Q1038,IF($Q1038+1&gt;$K$3,"",$Q1038+1)))</f>
        <v/>
      </c>
      <c r="R1039">
        <f>IF(OR($R1038="",$R1038="T"),"",IF($R1038="B","S",IF($Q1038+1&gt;$K$3,"T",IF(INDEX($M$4:$M$2003,MATCH($Q1038+1,$P$4:$P$2003,0))&lt;&gt;INDEX($M$4:$M$2003,MATCH($Q1038,$P$4:$P$2003,0)),"B","S"))))</f>
        <v/>
      </c>
      <c r="S1039">
        <f>IF(Q1039="","",IFERROR(MATCH(Q1039,$P$4:$P$2003,0),""))</f>
        <v/>
      </c>
    </row>
    <row r="1040">
      <c r="A1040" s="4">
        <f>IF($R1040="","",IF($R1040="T","Gesamtergebnis",IF($R1040="B",INDEX($M$4:$M$2003,$S1040),INDEX($L$4:$L$2003,$S1040))))</f>
        <v/>
      </c>
      <c r="B1040" s="4">
        <f>IF($R1040="","",IF($R1040="T",$K$3,IF($R1040="B",COUNTIFS($M$4:$M$2003,INDEX($M$4:$M$2003,$S1040),$N$4:$N$2003,1),1)))</f>
        <v/>
      </c>
      <c r="L1040">
        <f>IF($K$1="","",IFERROR(INDEX(Lines!$A:$AA,ROW()-2,$K$1),""))</f>
        <v/>
      </c>
      <c r="M1040">
        <f>IF($K$2="","",IFERROR(INDEX(Lines!$A:$AA,ROW()-2,$K$2),""))</f>
        <v/>
      </c>
      <c r="N1040">
        <f>IF(AND(L1040&lt;&gt;"",LEFT(L1040,1)="N",M1040&lt;&gt;"PICKING",M1040&lt;&gt;""),1,0)</f>
        <v/>
      </c>
      <c r="O1040">
        <f>IF(N1040=1,M1040&amp;"|"&amp;L1040,REPT("z",40))</f>
        <v/>
      </c>
      <c r="P1040">
        <f>IF(N1040=1,COUNTIF($O$4:$O$2003,"&lt;"&amp;O1040)+1,"")</f>
        <v/>
      </c>
      <c r="Q1040">
        <f>IF(OR($R1039="",$R1039="T"),"",IF($R1039="B",$Q1039,IF($Q1039+1&gt;$K$3,"",$Q1039+1)))</f>
        <v/>
      </c>
      <c r="R1040">
        <f>IF(OR($R1039="",$R1039="T"),"",IF($R1039="B","S",IF($Q1039+1&gt;$K$3,"T",IF(INDEX($M$4:$M$2003,MATCH($Q1039+1,$P$4:$P$2003,0))&lt;&gt;INDEX($M$4:$M$2003,MATCH($Q1039,$P$4:$P$2003,0)),"B","S"))))</f>
        <v/>
      </c>
      <c r="S1040">
        <f>IF(Q1040="","",IFERROR(MATCH(Q1040,$P$4:$P$2003,0),""))</f>
        <v/>
      </c>
    </row>
    <row r="1041">
      <c r="A1041" s="4">
        <f>IF($R1041="","",IF($R1041="T","Gesamtergebnis",IF($R1041="B",INDEX($M$4:$M$2003,$S1041),INDEX($L$4:$L$2003,$S1041))))</f>
        <v/>
      </c>
      <c r="B1041" s="4">
        <f>IF($R1041="","",IF($R1041="T",$K$3,IF($R1041="B",COUNTIFS($M$4:$M$2003,INDEX($M$4:$M$2003,$S1041),$N$4:$N$2003,1),1)))</f>
        <v/>
      </c>
      <c r="L1041">
        <f>IF($K$1="","",IFERROR(INDEX(Lines!$A:$AA,ROW()-2,$K$1),""))</f>
        <v/>
      </c>
      <c r="M1041">
        <f>IF($K$2="","",IFERROR(INDEX(Lines!$A:$AA,ROW()-2,$K$2),""))</f>
        <v/>
      </c>
      <c r="N1041">
        <f>IF(AND(L1041&lt;&gt;"",LEFT(L1041,1)="N",M1041&lt;&gt;"PICKING",M1041&lt;&gt;""),1,0)</f>
        <v/>
      </c>
      <c r="O1041">
        <f>IF(N1041=1,M1041&amp;"|"&amp;L1041,REPT("z",40))</f>
        <v/>
      </c>
      <c r="P1041">
        <f>IF(N1041=1,COUNTIF($O$4:$O$2003,"&lt;"&amp;O1041)+1,"")</f>
        <v/>
      </c>
      <c r="Q1041">
        <f>IF(OR($R1040="",$R1040="T"),"",IF($R1040="B",$Q1040,IF($Q1040+1&gt;$K$3,"",$Q1040+1)))</f>
        <v/>
      </c>
      <c r="R1041">
        <f>IF(OR($R1040="",$R1040="T"),"",IF($R1040="B","S",IF($Q1040+1&gt;$K$3,"T",IF(INDEX($M$4:$M$2003,MATCH($Q1040+1,$P$4:$P$2003,0))&lt;&gt;INDEX($M$4:$M$2003,MATCH($Q1040,$P$4:$P$2003,0)),"B","S"))))</f>
        <v/>
      </c>
      <c r="S1041">
        <f>IF(Q1041="","",IFERROR(MATCH(Q1041,$P$4:$P$2003,0),""))</f>
        <v/>
      </c>
    </row>
    <row r="1042">
      <c r="A1042" s="4">
        <f>IF($R1042="","",IF($R1042="T","Gesamtergebnis",IF($R1042="B",INDEX($M$4:$M$2003,$S1042),INDEX($L$4:$L$2003,$S1042))))</f>
        <v/>
      </c>
      <c r="B1042" s="4">
        <f>IF($R1042="","",IF($R1042="T",$K$3,IF($R1042="B",COUNTIFS($M$4:$M$2003,INDEX($M$4:$M$2003,$S1042),$N$4:$N$2003,1),1)))</f>
        <v/>
      </c>
      <c r="L1042">
        <f>IF($K$1="","",IFERROR(INDEX(Lines!$A:$AA,ROW()-2,$K$1),""))</f>
        <v/>
      </c>
      <c r="M1042">
        <f>IF($K$2="","",IFERROR(INDEX(Lines!$A:$AA,ROW()-2,$K$2),""))</f>
        <v/>
      </c>
      <c r="N1042">
        <f>IF(AND(L1042&lt;&gt;"",LEFT(L1042,1)="N",M1042&lt;&gt;"PICKING",M1042&lt;&gt;""),1,0)</f>
        <v/>
      </c>
      <c r="O1042">
        <f>IF(N1042=1,M1042&amp;"|"&amp;L1042,REPT("z",40))</f>
        <v/>
      </c>
      <c r="P1042">
        <f>IF(N1042=1,COUNTIF($O$4:$O$2003,"&lt;"&amp;O1042)+1,"")</f>
        <v/>
      </c>
      <c r="Q1042">
        <f>IF(OR($R1041="",$R1041="T"),"",IF($R1041="B",$Q1041,IF($Q1041+1&gt;$K$3,"",$Q1041+1)))</f>
        <v/>
      </c>
      <c r="R1042">
        <f>IF(OR($R1041="",$R1041="T"),"",IF($R1041="B","S",IF($Q1041+1&gt;$K$3,"T",IF(INDEX($M$4:$M$2003,MATCH($Q1041+1,$P$4:$P$2003,0))&lt;&gt;INDEX($M$4:$M$2003,MATCH($Q1041,$P$4:$P$2003,0)),"B","S"))))</f>
        <v/>
      </c>
      <c r="S1042">
        <f>IF(Q1042="","",IFERROR(MATCH(Q1042,$P$4:$P$2003,0),""))</f>
        <v/>
      </c>
    </row>
    <row r="1043">
      <c r="A1043" s="4">
        <f>IF($R1043="","",IF($R1043="T","Gesamtergebnis",IF($R1043="B",INDEX($M$4:$M$2003,$S1043),INDEX($L$4:$L$2003,$S1043))))</f>
        <v/>
      </c>
      <c r="B1043" s="4">
        <f>IF($R1043="","",IF($R1043="T",$K$3,IF($R1043="B",COUNTIFS($M$4:$M$2003,INDEX($M$4:$M$2003,$S1043),$N$4:$N$2003,1),1)))</f>
        <v/>
      </c>
      <c r="L1043">
        <f>IF($K$1="","",IFERROR(INDEX(Lines!$A:$AA,ROW()-2,$K$1),""))</f>
        <v/>
      </c>
      <c r="M1043">
        <f>IF($K$2="","",IFERROR(INDEX(Lines!$A:$AA,ROW()-2,$K$2),""))</f>
        <v/>
      </c>
      <c r="N1043">
        <f>IF(AND(L1043&lt;&gt;"",LEFT(L1043,1)="N",M1043&lt;&gt;"PICKING",M1043&lt;&gt;""),1,0)</f>
        <v/>
      </c>
      <c r="O1043">
        <f>IF(N1043=1,M1043&amp;"|"&amp;L1043,REPT("z",40))</f>
        <v/>
      </c>
      <c r="P1043">
        <f>IF(N1043=1,COUNTIF($O$4:$O$2003,"&lt;"&amp;O1043)+1,"")</f>
        <v/>
      </c>
      <c r="Q1043">
        <f>IF(OR($R1042="",$R1042="T"),"",IF($R1042="B",$Q1042,IF($Q1042+1&gt;$K$3,"",$Q1042+1)))</f>
        <v/>
      </c>
      <c r="R1043">
        <f>IF(OR($R1042="",$R1042="T"),"",IF($R1042="B","S",IF($Q1042+1&gt;$K$3,"T",IF(INDEX($M$4:$M$2003,MATCH($Q1042+1,$P$4:$P$2003,0))&lt;&gt;INDEX($M$4:$M$2003,MATCH($Q1042,$P$4:$P$2003,0)),"B","S"))))</f>
        <v/>
      </c>
      <c r="S1043">
        <f>IF(Q1043="","",IFERROR(MATCH(Q1043,$P$4:$P$2003,0),""))</f>
        <v/>
      </c>
    </row>
    <row r="1044">
      <c r="A1044" s="4">
        <f>IF($R1044="","",IF($R1044="T","Gesamtergebnis",IF($R1044="B",INDEX($M$4:$M$2003,$S1044),INDEX($L$4:$L$2003,$S1044))))</f>
        <v/>
      </c>
      <c r="B1044" s="4">
        <f>IF($R1044="","",IF($R1044="T",$K$3,IF($R1044="B",COUNTIFS($M$4:$M$2003,INDEX($M$4:$M$2003,$S1044),$N$4:$N$2003,1),1)))</f>
        <v/>
      </c>
      <c r="L1044">
        <f>IF($K$1="","",IFERROR(INDEX(Lines!$A:$AA,ROW()-2,$K$1),""))</f>
        <v/>
      </c>
      <c r="M1044">
        <f>IF($K$2="","",IFERROR(INDEX(Lines!$A:$AA,ROW()-2,$K$2),""))</f>
        <v/>
      </c>
      <c r="N1044">
        <f>IF(AND(L1044&lt;&gt;"",LEFT(L1044,1)="N",M1044&lt;&gt;"PICKING",M1044&lt;&gt;""),1,0)</f>
        <v/>
      </c>
      <c r="O1044">
        <f>IF(N1044=1,M1044&amp;"|"&amp;L1044,REPT("z",40))</f>
        <v/>
      </c>
      <c r="P1044">
        <f>IF(N1044=1,COUNTIF($O$4:$O$2003,"&lt;"&amp;O1044)+1,"")</f>
        <v/>
      </c>
      <c r="Q1044">
        <f>IF(OR($R1043="",$R1043="T"),"",IF($R1043="B",$Q1043,IF($Q1043+1&gt;$K$3,"",$Q1043+1)))</f>
        <v/>
      </c>
      <c r="R1044">
        <f>IF(OR($R1043="",$R1043="T"),"",IF($R1043="B","S",IF($Q1043+1&gt;$K$3,"T",IF(INDEX($M$4:$M$2003,MATCH($Q1043+1,$P$4:$P$2003,0))&lt;&gt;INDEX($M$4:$M$2003,MATCH($Q1043,$P$4:$P$2003,0)),"B","S"))))</f>
        <v/>
      </c>
      <c r="S1044">
        <f>IF(Q1044="","",IFERROR(MATCH(Q1044,$P$4:$P$2003,0),""))</f>
        <v/>
      </c>
    </row>
    <row r="1045">
      <c r="A1045" s="4">
        <f>IF($R1045="","",IF($R1045="T","Gesamtergebnis",IF($R1045="B",INDEX($M$4:$M$2003,$S1045),INDEX($L$4:$L$2003,$S1045))))</f>
        <v/>
      </c>
      <c r="B1045" s="4">
        <f>IF($R1045="","",IF($R1045="T",$K$3,IF($R1045="B",COUNTIFS($M$4:$M$2003,INDEX($M$4:$M$2003,$S1045),$N$4:$N$2003,1),1)))</f>
        <v/>
      </c>
      <c r="L1045">
        <f>IF($K$1="","",IFERROR(INDEX(Lines!$A:$AA,ROW()-2,$K$1),""))</f>
        <v/>
      </c>
      <c r="M1045">
        <f>IF($K$2="","",IFERROR(INDEX(Lines!$A:$AA,ROW()-2,$K$2),""))</f>
        <v/>
      </c>
      <c r="N1045">
        <f>IF(AND(L1045&lt;&gt;"",LEFT(L1045,1)="N",M1045&lt;&gt;"PICKING",M1045&lt;&gt;""),1,0)</f>
        <v/>
      </c>
      <c r="O1045">
        <f>IF(N1045=1,M1045&amp;"|"&amp;L1045,REPT("z",40))</f>
        <v/>
      </c>
      <c r="P1045">
        <f>IF(N1045=1,COUNTIF($O$4:$O$2003,"&lt;"&amp;O1045)+1,"")</f>
        <v/>
      </c>
      <c r="Q1045">
        <f>IF(OR($R1044="",$R1044="T"),"",IF($R1044="B",$Q1044,IF($Q1044+1&gt;$K$3,"",$Q1044+1)))</f>
        <v/>
      </c>
      <c r="R1045">
        <f>IF(OR($R1044="",$R1044="T"),"",IF($R1044="B","S",IF($Q1044+1&gt;$K$3,"T",IF(INDEX($M$4:$M$2003,MATCH($Q1044+1,$P$4:$P$2003,0))&lt;&gt;INDEX($M$4:$M$2003,MATCH($Q1044,$P$4:$P$2003,0)),"B","S"))))</f>
        <v/>
      </c>
      <c r="S1045">
        <f>IF(Q1045="","",IFERROR(MATCH(Q1045,$P$4:$P$2003,0),""))</f>
        <v/>
      </c>
    </row>
    <row r="1046">
      <c r="A1046" s="4">
        <f>IF($R1046="","",IF($R1046="T","Gesamtergebnis",IF($R1046="B",INDEX($M$4:$M$2003,$S1046),INDEX($L$4:$L$2003,$S1046))))</f>
        <v/>
      </c>
      <c r="B1046" s="4">
        <f>IF($R1046="","",IF($R1046="T",$K$3,IF($R1046="B",COUNTIFS($M$4:$M$2003,INDEX($M$4:$M$2003,$S1046),$N$4:$N$2003,1),1)))</f>
        <v/>
      </c>
      <c r="L1046">
        <f>IF($K$1="","",IFERROR(INDEX(Lines!$A:$AA,ROW()-2,$K$1),""))</f>
        <v/>
      </c>
      <c r="M1046">
        <f>IF($K$2="","",IFERROR(INDEX(Lines!$A:$AA,ROW()-2,$K$2),""))</f>
        <v/>
      </c>
      <c r="N1046">
        <f>IF(AND(L1046&lt;&gt;"",LEFT(L1046,1)="N",M1046&lt;&gt;"PICKING",M1046&lt;&gt;""),1,0)</f>
        <v/>
      </c>
      <c r="O1046">
        <f>IF(N1046=1,M1046&amp;"|"&amp;L1046,REPT("z",40))</f>
        <v/>
      </c>
      <c r="P1046">
        <f>IF(N1046=1,COUNTIF($O$4:$O$2003,"&lt;"&amp;O1046)+1,"")</f>
        <v/>
      </c>
      <c r="Q1046">
        <f>IF(OR($R1045="",$R1045="T"),"",IF($R1045="B",$Q1045,IF($Q1045+1&gt;$K$3,"",$Q1045+1)))</f>
        <v/>
      </c>
      <c r="R1046">
        <f>IF(OR($R1045="",$R1045="T"),"",IF($R1045="B","S",IF($Q1045+1&gt;$K$3,"T",IF(INDEX($M$4:$M$2003,MATCH($Q1045+1,$P$4:$P$2003,0))&lt;&gt;INDEX($M$4:$M$2003,MATCH($Q1045,$P$4:$P$2003,0)),"B","S"))))</f>
        <v/>
      </c>
      <c r="S1046">
        <f>IF(Q1046="","",IFERROR(MATCH(Q1046,$P$4:$P$2003,0),""))</f>
        <v/>
      </c>
    </row>
    <row r="1047">
      <c r="A1047" s="4">
        <f>IF($R1047="","",IF($R1047="T","Gesamtergebnis",IF($R1047="B",INDEX($M$4:$M$2003,$S1047),INDEX($L$4:$L$2003,$S1047))))</f>
        <v/>
      </c>
      <c r="B1047" s="4">
        <f>IF($R1047="","",IF($R1047="T",$K$3,IF($R1047="B",COUNTIFS($M$4:$M$2003,INDEX($M$4:$M$2003,$S1047),$N$4:$N$2003,1),1)))</f>
        <v/>
      </c>
      <c r="L1047">
        <f>IF($K$1="","",IFERROR(INDEX(Lines!$A:$AA,ROW()-2,$K$1),""))</f>
        <v/>
      </c>
      <c r="M1047">
        <f>IF($K$2="","",IFERROR(INDEX(Lines!$A:$AA,ROW()-2,$K$2),""))</f>
        <v/>
      </c>
      <c r="N1047">
        <f>IF(AND(L1047&lt;&gt;"",LEFT(L1047,1)="N",M1047&lt;&gt;"PICKING",M1047&lt;&gt;""),1,0)</f>
        <v/>
      </c>
      <c r="O1047">
        <f>IF(N1047=1,M1047&amp;"|"&amp;L1047,REPT("z",40))</f>
        <v/>
      </c>
      <c r="P1047">
        <f>IF(N1047=1,COUNTIF($O$4:$O$2003,"&lt;"&amp;O1047)+1,"")</f>
        <v/>
      </c>
      <c r="Q1047">
        <f>IF(OR($R1046="",$R1046="T"),"",IF($R1046="B",$Q1046,IF($Q1046+1&gt;$K$3,"",$Q1046+1)))</f>
        <v/>
      </c>
      <c r="R1047">
        <f>IF(OR($R1046="",$R1046="T"),"",IF($R1046="B","S",IF($Q1046+1&gt;$K$3,"T",IF(INDEX($M$4:$M$2003,MATCH($Q1046+1,$P$4:$P$2003,0))&lt;&gt;INDEX($M$4:$M$2003,MATCH($Q1046,$P$4:$P$2003,0)),"B","S"))))</f>
        <v/>
      </c>
      <c r="S1047">
        <f>IF(Q1047="","",IFERROR(MATCH(Q1047,$P$4:$P$2003,0),""))</f>
        <v/>
      </c>
    </row>
    <row r="1048">
      <c r="A1048" s="4">
        <f>IF($R1048="","",IF($R1048="T","Gesamtergebnis",IF($R1048="B",INDEX($M$4:$M$2003,$S1048),INDEX($L$4:$L$2003,$S1048))))</f>
        <v/>
      </c>
      <c r="B1048" s="4">
        <f>IF($R1048="","",IF($R1048="T",$K$3,IF($R1048="B",COUNTIFS($M$4:$M$2003,INDEX($M$4:$M$2003,$S1048),$N$4:$N$2003,1),1)))</f>
        <v/>
      </c>
      <c r="L1048">
        <f>IF($K$1="","",IFERROR(INDEX(Lines!$A:$AA,ROW()-2,$K$1),""))</f>
        <v/>
      </c>
      <c r="M1048">
        <f>IF($K$2="","",IFERROR(INDEX(Lines!$A:$AA,ROW()-2,$K$2),""))</f>
        <v/>
      </c>
      <c r="N1048">
        <f>IF(AND(L1048&lt;&gt;"",LEFT(L1048,1)="N",M1048&lt;&gt;"PICKING",M1048&lt;&gt;""),1,0)</f>
        <v/>
      </c>
      <c r="O1048">
        <f>IF(N1048=1,M1048&amp;"|"&amp;L1048,REPT("z",40))</f>
        <v/>
      </c>
      <c r="P1048">
        <f>IF(N1048=1,COUNTIF($O$4:$O$2003,"&lt;"&amp;O1048)+1,"")</f>
        <v/>
      </c>
      <c r="Q1048">
        <f>IF(OR($R1047="",$R1047="T"),"",IF($R1047="B",$Q1047,IF($Q1047+1&gt;$K$3,"",$Q1047+1)))</f>
        <v/>
      </c>
      <c r="R1048">
        <f>IF(OR($R1047="",$R1047="T"),"",IF($R1047="B","S",IF($Q1047+1&gt;$K$3,"T",IF(INDEX($M$4:$M$2003,MATCH($Q1047+1,$P$4:$P$2003,0))&lt;&gt;INDEX($M$4:$M$2003,MATCH($Q1047,$P$4:$P$2003,0)),"B","S"))))</f>
        <v/>
      </c>
      <c r="S1048">
        <f>IF(Q1048="","",IFERROR(MATCH(Q1048,$P$4:$P$2003,0),""))</f>
        <v/>
      </c>
    </row>
    <row r="1049">
      <c r="A1049" s="4">
        <f>IF($R1049="","",IF($R1049="T","Gesamtergebnis",IF($R1049="B",INDEX($M$4:$M$2003,$S1049),INDEX($L$4:$L$2003,$S1049))))</f>
        <v/>
      </c>
      <c r="B1049" s="4">
        <f>IF($R1049="","",IF($R1049="T",$K$3,IF($R1049="B",COUNTIFS($M$4:$M$2003,INDEX($M$4:$M$2003,$S1049),$N$4:$N$2003,1),1)))</f>
        <v/>
      </c>
      <c r="L1049">
        <f>IF($K$1="","",IFERROR(INDEX(Lines!$A:$AA,ROW()-2,$K$1),""))</f>
        <v/>
      </c>
      <c r="M1049">
        <f>IF($K$2="","",IFERROR(INDEX(Lines!$A:$AA,ROW()-2,$K$2),""))</f>
        <v/>
      </c>
      <c r="N1049">
        <f>IF(AND(L1049&lt;&gt;"",LEFT(L1049,1)="N",M1049&lt;&gt;"PICKING",M1049&lt;&gt;""),1,0)</f>
        <v/>
      </c>
      <c r="O1049">
        <f>IF(N1049=1,M1049&amp;"|"&amp;L1049,REPT("z",40))</f>
        <v/>
      </c>
      <c r="P1049">
        <f>IF(N1049=1,COUNTIF($O$4:$O$2003,"&lt;"&amp;O1049)+1,"")</f>
        <v/>
      </c>
      <c r="Q1049">
        <f>IF(OR($R1048="",$R1048="T"),"",IF($R1048="B",$Q1048,IF($Q1048+1&gt;$K$3,"",$Q1048+1)))</f>
        <v/>
      </c>
      <c r="R1049">
        <f>IF(OR($R1048="",$R1048="T"),"",IF($R1048="B","S",IF($Q1048+1&gt;$K$3,"T",IF(INDEX($M$4:$M$2003,MATCH($Q1048+1,$P$4:$P$2003,0))&lt;&gt;INDEX($M$4:$M$2003,MATCH($Q1048,$P$4:$P$2003,0)),"B","S"))))</f>
        <v/>
      </c>
      <c r="S1049">
        <f>IF(Q1049="","",IFERROR(MATCH(Q1049,$P$4:$P$2003,0),""))</f>
        <v/>
      </c>
    </row>
    <row r="1050">
      <c r="A1050" s="4">
        <f>IF($R1050="","",IF($R1050="T","Gesamtergebnis",IF($R1050="B",INDEX($M$4:$M$2003,$S1050),INDEX($L$4:$L$2003,$S1050))))</f>
        <v/>
      </c>
      <c r="B1050" s="4">
        <f>IF($R1050="","",IF($R1050="T",$K$3,IF($R1050="B",COUNTIFS($M$4:$M$2003,INDEX($M$4:$M$2003,$S1050),$N$4:$N$2003,1),1)))</f>
        <v/>
      </c>
      <c r="L1050">
        <f>IF($K$1="","",IFERROR(INDEX(Lines!$A:$AA,ROW()-2,$K$1),""))</f>
        <v/>
      </c>
      <c r="M1050">
        <f>IF($K$2="","",IFERROR(INDEX(Lines!$A:$AA,ROW()-2,$K$2),""))</f>
        <v/>
      </c>
      <c r="N1050">
        <f>IF(AND(L1050&lt;&gt;"",LEFT(L1050,1)="N",M1050&lt;&gt;"PICKING",M1050&lt;&gt;""),1,0)</f>
        <v/>
      </c>
      <c r="O1050">
        <f>IF(N1050=1,M1050&amp;"|"&amp;L1050,REPT("z",40))</f>
        <v/>
      </c>
      <c r="P1050">
        <f>IF(N1050=1,COUNTIF($O$4:$O$2003,"&lt;"&amp;O1050)+1,"")</f>
        <v/>
      </c>
      <c r="Q1050">
        <f>IF(OR($R1049="",$R1049="T"),"",IF($R1049="B",$Q1049,IF($Q1049+1&gt;$K$3,"",$Q1049+1)))</f>
        <v/>
      </c>
      <c r="R1050">
        <f>IF(OR($R1049="",$R1049="T"),"",IF($R1049="B","S",IF($Q1049+1&gt;$K$3,"T",IF(INDEX($M$4:$M$2003,MATCH($Q1049+1,$P$4:$P$2003,0))&lt;&gt;INDEX($M$4:$M$2003,MATCH($Q1049,$P$4:$P$2003,0)),"B","S"))))</f>
        <v/>
      </c>
      <c r="S1050">
        <f>IF(Q1050="","",IFERROR(MATCH(Q1050,$P$4:$P$2003,0),""))</f>
        <v/>
      </c>
    </row>
    <row r="1051">
      <c r="A1051" s="4">
        <f>IF($R1051="","",IF($R1051="T","Gesamtergebnis",IF($R1051="B",INDEX($M$4:$M$2003,$S1051),INDEX($L$4:$L$2003,$S1051))))</f>
        <v/>
      </c>
      <c r="B1051" s="4">
        <f>IF($R1051="","",IF($R1051="T",$K$3,IF($R1051="B",COUNTIFS($M$4:$M$2003,INDEX($M$4:$M$2003,$S1051),$N$4:$N$2003,1),1)))</f>
        <v/>
      </c>
      <c r="L1051">
        <f>IF($K$1="","",IFERROR(INDEX(Lines!$A:$AA,ROW()-2,$K$1),""))</f>
        <v/>
      </c>
      <c r="M1051">
        <f>IF($K$2="","",IFERROR(INDEX(Lines!$A:$AA,ROW()-2,$K$2),""))</f>
        <v/>
      </c>
      <c r="N1051">
        <f>IF(AND(L1051&lt;&gt;"",LEFT(L1051,1)="N",M1051&lt;&gt;"PICKING",M1051&lt;&gt;""),1,0)</f>
        <v/>
      </c>
      <c r="O1051">
        <f>IF(N1051=1,M1051&amp;"|"&amp;L1051,REPT("z",40))</f>
        <v/>
      </c>
      <c r="P1051">
        <f>IF(N1051=1,COUNTIF($O$4:$O$2003,"&lt;"&amp;O1051)+1,"")</f>
        <v/>
      </c>
      <c r="Q1051">
        <f>IF(OR($R1050="",$R1050="T"),"",IF($R1050="B",$Q1050,IF($Q1050+1&gt;$K$3,"",$Q1050+1)))</f>
        <v/>
      </c>
      <c r="R1051">
        <f>IF(OR($R1050="",$R1050="T"),"",IF($R1050="B","S",IF($Q1050+1&gt;$K$3,"T",IF(INDEX($M$4:$M$2003,MATCH($Q1050+1,$P$4:$P$2003,0))&lt;&gt;INDEX($M$4:$M$2003,MATCH($Q1050,$P$4:$P$2003,0)),"B","S"))))</f>
        <v/>
      </c>
      <c r="S1051">
        <f>IF(Q1051="","",IFERROR(MATCH(Q1051,$P$4:$P$2003,0),""))</f>
        <v/>
      </c>
    </row>
    <row r="1052">
      <c r="A1052" s="4">
        <f>IF($R1052="","",IF($R1052="T","Gesamtergebnis",IF($R1052="B",INDEX($M$4:$M$2003,$S1052),INDEX($L$4:$L$2003,$S1052))))</f>
        <v/>
      </c>
      <c r="B1052" s="4">
        <f>IF($R1052="","",IF($R1052="T",$K$3,IF($R1052="B",COUNTIFS($M$4:$M$2003,INDEX($M$4:$M$2003,$S1052),$N$4:$N$2003,1),1)))</f>
        <v/>
      </c>
      <c r="L1052">
        <f>IF($K$1="","",IFERROR(INDEX(Lines!$A:$AA,ROW()-2,$K$1),""))</f>
        <v/>
      </c>
      <c r="M1052">
        <f>IF($K$2="","",IFERROR(INDEX(Lines!$A:$AA,ROW()-2,$K$2),""))</f>
        <v/>
      </c>
      <c r="N1052">
        <f>IF(AND(L1052&lt;&gt;"",LEFT(L1052,1)="N",M1052&lt;&gt;"PICKING",M1052&lt;&gt;""),1,0)</f>
        <v/>
      </c>
      <c r="O1052">
        <f>IF(N1052=1,M1052&amp;"|"&amp;L1052,REPT("z",40))</f>
        <v/>
      </c>
      <c r="P1052">
        <f>IF(N1052=1,COUNTIF($O$4:$O$2003,"&lt;"&amp;O1052)+1,"")</f>
        <v/>
      </c>
      <c r="Q1052">
        <f>IF(OR($R1051="",$R1051="T"),"",IF($R1051="B",$Q1051,IF($Q1051+1&gt;$K$3,"",$Q1051+1)))</f>
        <v/>
      </c>
      <c r="R1052">
        <f>IF(OR($R1051="",$R1051="T"),"",IF($R1051="B","S",IF($Q1051+1&gt;$K$3,"T",IF(INDEX($M$4:$M$2003,MATCH($Q1051+1,$P$4:$P$2003,0))&lt;&gt;INDEX($M$4:$M$2003,MATCH($Q1051,$P$4:$P$2003,0)),"B","S"))))</f>
        <v/>
      </c>
      <c r="S1052">
        <f>IF(Q1052="","",IFERROR(MATCH(Q1052,$P$4:$P$2003,0),""))</f>
        <v/>
      </c>
    </row>
    <row r="1053">
      <c r="A1053" s="4">
        <f>IF($R1053="","",IF($R1053="T","Gesamtergebnis",IF($R1053="B",INDEX($M$4:$M$2003,$S1053),INDEX($L$4:$L$2003,$S1053))))</f>
        <v/>
      </c>
      <c r="B1053" s="4">
        <f>IF($R1053="","",IF($R1053="T",$K$3,IF($R1053="B",COUNTIFS($M$4:$M$2003,INDEX($M$4:$M$2003,$S1053),$N$4:$N$2003,1),1)))</f>
        <v/>
      </c>
      <c r="L1053">
        <f>IF($K$1="","",IFERROR(INDEX(Lines!$A:$AA,ROW()-2,$K$1),""))</f>
        <v/>
      </c>
      <c r="M1053">
        <f>IF($K$2="","",IFERROR(INDEX(Lines!$A:$AA,ROW()-2,$K$2),""))</f>
        <v/>
      </c>
      <c r="N1053">
        <f>IF(AND(L1053&lt;&gt;"",LEFT(L1053,1)="N",M1053&lt;&gt;"PICKING",M1053&lt;&gt;""),1,0)</f>
        <v/>
      </c>
      <c r="O1053">
        <f>IF(N1053=1,M1053&amp;"|"&amp;L1053,REPT("z",40))</f>
        <v/>
      </c>
      <c r="P1053">
        <f>IF(N1053=1,COUNTIF($O$4:$O$2003,"&lt;"&amp;O1053)+1,"")</f>
        <v/>
      </c>
      <c r="Q1053">
        <f>IF(OR($R1052="",$R1052="T"),"",IF($R1052="B",$Q1052,IF($Q1052+1&gt;$K$3,"",$Q1052+1)))</f>
        <v/>
      </c>
      <c r="R1053">
        <f>IF(OR($R1052="",$R1052="T"),"",IF($R1052="B","S",IF($Q1052+1&gt;$K$3,"T",IF(INDEX($M$4:$M$2003,MATCH($Q1052+1,$P$4:$P$2003,0))&lt;&gt;INDEX($M$4:$M$2003,MATCH($Q1052,$P$4:$P$2003,0)),"B","S"))))</f>
        <v/>
      </c>
      <c r="S1053">
        <f>IF(Q1053="","",IFERROR(MATCH(Q1053,$P$4:$P$2003,0),""))</f>
        <v/>
      </c>
    </row>
    <row r="1054">
      <c r="A1054" s="4">
        <f>IF($R1054="","",IF($R1054="T","Gesamtergebnis",IF($R1054="B",INDEX($M$4:$M$2003,$S1054),INDEX($L$4:$L$2003,$S1054))))</f>
        <v/>
      </c>
      <c r="B1054" s="4">
        <f>IF($R1054="","",IF($R1054="T",$K$3,IF($R1054="B",COUNTIFS($M$4:$M$2003,INDEX($M$4:$M$2003,$S1054),$N$4:$N$2003,1),1)))</f>
        <v/>
      </c>
      <c r="L1054">
        <f>IF($K$1="","",IFERROR(INDEX(Lines!$A:$AA,ROW()-2,$K$1),""))</f>
        <v/>
      </c>
      <c r="M1054">
        <f>IF($K$2="","",IFERROR(INDEX(Lines!$A:$AA,ROW()-2,$K$2),""))</f>
        <v/>
      </c>
      <c r="N1054">
        <f>IF(AND(L1054&lt;&gt;"",LEFT(L1054,1)="N",M1054&lt;&gt;"PICKING",M1054&lt;&gt;""),1,0)</f>
        <v/>
      </c>
      <c r="O1054">
        <f>IF(N1054=1,M1054&amp;"|"&amp;L1054,REPT("z",40))</f>
        <v/>
      </c>
      <c r="P1054">
        <f>IF(N1054=1,COUNTIF($O$4:$O$2003,"&lt;"&amp;O1054)+1,"")</f>
        <v/>
      </c>
      <c r="Q1054">
        <f>IF(OR($R1053="",$R1053="T"),"",IF($R1053="B",$Q1053,IF($Q1053+1&gt;$K$3,"",$Q1053+1)))</f>
        <v/>
      </c>
      <c r="R1054">
        <f>IF(OR($R1053="",$R1053="T"),"",IF($R1053="B","S",IF($Q1053+1&gt;$K$3,"T",IF(INDEX($M$4:$M$2003,MATCH($Q1053+1,$P$4:$P$2003,0))&lt;&gt;INDEX($M$4:$M$2003,MATCH($Q1053,$P$4:$P$2003,0)),"B","S"))))</f>
        <v/>
      </c>
      <c r="S1054">
        <f>IF(Q1054="","",IFERROR(MATCH(Q1054,$P$4:$P$2003,0),""))</f>
        <v/>
      </c>
    </row>
    <row r="1055">
      <c r="A1055" s="4">
        <f>IF($R1055="","",IF($R1055="T","Gesamtergebnis",IF($R1055="B",INDEX($M$4:$M$2003,$S1055),INDEX($L$4:$L$2003,$S1055))))</f>
        <v/>
      </c>
      <c r="B1055" s="4">
        <f>IF($R1055="","",IF($R1055="T",$K$3,IF($R1055="B",COUNTIFS($M$4:$M$2003,INDEX($M$4:$M$2003,$S1055),$N$4:$N$2003,1),1)))</f>
        <v/>
      </c>
      <c r="L1055">
        <f>IF($K$1="","",IFERROR(INDEX(Lines!$A:$AA,ROW()-2,$K$1),""))</f>
        <v/>
      </c>
      <c r="M1055">
        <f>IF($K$2="","",IFERROR(INDEX(Lines!$A:$AA,ROW()-2,$K$2),""))</f>
        <v/>
      </c>
      <c r="N1055">
        <f>IF(AND(L1055&lt;&gt;"",LEFT(L1055,1)="N",M1055&lt;&gt;"PICKING",M1055&lt;&gt;""),1,0)</f>
        <v/>
      </c>
      <c r="O1055">
        <f>IF(N1055=1,M1055&amp;"|"&amp;L1055,REPT("z",40))</f>
        <v/>
      </c>
      <c r="P1055">
        <f>IF(N1055=1,COUNTIF($O$4:$O$2003,"&lt;"&amp;O1055)+1,"")</f>
        <v/>
      </c>
      <c r="Q1055">
        <f>IF(OR($R1054="",$R1054="T"),"",IF($R1054="B",$Q1054,IF($Q1054+1&gt;$K$3,"",$Q1054+1)))</f>
        <v/>
      </c>
      <c r="R1055">
        <f>IF(OR($R1054="",$R1054="T"),"",IF($R1054="B","S",IF($Q1054+1&gt;$K$3,"T",IF(INDEX($M$4:$M$2003,MATCH($Q1054+1,$P$4:$P$2003,0))&lt;&gt;INDEX($M$4:$M$2003,MATCH($Q1054,$P$4:$P$2003,0)),"B","S"))))</f>
        <v/>
      </c>
      <c r="S1055">
        <f>IF(Q1055="","",IFERROR(MATCH(Q1055,$P$4:$P$2003,0),""))</f>
        <v/>
      </c>
    </row>
    <row r="1056">
      <c r="A1056" s="4">
        <f>IF($R1056="","",IF($R1056="T","Gesamtergebnis",IF($R1056="B",INDEX($M$4:$M$2003,$S1056),INDEX($L$4:$L$2003,$S1056))))</f>
        <v/>
      </c>
      <c r="B1056" s="4">
        <f>IF($R1056="","",IF($R1056="T",$K$3,IF($R1056="B",COUNTIFS($M$4:$M$2003,INDEX($M$4:$M$2003,$S1056),$N$4:$N$2003,1),1)))</f>
        <v/>
      </c>
      <c r="L1056">
        <f>IF($K$1="","",IFERROR(INDEX(Lines!$A:$AA,ROW()-2,$K$1),""))</f>
        <v/>
      </c>
      <c r="M1056">
        <f>IF($K$2="","",IFERROR(INDEX(Lines!$A:$AA,ROW()-2,$K$2),""))</f>
        <v/>
      </c>
      <c r="N1056">
        <f>IF(AND(L1056&lt;&gt;"",LEFT(L1056,1)="N",M1056&lt;&gt;"PICKING",M1056&lt;&gt;""),1,0)</f>
        <v/>
      </c>
      <c r="O1056">
        <f>IF(N1056=1,M1056&amp;"|"&amp;L1056,REPT("z",40))</f>
        <v/>
      </c>
      <c r="P1056">
        <f>IF(N1056=1,COUNTIF($O$4:$O$2003,"&lt;"&amp;O1056)+1,"")</f>
        <v/>
      </c>
      <c r="Q1056">
        <f>IF(OR($R1055="",$R1055="T"),"",IF($R1055="B",$Q1055,IF($Q1055+1&gt;$K$3,"",$Q1055+1)))</f>
        <v/>
      </c>
      <c r="R1056">
        <f>IF(OR($R1055="",$R1055="T"),"",IF($R1055="B","S",IF($Q1055+1&gt;$K$3,"T",IF(INDEX($M$4:$M$2003,MATCH($Q1055+1,$P$4:$P$2003,0))&lt;&gt;INDEX($M$4:$M$2003,MATCH($Q1055,$P$4:$P$2003,0)),"B","S"))))</f>
        <v/>
      </c>
      <c r="S1056">
        <f>IF(Q1056="","",IFERROR(MATCH(Q1056,$P$4:$P$2003,0),""))</f>
        <v/>
      </c>
    </row>
    <row r="1057">
      <c r="A1057" s="4">
        <f>IF($R1057="","",IF($R1057="T","Gesamtergebnis",IF($R1057="B",INDEX($M$4:$M$2003,$S1057),INDEX($L$4:$L$2003,$S1057))))</f>
        <v/>
      </c>
      <c r="B1057" s="4">
        <f>IF($R1057="","",IF($R1057="T",$K$3,IF($R1057="B",COUNTIFS($M$4:$M$2003,INDEX($M$4:$M$2003,$S1057),$N$4:$N$2003,1),1)))</f>
        <v/>
      </c>
      <c r="L1057">
        <f>IF($K$1="","",IFERROR(INDEX(Lines!$A:$AA,ROW()-2,$K$1),""))</f>
        <v/>
      </c>
      <c r="M1057">
        <f>IF($K$2="","",IFERROR(INDEX(Lines!$A:$AA,ROW()-2,$K$2),""))</f>
        <v/>
      </c>
      <c r="N1057">
        <f>IF(AND(L1057&lt;&gt;"",LEFT(L1057,1)="N",M1057&lt;&gt;"PICKING",M1057&lt;&gt;""),1,0)</f>
        <v/>
      </c>
      <c r="O1057">
        <f>IF(N1057=1,M1057&amp;"|"&amp;L1057,REPT("z",40))</f>
        <v/>
      </c>
      <c r="P1057">
        <f>IF(N1057=1,COUNTIF($O$4:$O$2003,"&lt;"&amp;O1057)+1,"")</f>
        <v/>
      </c>
      <c r="Q1057">
        <f>IF(OR($R1056="",$R1056="T"),"",IF($R1056="B",$Q1056,IF($Q1056+1&gt;$K$3,"",$Q1056+1)))</f>
        <v/>
      </c>
      <c r="R1057">
        <f>IF(OR($R1056="",$R1056="T"),"",IF($R1056="B","S",IF($Q1056+1&gt;$K$3,"T",IF(INDEX($M$4:$M$2003,MATCH($Q1056+1,$P$4:$P$2003,0))&lt;&gt;INDEX($M$4:$M$2003,MATCH($Q1056,$P$4:$P$2003,0)),"B","S"))))</f>
        <v/>
      </c>
      <c r="S1057">
        <f>IF(Q1057="","",IFERROR(MATCH(Q1057,$P$4:$P$2003,0),""))</f>
        <v/>
      </c>
    </row>
    <row r="1058">
      <c r="A1058" s="4">
        <f>IF($R1058="","",IF($R1058="T","Gesamtergebnis",IF($R1058="B",INDEX($M$4:$M$2003,$S1058),INDEX($L$4:$L$2003,$S1058))))</f>
        <v/>
      </c>
      <c r="B1058" s="4">
        <f>IF($R1058="","",IF($R1058="T",$K$3,IF($R1058="B",COUNTIFS($M$4:$M$2003,INDEX($M$4:$M$2003,$S1058),$N$4:$N$2003,1),1)))</f>
        <v/>
      </c>
      <c r="L1058">
        <f>IF($K$1="","",IFERROR(INDEX(Lines!$A:$AA,ROW()-2,$K$1),""))</f>
        <v/>
      </c>
      <c r="M1058">
        <f>IF($K$2="","",IFERROR(INDEX(Lines!$A:$AA,ROW()-2,$K$2),""))</f>
        <v/>
      </c>
      <c r="N1058">
        <f>IF(AND(L1058&lt;&gt;"",LEFT(L1058,1)="N",M1058&lt;&gt;"PICKING",M1058&lt;&gt;""),1,0)</f>
        <v/>
      </c>
      <c r="O1058">
        <f>IF(N1058=1,M1058&amp;"|"&amp;L1058,REPT("z",40))</f>
        <v/>
      </c>
      <c r="P1058">
        <f>IF(N1058=1,COUNTIF($O$4:$O$2003,"&lt;"&amp;O1058)+1,"")</f>
        <v/>
      </c>
      <c r="Q1058">
        <f>IF(OR($R1057="",$R1057="T"),"",IF($R1057="B",$Q1057,IF($Q1057+1&gt;$K$3,"",$Q1057+1)))</f>
        <v/>
      </c>
      <c r="R1058">
        <f>IF(OR($R1057="",$R1057="T"),"",IF($R1057="B","S",IF($Q1057+1&gt;$K$3,"T",IF(INDEX($M$4:$M$2003,MATCH($Q1057+1,$P$4:$P$2003,0))&lt;&gt;INDEX($M$4:$M$2003,MATCH($Q1057,$P$4:$P$2003,0)),"B","S"))))</f>
        <v/>
      </c>
      <c r="S1058">
        <f>IF(Q1058="","",IFERROR(MATCH(Q1058,$P$4:$P$2003,0),""))</f>
        <v/>
      </c>
    </row>
    <row r="1059">
      <c r="A1059" s="4">
        <f>IF($R1059="","",IF($R1059="T","Gesamtergebnis",IF($R1059="B",INDEX($M$4:$M$2003,$S1059),INDEX($L$4:$L$2003,$S1059))))</f>
        <v/>
      </c>
      <c r="B1059" s="4">
        <f>IF($R1059="","",IF($R1059="T",$K$3,IF($R1059="B",COUNTIFS($M$4:$M$2003,INDEX($M$4:$M$2003,$S1059),$N$4:$N$2003,1),1)))</f>
        <v/>
      </c>
      <c r="L1059">
        <f>IF($K$1="","",IFERROR(INDEX(Lines!$A:$AA,ROW()-2,$K$1),""))</f>
        <v/>
      </c>
      <c r="M1059">
        <f>IF($K$2="","",IFERROR(INDEX(Lines!$A:$AA,ROW()-2,$K$2),""))</f>
        <v/>
      </c>
      <c r="N1059">
        <f>IF(AND(L1059&lt;&gt;"",LEFT(L1059,1)="N",M1059&lt;&gt;"PICKING",M1059&lt;&gt;""),1,0)</f>
        <v/>
      </c>
      <c r="O1059">
        <f>IF(N1059=1,M1059&amp;"|"&amp;L1059,REPT("z",40))</f>
        <v/>
      </c>
      <c r="P1059">
        <f>IF(N1059=1,COUNTIF($O$4:$O$2003,"&lt;"&amp;O1059)+1,"")</f>
        <v/>
      </c>
      <c r="Q1059">
        <f>IF(OR($R1058="",$R1058="T"),"",IF($R1058="B",$Q1058,IF($Q1058+1&gt;$K$3,"",$Q1058+1)))</f>
        <v/>
      </c>
      <c r="R1059">
        <f>IF(OR($R1058="",$R1058="T"),"",IF($R1058="B","S",IF($Q1058+1&gt;$K$3,"T",IF(INDEX($M$4:$M$2003,MATCH($Q1058+1,$P$4:$P$2003,0))&lt;&gt;INDEX($M$4:$M$2003,MATCH($Q1058,$P$4:$P$2003,0)),"B","S"))))</f>
        <v/>
      </c>
      <c r="S1059">
        <f>IF(Q1059="","",IFERROR(MATCH(Q1059,$P$4:$P$2003,0),""))</f>
        <v/>
      </c>
    </row>
    <row r="1060">
      <c r="A1060" s="4">
        <f>IF($R1060="","",IF($R1060="T","Gesamtergebnis",IF($R1060="B",INDEX($M$4:$M$2003,$S1060),INDEX($L$4:$L$2003,$S1060))))</f>
        <v/>
      </c>
      <c r="B1060" s="4">
        <f>IF($R1060="","",IF($R1060="T",$K$3,IF($R1060="B",COUNTIFS($M$4:$M$2003,INDEX($M$4:$M$2003,$S1060),$N$4:$N$2003,1),1)))</f>
        <v/>
      </c>
      <c r="L1060">
        <f>IF($K$1="","",IFERROR(INDEX(Lines!$A:$AA,ROW()-2,$K$1),""))</f>
        <v/>
      </c>
      <c r="M1060">
        <f>IF($K$2="","",IFERROR(INDEX(Lines!$A:$AA,ROW()-2,$K$2),""))</f>
        <v/>
      </c>
      <c r="N1060">
        <f>IF(AND(L1060&lt;&gt;"",LEFT(L1060,1)="N",M1060&lt;&gt;"PICKING",M1060&lt;&gt;""),1,0)</f>
        <v/>
      </c>
      <c r="O1060">
        <f>IF(N1060=1,M1060&amp;"|"&amp;L1060,REPT("z",40))</f>
        <v/>
      </c>
      <c r="P1060">
        <f>IF(N1060=1,COUNTIF($O$4:$O$2003,"&lt;"&amp;O1060)+1,"")</f>
        <v/>
      </c>
      <c r="Q1060">
        <f>IF(OR($R1059="",$R1059="T"),"",IF($R1059="B",$Q1059,IF($Q1059+1&gt;$K$3,"",$Q1059+1)))</f>
        <v/>
      </c>
      <c r="R1060">
        <f>IF(OR($R1059="",$R1059="T"),"",IF($R1059="B","S",IF($Q1059+1&gt;$K$3,"T",IF(INDEX($M$4:$M$2003,MATCH($Q1059+1,$P$4:$P$2003,0))&lt;&gt;INDEX($M$4:$M$2003,MATCH($Q1059,$P$4:$P$2003,0)),"B","S"))))</f>
        <v/>
      </c>
      <c r="S1060">
        <f>IF(Q1060="","",IFERROR(MATCH(Q1060,$P$4:$P$2003,0),""))</f>
        <v/>
      </c>
    </row>
    <row r="1061">
      <c r="A1061" s="4">
        <f>IF($R1061="","",IF($R1061="T","Gesamtergebnis",IF($R1061="B",INDEX($M$4:$M$2003,$S1061),INDEX($L$4:$L$2003,$S1061))))</f>
        <v/>
      </c>
      <c r="B1061" s="4">
        <f>IF($R1061="","",IF($R1061="T",$K$3,IF($R1061="B",COUNTIFS($M$4:$M$2003,INDEX($M$4:$M$2003,$S1061),$N$4:$N$2003,1),1)))</f>
        <v/>
      </c>
      <c r="L1061">
        <f>IF($K$1="","",IFERROR(INDEX(Lines!$A:$AA,ROW()-2,$K$1),""))</f>
        <v/>
      </c>
      <c r="M1061">
        <f>IF($K$2="","",IFERROR(INDEX(Lines!$A:$AA,ROW()-2,$K$2),""))</f>
        <v/>
      </c>
      <c r="N1061">
        <f>IF(AND(L1061&lt;&gt;"",LEFT(L1061,1)="N",M1061&lt;&gt;"PICKING",M1061&lt;&gt;""),1,0)</f>
        <v/>
      </c>
      <c r="O1061">
        <f>IF(N1061=1,M1061&amp;"|"&amp;L1061,REPT("z",40))</f>
        <v/>
      </c>
      <c r="P1061">
        <f>IF(N1061=1,COUNTIF($O$4:$O$2003,"&lt;"&amp;O1061)+1,"")</f>
        <v/>
      </c>
      <c r="Q1061">
        <f>IF(OR($R1060="",$R1060="T"),"",IF($R1060="B",$Q1060,IF($Q1060+1&gt;$K$3,"",$Q1060+1)))</f>
        <v/>
      </c>
      <c r="R1061">
        <f>IF(OR($R1060="",$R1060="T"),"",IF($R1060="B","S",IF($Q1060+1&gt;$K$3,"T",IF(INDEX($M$4:$M$2003,MATCH($Q1060+1,$P$4:$P$2003,0))&lt;&gt;INDEX($M$4:$M$2003,MATCH($Q1060,$P$4:$P$2003,0)),"B","S"))))</f>
        <v/>
      </c>
      <c r="S1061">
        <f>IF(Q1061="","",IFERROR(MATCH(Q1061,$P$4:$P$2003,0),""))</f>
        <v/>
      </c>
    </row>
    <row r="1062">
      <c r="A1062" s="4">
        <f>IF($R1062="","",IF($R1062="T","Gesamtergebnis",IF($R1062="B",INDEX($M$4:$M$2003,$S1062),INDEX($L$4:$L$2003,$S1062))))</f>
        <v/>
      </c>
      <c r="B1062" s="4">
        <f>IF($R1062="","",IF($R1062="T",$K$3,IF($R1062="B",COUNTIFS($M$4:$M$2003,INDEX($M$4:$M$2003,$S1062),$N$4:$N$2003,1),1)))</f>
        <v/>
      </c>
      <c r="L1062">
        <f>IF($K$1="","",IFERROR(INDEX(Lines!$A:$AA,ROW()-2,$K$1),""))</f>
        <v/>
      </c>
      <c r="M1062">
        <f>IF($K$2="","",IFERROR(INDEX(Lines!$A:$AA,ROW()-2,$K$2),""))</f>
        <v/>
      </c>
      <c r="N1062">
        <f>IF(AND(L1062&lt;&gt;"",LEFT(L1062,1)="N",M1062&lt;&gt;"PICKING",M1062&lt;&gt;""),1,0)</f>
        <v/>
      </c>
      <c r="O1062">
        <f>IF(N1062=1,M1062&amp;"|"&amp;L1062,REPT("z",40))</f>
        <v/>
      </c>
      <c r="P1062">
        <f>IF(N1062=1,COUNTIF($O$4:$O$2003,"&lt;"&amp;O1062)+1,"")</f>
        <v/>
      </c>
      <c r="Q1062">
        <f>IF(OR($R1061="",$R1061="T"),"",IF($R1061="B",$Q1061,IF($Q1061+1&gt;$K$3,"",$Q1061+1)))</f>
        <v/>
      </c>
      <c r="R1062">
        <f>IF(OR($R1061="",$R1061="T"),"",IF($R1061="B","S",IF($Q1061+1&gt;$K$3,"T",IF(INDEX($M$4:$M$2003,MATCH($Q1061+1,$P$4:$P$2003,0))&lt;&gt;INDEX($M$4:$M$2003,MATCH($Q1061,$P$4:$P$2003,0)),"B","S"))))</f>
        <v/>
      </c>
      <c r="S1062">
        <f>IF(Q1062="","",IFERROR(MATCH(Q1062,$P$4:$P$2003,0),""))</f>
        <v/>
      </c>
    </row>
    <row r="1063">
      <c r="A1063" s="4">
        <f>IF($R1063="","",IF($R1063="T","Gesamtergebnis",IF($R1063="B",INDEX($M$4:$M$2003,$S1063),INDEX($L$4:$L$2003,$S1063))))</f>
        <v/>
      </c>
      <c r="B1063" s="4">
        <f>IF($R1063="","",IF($R1063="T",$K$3,IF($R1063="B",COUNTIFS($M$4:$M$2003,INDEX($M$4:$M$2003,$S1063),$N$4:$N$2003,1),1)))</f>
        <v/>
      </c>
      <c r="L1063">
        <f>IF($K$1="","",IFERROR(INDEX(Lines!$A:$AA,ROW()-2,$K$1),""))</f>
        <v/>
      </c>
      <c r="M1063">
        <f>IF($K$2="","",IFERROR(INDEX(Lines!$A:$AA,ROW()-2,$K$2),""))</f>
        <v/>
      </c>
      <c r="N1063">
        <f>IF(AND(L1063&lt;&gt;"",LEFT(L1063,1)="N",M1063&lt;&gt;"PICKING",M1063&lt;&gt;""),1,0)</f>
        <v/>
      </c>
      <c r="O1063">
        <f>IF(N1063=1,M1063&amp;"|"&amp;L1063,REPT("z",40))</f>
        <v/>
      </c>
      <c r="P1063">
        <f>IF(N1063=1,COUNTIF($O$4:$O$2003,"&lt;"&amp;O1063)+1,"")</f>
        <v/>
      </c>
      <c r="Q1063">
        <f>IF(OR($R1062="",$R1062="T"),"",IF($R1062="B",$Q1062,IF($Q1062+1&gt;$K$3,"",$Q1062+1)))</f>
        <v/>
      </c>
      <c r="R1063">
        <f>IF(OR($R1062="",$R1062="T"),"",IF($R1062="B","S",IF($Q1062+1&gt;$K$3,"T",IF(INDEX($M$4:$M$2003,MATCH($Q1062+1,$P$4:$P$2003,0))&lt;&gt;INDEX($M$4:$M$2003,MATCH($Q1062,$P$4:$P$2003,0)),"B","S"))))</f>
        <v/>
      </c>
      <c r="S1063">
        <f>IF(Q1063="","",IFERROR(MATCH(Q1063,$P$4:$P$2003,0),""))</f>
        <v/>
      </c>
    </row>
    <row r="1064">
      <c r="A1064" s="4">
        <f>IF($R1064="","",IF($R1064="T","Gesamtergebnis",IF($R1064="B",INDEX($M$4:$M$2003,$S1064),INDEX($L$4:$L$2003,$S1064))))</f>
        <v/>
      </c>
      <c r="B1064" s="4">
        <f>IF($R1064="","",IF($R1064="T",$K$3,IF($R1064="B",COUNTIFS($M$4:$M$2003,INDEX($M$4:$M$2003,$S1064),$N$4:$N$2003,1),1)))</f>
        <v/>
      </c>
      <c r="L1064">
        <f>IF($K$1="","",IFERROR(INDEX(Lines!$A:$AA,ROW()-2,$K$1),""))</f>
        <v/>
      </c>
      <c r="M1064">
        <f>IF($K$2="","",IFERROR(INDEX(Lines!$A:$AA,ROW()-2,$K$2),""))</f>
        <v/>
      </c>
      <c r="N1064">
        <f>IF(AND(L1064&lt;&gt;"",LEFT(L1064,1)="N",M1064&lt;&gt;"PICKING",M1064&lt;&gt;""),1,0)</f>
        <v/>
      </c>
      <c r="O1064">
        <f>IF(N1064=1,M1064&amp;"|"&amp;L1064,REPT("z",40))</f>
        <v/>
      </c>
      <c r="P1064">
        <f>IF(N1064=1,COUNTIF($O$4:$O$2003,"&lt;"&amp;O1064)+1,"")</f>
        <v/>
      </c>
      <c r="Q1064">
        <f>IF(OR($R1063="",$R1063="T"),"",IF($R1063="B",$Q1063,IF($Q1063+1&gt;$K$3,"",$Q1063+1)))</f>
        <v/>
      </c>
      <c r="R1064">
        <f>IF(OR($R1063="",$R1063="T"),"",IF($R1063="B","S",IF($Q1063+1&gt;$K$3,"T",IF(INDEX($M$4:$M$2003,MATCH($Q1063+1,$P$4:$P$2003,0))&lt;&gt;INDEX($M$4:$M$2003,MATCH($Q1063,$P$4:$P$2003,0)),"B","S"))))</f>
        <v/>
      </c>
      <c r="S1064">
        <f>IF(Q1064="","",IFERROR(MATCH(Q1064,$P$4:$P$2003,0),""))</f>
        <v/>
      </c>
    </row>
    <row r="1065">
      <c r="A1065" s="4">
        <f>IF($R1065="","",IF($R1065="T","Gesamtergebnis",IF($R1065="B",INDEX($M$4:$M$2003,$S1065),INDEX($L$4:$L$2003,$S1065))))</f>
        <v/>
      </c>
      <c r="B1065" s="4">
        <f>IF($R1065="","",IF($R1065="T",$K$3,IF($R1065="B",COUNTIFS($M$4:$M$2003,INDEX($M$4:$M$2003,$S1065),$N$4:$N$2003,1),1)))</f>
        <v/>
      </c>
      <c r="L1065">
        <f>IF($K$1="","",IFERROR(INDEX(Lines!$A:$AA,ROW()-2,$K$1),""))</f>
        <v/>
      </c>
      <c r="M1065">
        <f>IF($K$2="","",IFERROR(INDEX(Lines!$A:$AA,ROW()-2,$K$2),""))</f>
        <v/>
      </c>
      <c r="N1065">
        <f>IF(AND(L1065&lt;&gt;"",LEFT(L1065,1)="N",M1065&lt;&gt;"PICKING",M1065&lt;&gt;""),1,0)</f>
        <v/>
      </c>
      <c r="O1065">
        <f>IF(N1065=1,M1065&amp;"|"&amp;L1065,REPT("z",40))</f>
        <v/>
      </c>
      <c r="P1065">
        <f>IF(N1065=1,COUNTIF($O$4:$O$2003,"&lt;"&amp;O1065)+1,"")</f>
        <v/>
      </c>
      <c r="Q1065">
        <f>IF(OR($R1064="",$R1064="T"),"",IF($R1064="B",$Q1064,IF($Q1064+1&gt;$K$3,"",$Q1064+1)))</f>
        <v/>
      </c>
      <c r="R1065">
        <f>IF(OR($R1064="",$R1064="T"),"",IF($R1064="B","S",IF($Q1064+1&gt;$K$3,"T",IF(INDEX($M$4:$M$2003,MATCH($Q1064+1,$P$4:$P$2003,0))&lt;&gt;INDEX($M$4:$M$2003,MATCH($Q1064,$P$4:$P$2003,0)),"B","S"))))</f>
        <v/>
      </c>
      <c r="S1065">
        <f>IF(Q1065="","",IFERROR(MATCH(Q1065,$P$4:$P$2003,0),""))</f>
        <v/>
      </c>
    </row>
    <row r="1066">
      <c r="A1066" s="4">
        <f>IF($R1066="","",IF($R1066="T","Gesamtergebnis",IF($R1066="B",INDEX($M$4:$M$2003,$S1066),INDEX($L$4:$L$2003,$S1066))))</f>
        <v/>
      </c>
      <c r="B1066" s="4">
        <f>IF($R1066="","",IF($R1066="T",$K$3,IF($R1066="B",COUNTIFS($M$4:$M$2003,INDEX($M$4:$M$2003,$S1066),$N$4:$N$2003,1),1)))</f>
        <v/>
      </c>
      <c r="L1066">
        <f>IF($K$1="","",IFERROR(INDEX(Lines!$A:$AA,ROW()-2,$K$1),""))</f>
        <v/>
      </c>
      <c r="M1066">
        <f>IF($K$2="","",IFERROR(INDEX(Lines!$A:$AA,ROW()-2,$K$2),""))</f>
        <v/>
      </c>
      <c r="N1066">
        <f>IF(AND(L1066&lt;&gt;"",LEFT(L1066,1)="N",M1066&lt;&gt;"PICKING",M1066&lt;&gt;""),1,0)</f>
        <v/>
      </c>
      <c r="O1066">
        <f>IF(N1066=1,M1066&amp;"|"&amp;L1066,REPT("z",40))</f>
        <v/>
      </c>
      <c r="P1066">
        <f>IF(N1066=1,COUNTIF($O$4:$O$2003,"&lt;"&amp;O1066)+1,"")</f>
        <v/>
      </c>
      <c r="Q1066">
        <f>IF(OR($R1065="",$R1065="T"),"",IF($R1065="B",$Q1065,IF($Q1065+1&gt;$K$3,"",$Q1065+1)))</f>
        <v/>
      </c>
      <c r="R1066">
        <f>IF(OR($R1065="",$R1065="T"),"",IF($R1065="B","S",IF($Q1065+1&gt;$K$3,"T",IF(INDEX($M$4:$M$2003,MATCH($Q1065+1,$P$4:$P$2003,0))&lt;&gt;INDEX($M$4:$M$2003,MATCH($Q1065,$P$4:$P$2003,0)),"B","S"))))</f>
        <v/>
      </c>
      <c r="S1066">
        <f>IF(Q1066="","",IFERROR(MATCH(Q1066,$P$4:$P$2003,0),""))</f>
        <v/>
      </c>
    </row>
    <row r="1067">
      <c r="A1067" s="4">
        <f>IF($R1067="","",IF($R1067="T","Gesamtergebnis",IF($R1067="B",INDEX($M$4:$M$2003,$S1067),INDEX($L$4:$L$2003,$S1067))))</f>
        <v/>
      </c>
      <c r="B1067" s="4">
        <f>IF($R1067="","",IF($R1067="T",$K$3,IF($R1067="B",COUNTIFS($M$4:$M$2003,INDEX($M$4:$M$2003,$S1067),$N$4:$N$2003,1),1)))</f>
        <v/>
      </c>
      <c r="L1067">
        <f>IF($K$1="","",IFERROR(INDEX(Lines!$A:$AA,ROW()-2,$K$1),""))</f>
        <v/>
      </c>
      <c r="M1067">
        <f>IF($K$2="","",IFERROR(INDEX(Lines!$A:$AA,ROW()-2,$K$2),""))</f>
        <v/>
      </c>
      <c r="N1067">
        <f>IF(AND(L1067&lt;&gt;"",LEFT(L1067,1)="N",M1067&lt;&gt;"PICKING",M1067&lt;&gt;""),1,0)</f>
        <v/>
      </c>
      <c r="O1067">
        <f>IF(N1067=1,M1067&amp;"|"&amp;L1067,REPT("z",40))</f>
        <v/>
      </c>
      <c r="P1067">
        <f>IF(N1067=1,COUNTIF($O$4:$O$2003,"&lt;"&amp;O1067)+1,"")</f>
        <v/>
      </c>
      <c r="Q1067">
        <f>IF(OR($R1066="",$R1066="T"),"",IF($R1066="B",$Q1066,IF($Q1066+1&gt;$K$3,"",$Q1066+1)))</f>
        <v/>
      </c>
      <c r="R1067">
        <f>IF(OR($R1066="",$R1066="T"),"",IF($R1066="B","S",IF($Q1066+1&gt;$K$3,"T",IF(INDEX($M$4:$M$2003,MATCH($Q1066+1,$P$4:$P$2003,0))&lt;&gt;INDEX($M$4:$M$2003,MATCH($Q1066,$P$4:$P$2003,0)),"B","S"))))</f>
        <v/>
      </c>
      <c r="S1067">
        <f>IF(Q1067="","",IFERROR(MATCH(Q1067,$P$4:$P$2003,0),""))</f>
        <v/>
      </c>
    </row>
    <row r="1068">
      <c r="A1068" s="4">
        <f>IF($R1068="","",IF($R1068="T","Gesamtergebnis",IF($R1068="B",INDEX($M$4:$M$2003,$S1068),INDEX($L$4:$L$2003,$S1068))))</f>
        <v/>
      </c>
      <c r="B1068" s="4">
        <f>IF($R1068="","",IF($R1068="T",$K$3,IF($R1068="B",COUNTIFS($M$4:$M$2003,INDEX($M$4:$M$2003,$S1068),$N$4:$N$2003,1),1)))</f>
        <v/>
      </c>
      <c r="L1068">
        <f>IF($K$1="","",IFERROR(INDEX(Lines!$A:$AA,ROW()-2,$K$1),""))</f>
        <v/>
      </c>
      <c r="M1068">
        <f>IF($K$2="","",IFERROR(INDEX(Lines!$A:$AA,ROW()-2,$K$2),""))</f>
        <v/>
      </c>
      <c r="N1068">
        <f>IF(AND(L1068&lt;&gt;"",LEFT(L1068,1)="N",M1068&lt;&gt;"PICKING",M1068&lt;&gt;""),1,0)</f>
        <v/>
      </c>
      <c r="O1068">
        <f>IF(N1068=1,M1068&amp;"|"&amp;L1068,REPT("z",40))</f>
        <v/>
      </c>
      <c r="P1068">
        <f>IF(N1068=1,COUNTIF($O$4:$O$2003,"&lt;"&amp;O1068)+1,"")</f>
        <v/>
      </c>
      <c r="Q1068">
        <f>IF(OR($R1067="",$R1067="T"),"",IF($R1067="B",$Q1067,IF($Q1067+1&gt;$K$3,"",$Q1067+1)))</f>
        <v/>
      </c>
      <c r="R1068">
        <f>IF(OR($R1067="",$R1067="T"),"",IF($R1067="B","S",IF($Q1067+1&gt;$K$3,"T",IF(INDEX($M$4:$M$2003,MATCH($Q1067+1,$P$4:$P$2003,0))&lt;&gt;INDEX($M$4:$M$2003,MATCH($Q1067,$P$4:$P$2003,0)),"B","S"))))</f>
        <v/>
      </c>
      <c r="S1068">
        <f>IF(Q1068="","",IFERROR(MATCH(Q1068,$P$4:$P$2003,0),""))</f>
        <v/>
      </c>
    </row>
    <row r="1069">
      <c r="A1069" s="4">
        <f>IF($R1069="","",IF($R1069="T","Gesamtergebnis",IF($R1069="B",INDEX($M$4:$M$2003,$S1069),INDEX($L$4:$L$2003,$S1069))))</f>
        <v/>
      </c>
      <c r="B1069" s="4">
        <f>IF($R1069="","",IF($R1069="T",$K$3,IF($R1069="B",COUNTIFS($M$4:$M$2003,INDEX($M$4:$M$2003,$S1069),$N$4:$N$2003,1),1)))</f>
        <v/>
      </c>
      <c r="L1069">
        <f>IF($K$1="","",IFERROR(INDEX(Lines!$A:$AA,ROW()-2,$K$1),""))</f>
        <v/>
      </c>
      <c r="M1069">
        <f>IF($K$2="","",IFERROR(INDEX(Lines!$A:$AA,ROW()-2,$K$2),""))</f>
        <v/>
      </c>
      <c r="N1069">
        <f>IF(AND(L1069&lt;&gt;"",LEFT(L1069,1)="N",M1069&lt;&gt;"PICKING",M1069&lt;&gt;""),1,0)</f>
        <v/>
      </c>
      <c r="O1069">
        <f>IF(N1069=1,M1069&amp;"|"&amp;L1069,REPT("z",40))</f>
        <v/>
      </c>
      <c r="P1069">
        <f>IF(N1069=1,COUNTIF($O$4:$O$2003,"&lt;"&amp;O1069)+1,"")</f>
        <v/>
      </c>
      <c r="Q1069">
        <f>IF(OR($R1068="",$R1068="T"),"",IF($R1068="B",$Q1068,IF($Q1068+1&gt;$K$3,"",$Q1068+1)))</f>
        <v/>
      </c>
      <c r="R1069">
        <f>IF(OR($R1068="",$R1068="T"),"",IF($R1068="B","S",IF($Q1068+1&gt;$K$3,"T",IF(INDEX($M$4:$M$2003,MATCH($Q1068+1,$P$4:$P$2003,0))&lt;&gt;INDEX($M$4:$M$2003,MATCH($Q1068,$P$4:$P$2003,0)),"B","S"))))</f>
        <v/>
      </c>
      <c r="S1069">
        <f>IF(Q1069="","",IFERROR(MATCH(Q1069,$P$4:$P$2003,0),""))</f>
        <v/>
      </c>
    </row>
    <row r="1070">
      <c r="A1070" s="4">
        <f>IF($R1070="","",IF($R1070="T","Gesamtergebnis",IF($R1070="B",INDEX($M$4:$M$2003,$S1070),INDEX($L$4:$L$2003,$S1070))))</f>
        <v/>
      </c>
      <c r="B1070" s="4">
        <f>IF($R1070="","",IF($R1070="T",$K$3,IF($R1070="B",COUNTIFS($M$4:$M$2003,INDEX($M$4:$M$2003,$S1070),$N$4:$N$2003,1),1)))</f>
        <v/>
      </c>
      <c r="L1070">
        <f>IF($K$1="","",IFERROR(INDEX(Lines!$A:$AA,ROW()-2,$K$1),""))</f>
        <v/>
      </c>
      <c r="M1070">
        <f>IF($K$2="","",IFERROR(INDEX(Lines!$A:$AA,ROW()-2,$K$2),""))</f>
        <v/>
      </c>
      <c r="N1070">
        <f>IF(AND(L1070&lt;&gt;"",LEFT(L1070,1)="N",M1070&lt;&gt;"PICKING",M1070&lt;&gt;""),1,0)</f>
        <v/>
      </c>
      <c r="O1070">
        <f>IF(N1070=1,M1070&amp;"|"&amp;L1070,REPT("z",40))</f>
        <v/>
      </c>
      <c r="P1070">
        <f>IF(N1070=1,COUNTIF($O$4:$O$2003,"&lt;"&amp;O1070)+1,"")</f>
        <v/>
      </c>
      <c r="Q1070">
        <f>IF(OR($R1069="",$R1069="T"),"",IF($R1069="B",$Q1069,IF($Q1069+1&gt;$K$3,"",$Q1069+1)))</f>
        <v/>
      </c>
      <c r="R1070">
        <f>IF(OR($R1069="",$R1069="T"),"",IF($R1069="B","S",IF($Q1069+1&gt;$K$3,"T",IF(INDEX($M$4:$M$2003,MATCH($Q1069+1,$P$4:$P$2003,0))&lt;&gt;INDEX($M$4:$M$2003,MATCH($Q1069,$P$4:$P$2003,0)),"B","S"))))</f>
        <v/>
      </c>
      <c r="S1070">
        <f>IF(Q1070="","",IFERROR(MATCH(Q1070,$P$4:$P$2003,0),""))</f>
        <v/>
      </c>
    </row>
    <row r="1071">
      <c r="A1071" s="4">
        <f>IF($R1071="","",IF($R1071="T","Gesamtergebnis",IF($R1071="B",INDEX($M$4:$M$2003,$S1071),INDEX($L$4:$L$2003,$S1071))))</f>
        <v/>
      </c>
      <c r="B1071" s="4">
        <f>IF($R1071="","",IF($R1071="T",$K$3,IF($R1071="B",COUNTIFS($M$4:$M$2003,INDEX($M$4:$M$2003,$S1071),$N$4:$N$2003,1),1)))</f>
        <v/>
      </c>
      <c r="L1071">
        <f>IF($K$1="","",IFERROR(INDEX(Lines!$A:$AA,ROW()-2,$K$1),""))</f>
        <v/>
      </c>
      <c r="M1071">
        <f>IF($K$2="","",IFERROR(INDEX(Lines!$A:$AA,ROW()-2,$K$2),""))</f>
        <v/>
      </c>
      <c r="N1071">
        <f>IF(AND(L1071&lt;&gt;"",LEFT(L1071,1)="N",M1071&lt;&gt;"PICKING",M1071&lt;&gt;""),1,0)</f>
        <v/>
      </c>
      <c r="O1071">
        <f>IF(N1071=1,M1071&amp;"|"&amp;L1071,REPT("z",40))</f>
        <v/>
      </c>
      <c r="P1071">
        <f>IF(N1071=1,COUNTIF($O$4:$O$2003,"&lt;"&amp;O1071)+1,"")</f>
        <v/>
      </c>
      <c r="Q1071">
        <f>IF(OR($R1070="",$R1070="T"),"",IF($R1070="B",$Q1070,IF($Q1070+1&gt;$K$3,"",$Q1070+1)))</f>
        <v/>
      </c>
      <c r="R1071">
        <f>IF(OR($R1070="",$R1070="T"),"",IF($R1070="B","S",IF($Q1070+1&gt;$K$3,"T",IF(INDEX($M$4:$M$2003,MATCH($Q1070+1,$P$4:$P$2003,0))&lt;&gt;INDEX($M$4:$M$2003,MATCH($Q1070,$P$4:$P$2003,0)),"B","S"))))</f>
        <v/>
      </c>
      <c r="S1071">
        <f>IF(Q1071="","",IFERROR(MATCH(Q1071,$P$4:$P$2003,0),""))</f>
        <v/>
      </c>
    </row>
    <row r="1072">
      <c r="A1072" s="4">
        <f>IF($R1072="","",IF($R1072="T","Gesamtergebnis",IF($R1072="B",INDEX($M$4:$M$2003,$S1072),INDEX($L$4:$L$2003,$S1072))))</f>
        <v/>
      </c>
      <c r="B1072" s="4">
        <f>IF($R1072="","",IF($R1072="T",$K$3,IF($R1072="B",COUNTIFS($M$4:$M$2003,INDEX($M$4:$M$2003,$S1072),$N$4:$N$2003,1),1)))</f>
        <v/>
      </c>
      <c r="L1072">
        <f>IF($K$1="","",IFERROR(INDEX(Lines!$A:$AA,ROW()-2,$K$1),""))</f>
        <v/>
      </c>
      <c r="M1072">
        <f>IF($K$2="","",IFERROR(INDEX(Lines!$A:$AA,ROW()-2,$K$2),""))</f>
        <v/>
      </c>
      <c r="N1072">
        <f>IF(AND(L1072&lt;&gt;"",LEFT(L1072,1)="N",M1072&lt;&gt;"PICKING",M1072&lt;&gt;""),1,0)</f>
        <v/>
      </c>
      <c r="O1072">
        <f>IF(N1072=1,M1072&amp;"|"&amp;L1072,REPT("z",40))</f>
        <v/>
      </c>
      <c r="P1072">
        <f>IF(N1072=1,COUNTIF($O$4:$O$2003,"&lt;"&amp;O1072)+1,"")</f>
        <v/>
      </c>
      <c r="Q1072">
        <f>IF(OR($R1071="",$R1071="T"),"",IF($R1071="B",$Q1071,IF($Q1071+1&gt;$K$3,"",$Q1071+1)))</f>
        <v/>
      </c>
      <c r="R1072">
        <f>IF(OR($R1071="",$R1071="T"),"",IF($R1071="B","S",IF($Q1071+1&gt;$K$3,"T",IF(INDEX($M$4:$M$2003,MATCH($Q1071+1,$P$4:$P$2003,0))&lt;&gt;INDEX($M$4:$M$2003,MATCH($Q1071,$P$4:$P$2003,0)),"B","S"))))</f>
        <v/>
      </c>
      <c r="S1072">
        <f>IF(Q1072="","",IFERROR(MATCH(Q1072,$P$4:$P$2003,0),""))</f>
        <v/>
      </c>
    </row>
    <row r="1073">
      <c r="A1073" s="4">
        <f>IF($R1073="","",IF($R1073="T","Gesamtergebnis",IF($R1073="B",INDEX($M$4:$M$2003,$S1073),INDEX($L$4:$L$2003,$S1073))))</f>
        <v/>
      </c>
      <c r="B1073" s="4">
        <f>IF($R1073="","",IF($R1073="T",$K$3,IF($R1073="B",COUNTIFS($M$4:$M$2003,INDEX($M$4:$M$2003,$S1073),$N$4:$N$2003,1),1)))</f>
        <v/>
      </c>
      <c r="L1073">
        <f>IF($K$1="","",IFERROR(INDEX(Lines!$A:$AA,ROW()-2,$K$1),""))</f>
        <v/>
      </c>
      <c r="M1073">
        <f>IF($K$2="","",IFERROR(INDEX(Lines!$A:$AA,ROW()-2,$K$2),""))</f>
        <v/>
      </c>
      <c r="N1073">
        <f>IF(AND(L1073&lt;&gt;"",LEFT(L1073,1)="N",M1073&lt;&gt;"PICKING",M1073&lt;&gt;""),1,0)</f>
        <v/>
      </c>
      <c r="O1073">
        <f>IF(N1073=1,M1073&amp;"|"&amp;L1073,REPT("z",40))</f>
        <v/>
      </c>
      <c r="P1073">
        <f>IF(N1073=1,COUNTIF($O$4:$O$2003,"&lt;"&amp;O1073)+1,"")</f>
        <v/>
      </c>
      <c r="Q1073">
        <f>IF(OR($R1072="",$R1072="T"),"",IF($R1072="B",$Q1072,IF($Q1072+1&gt;$K$3,"",$Q1072+1)))</f>
        <v/>
      </c>
      <c r="R1073">
        <f>IF(OR($R1072="",$R1072="T"),"",IF($R1072="B","S",IF($Q1072+1&gt;$K$3,"T",IF(INDEX($M$4:$M$2003,MATCH($Q1072+1,$P$4:$P$2003,0))&lt;&gt;INDEX($M$4:$M$2003,MATCH($Q1072,$P$4:$P$2003,0)),"B","S"))))</f>
        <v/>
      </c>
      <c r="S1073">
        <f>IF(Q1073="","",IFERROR(MATCH(Q1073,$P$4:$P$2003,0),""))</f>
        <v/>
      </c>
    </row>
    <row r="1074">
      <c r="A1074" s="4">
        <f>IF($R1074="","",IF($R1074="T","Gesamtergebnis",IF($R1074="B",INDEX($M$4:$M$2003,$S1074),INDEX($L$4:$L$2003,$S1074))))</f>
        <v/>
      </c>
      <c r="B1074" s="4">
        <f>IF($R1074="","",IF($R1074="T",$K$3,IF($R1074="B",COUNTIFS($M$4:$M$2003,INDEX($M$4:$M$2003,$S1074),$N$4:$N$2003,1),1)))</f>
        <v/>
      </c>
      <c r="L1074">
        <f>IF($K$1="","",IFERROR(INDEX(Lines!$A:$AA,ROW()-2,$K$1),""))</f>
        <v/>
      </c>
      <c r="M1074">
        <f>IF($K$2="","",IFERROR(INDEX(Lines!$A:$AA,ROW()-2,$K$2),""))</f>
        <v/>
      </c>
      <c r="N1074">
        <f>IF(AND(L1074&lt;&gt;"",LEFT(L1074,1)="N",M1074&lt;&gt;"PICKING",M1074&lt;&gt;""),1,0)</f>
        <v/>
      </c>
      <c r="O1074">
        <f>IF(N1074=1,M1074&amp;"|"&amp;L1074,REPT("z",40))</f>
        <v/>
      </c>
      <c r="P1074">
        <f>IF(N1074=1,COUNTIF($O$4:$O$2003,"&lt;"&amp;O1074)+1,"")</f>
        <v/>
      </c>
      <c r="Q1074">
        <f>IF(OR($R1073="",$R1073="T"),"",IF($R1073="B",$Q1073,IF($Q1073+1&gt;$K$3,"",$Q1073+1)))</f>
        <v/>
      </c>
      <c r="R1074">
        <f>IF(OR($R1073="",$R1073="T"),"",IF($R1073="B","S",IF($Q1073+1&gt;$K$3,"T",IF(INDEX($M$4:$M$2003,MATCH($Q1073+1,$P$4:$P$2003,0))&lt;&gt;INDEX($M$4:$M$2003,MATCH($Q1073,$P$4:$P$2003,0)),"B","S"))))</f>
        <v/>
      </c>
      <c r="S1074">
        <f>IF(Q1074="","",IFERROR(MATCH(Q1074,$P$4:$P$2003,0),""))</f>
        <v/>
      </c>
    </row>
    <row r="1075">
      <c r="A1075" s="4">
        <f>IF($R1075="","",IF($R1075="T","Gesamtergebnis",IF($R1075="B",INDEX($M$4:$M$2003,$S1075),INDEX($L$4:$L$2003,$S1075))))</f>
        <v/>
      </c>
      <c r="B1075" s="4">
        <f>IF($R1075="","",IF($R1075="T",$K$3,IF($R1075="B",COUNTIFS($M$4:$M$2003,INDEX($M$4:$M$2003,$S1075),$N$4:$N$2003,1),1)))</f>
        <v/>
      </c>
      <c r="L1075">
        <f>IF($K$1="","",IFERROR(INDEX(Lines!$A:$AA,ROW()-2,$K$1),""))</f>
        <v/>
      </c>
      <c r="M1075">
        <f>IF($K$2="","",IFERROR(INDEX(Lines!$A:$AA,ROW()-2,$K$2),""))</f>
        <v/>
      </c>
      <c r="N1075">
        <f>IF(AND(L1075&lt;&gt;"",LEFT(L1075,1)="N",M1075&lt;&gt;"PICKING",M1075&lt;&gt;""),1,0)</f>
        <v/>
      </c>
      <c r="O1075">
        <f>IF(N1075=1,M1075&amp;"|"&amp;L1075,REPT("z",40))</f>
        <v/>
      </c>
      <c r="P1075">
        <f>IF(N1075=1,COUNTIF($O$4:$O$2003,"&lt;"&amp;O1075)+1,"")</f>
        <v/>
      </c>
      <c r="Q1075">
        <f>IF(OR($R1074="",$R1074="T"),"",IF($R1074="B",$Q1074,IF($Q1074+1&gt;$K$3,"",$Q1074+1)))</f>
        <v/>
      </c>
      <c r="R1075">
        <f>IF(OR($R1074="",$R1074="T"),"",IF($R1074="B","S",IF($Q1074+1&gt;$K$3,"T",IF(INDEX($M$4:$M$2003,MATCH($Q1074+1,$P$4:$P$2003,0))&lt;&gt;INDEX($M$4:$M$2003,MATCH($Q1074,$P$4:$P$2003,0)),"B","S"))))</f>
        <v/>
      </c>
      <c r="S1075">
        <f>IF(Q1075="","",IFERROR(MATCH(Q1075,$P$4:$P$2003,0),""))</f>
        <v/>
      </c>
    </row>
    <row r="1076">
      <c r="A1076" s="4">
        <f>IF($R1076="","",IF($R1076="T","Gesamtergebnis",IF($R1076="B",INDEX($M$4:$M$2003,$S1076),INDEX($L$4:$L$2003,$S1076))))</f>
        <v/>
      </c>
      <c r="B1076" s="4">
        <f>IF($R1076="","",IF($R1076="T",$K$3,IF($R1076="B",COUNTIFS($M$4:$M$2003,INDEX($M$4:$M$2003,$S1076),$N$4:$N$2003,1),1)))</f>
        <v/>
      </c>
      <c r="L1076">
        <f>IF($K$1="","",IFERROR(INDEX(Lines!$A:$AA,ROW()-2,$K$1),""))</f>
        <v/>
      </c>
      <c r="M1076">
        <f>IF($K$2="","",IFERROR(INDEX(Lines!$A:$AA,ROW()-2,$K$2),""))</f>
        <v/>
      </c>
      <c r="N1076">
        <f>IF(AND(L1076&lt;&gt;"",LEFT(L1076,1)="N",M1076&lt;&gt;"PICKING",M1076&lt;&gt;""),1,0)</f>
        <v/>
      </c>
      <c r="O1076">
        <f>IF(N1076=1,M1076&amp;"|"&amp;L1076,REPT("z",40))</f>
        <v/>
      </c>
      <c r="P1076">
        <f>IF(N1076=1,COUNTIF($O$4:$O$2003,"&lt;"&amp;O1076)+1,"")</f>
        <v/>
      </c>
      <c r="Q1076">
        <f>IF(OR($R1075="",$R1075="T"),"",IF($R1075="B",$Q1075,IF($Q1075+1&gt;$K$3,"",$Q1075+1)))</f>
        <v/>
      </c>
      <c r="R1076">
        <f>IF(OR($R1075="",$R1075="T"),"",IF($R1075="B","S",IF($Q1075+1&gt;$K$3,"T",IF(INDEX($M$4:$M$2003,MATCH($Q1075+1,$P$4:$P$2003,0))&lt;&gt;INDEX($M$4:$M$2003,MATCH($Q1075,$P$4:$P$2003,0)),"B","S"))))</f>
        <v/>
      </c>
      <c r="S1076">
        <f>IF(Q1076="","",IFERROR(MATCH(Q1076,$P$4:$P$2003,0),""))</f>
        <v/>
      </c>
    </row>
    <row r="1077">
      <c r="A1077" s="4">
        <f>IF($R1077="","",IF($R1077="T","Gesamtergebnis",IF($R1077="B",INDEX($M$4:$M$2003,$S1077),INDEX($L$4:$L$2003,$S1077))))</f>
        <v/>
      </c>
      <c r="B1077" s="4">
        <f>IF($R1077="","",IF($R1077="T",$K$3,IF($R1077="B",COUNTIFS($M$4:$M$2003,INDEX($M$4:$M$2003,$S1077),$N$4:$N$2003,1),1)))</f>
        <v/>
      </c>
      <c r="L1077">
        <f>IF($K$1="","",IFERROR(INDEX(Lines!$A:$AA,ROW()-2,$K$1),""))</f>
        <v/>
      </c>
      <c r="M1077">
        <f>IF($K$2="","",IFERROR(INDEX(Lines!$A:$AA,ROW()-2,$K$2),""))</f>
        <v/>
      </c>
      <c r="N1077">
        <f>IF(AND(L1077&lt;&gt;"",LEFT(L1077,1)="N",M1077&lt;&gt;"PICKING",M1077&lt;&gt;""),1,0)</f>
        <v/>
      </c>
      <c r="O1077">
        <f>IF(N1077=1,M1077&amp;"|"&amp;L1077,REPT("z",40))</f>
        <v/>
      </c>
      <c r="P1077">
        <f>IF(N1077=1,COUNTIF($O$4:$O$2003,"&lt;"&amp;O1077)+1,"")</f>
        <v/>
      </c>
      <c r="Q1077">
        <f>IF(OR($R1076="",$R1076="T"),"",IF($R1076="B",$Q1076,IF($Q1076+1&gt;$K$3,"",$Q1076+1)))</f>
        <v/>
      </c>
      <c r="R1077">
        <f>IF(OR($R1076="",$R1076="T"),"",IF($R1076="B","S",IF($Q1076+1&gt;$K$3,"T",IF(INDEX($M$4:$M$2003,MATCH($Q1076+1,$P$4:$P$2003,0))&lt;&gt;INDEX($M$4:$M$2003,MATCH($Q1076,$P$4:$P$2003,0)),"B","S"))))</f>
        <v/>
      </c>
      <c r="S1077">
        <f>IF(Q1077="","",IFERROR(MATCH(Q1077,$P$4:$P$2003,0),""))</f>
        <v/>
      </c>
    </row>
    <row r="1078">
      <c r="A1078" s="4">
        <f>IF($R1078="","",IF($R1078="T","Gesamtergebnis",IF($R1078="B",INDEX($M$4:$M$2003,$S1078),INDEX($L$4:$L$2003,$S1078))))</f>
        <v/>
      </c>
      <c r="B1078" s="4">
        <f>IF($R1078="","",IF($R1078="T",$K$3,IF($R1078="B",COUNTIFS($M$4:$M$2003,INDEX($M$4:$M$2003,$S1078),$N$4:$N$2003,1),1)))</f>
        <v/>
      </c>
      <c r="L1078">
        <f>IF($K$1="","",IFERROR(INDEX(Lines!$A:$AA,ROW()-2,$K$1),""))</f>
        <v/>
      </c>
      <c r="M1078">
        <f>IF($K$2="","",IFERROR(INDEX(Lines!$A:$AA,ROW()-2,$K$2),""))</f>
        <v/>
      </c>
      <c r="N1078">
        <f>IF(AND(L1078&lt;&gt;"",LEFT(L1078,1)="N",M1078&lt;&gt;"PICKING",M1078&lt;&gt;""),1,0)</f>
        <v/>
      </c>
      <c r="O1078">
        <f>IF(N1078=1,M1078&amp;"|"&amp;L1078,REPT("z",40))</f>
        <v/>
      </c>
      <c r="P1078">
        <f>IF(N1078=1,COUNTIF($O$4:$O$2003,"&lt;"&amp;O1078)+1,"")</f>
        <v/>
      </c>
      <c r="Q1078">
        <f>IF(OR($R1077="",$R1077="T"),"",IF($R1077="B",$Q1077,IF($Q1077+1&gt;$K$3,"",$Q1077+1)))</f>
        <v/>
      </c>
      <c r="R1078">
        <f>IF(OR($R1077="",$R1077="T"),"",IF($R1077="B","S",IF($Q1077+1&gt;$K$3,"T",IF(INDEX($M$4:$M$2003,MATCH($Q1077+1,$P$4:$P$2003,0))&lt;&gt;INDEX($M$4:$M$2003,MATCH($Q1077,$P$4:$P$2003,0)),"B","S"))))</f>
        <v/>
      </c>
      <c r="S1078">
        <f>IF(Q1078="","",IFERROR(MATCH(Q1078,$P$4:$P$2003,0),""))</f>
        <v/>
      </c>
    </row>
    <row r="1079">
      <c r="A1079" s="4">
        <f>IF($R1079="","",IF($R1079="T","Gesamtergebnis",IF($R1079="B",INDEX($M$4:$M$2003,$S1079),INDEX($L$4:$L$2003,$S1079))))</f>
        <v/>
      </c>
      <c r="B1079" s="4">
        <f>IF($R1079="","",IF($R1079="T",$K$3,IF($R1079="B",COUNTIFS($M$4:$M$2003,INDEX($M$4:$M$2003,$S1079),$N$4:$N$2003,1),1)))</f>
        <v/>
      </c>
      <c r="L1079">
        <f>IF($K$1="","",IFERROR(INDEX(Lines!$A:$AA,ROW()-2,$K$1),""))</f>
        <v/>
      </c>
      <c r="M1079">
        <f>IF($K$2="","",IFERROR(INDEX(Lines!$A:$AA,ROW()-2,$K$2),""))</f>
        <v/>
      </c>
      <c r="N1079">
        <f>IF(AND(L1079&lt;&gt;"",LEFT(L1079,1)="N",M1079&lt;&gt;"PICKING",M1079&lt;&gt;""),1,0)</f>
        <v/>
      </c>
      <c r="O1079">
        <f>IF(N1079=1,M1079&amp;"|"&amp;L1079,REPT("z",40))</f>
        <v/>
      </c>
      <c r="P1079">
        <f>IF(N1079=1,COUNTIF($O$4:$O$2003,"&lt;"&amp;O1079)+1,"")</f>
        <v/>
      </c>
      <c r="Q1079">
        <f>IF(OR($R1078="",$R1078="T"),"",IF($R1078="B",$Q1078,IF($Q1078+1&gt;$K$3,"",$Q1078+1)))</f>
        <v/>
      </c>
      <c r="R1079">
        <f>IF(OR($R1078="",$R1078="T"),"",IF($R1078="B","S",IF($Q1078+1&gt;$K$3,"T",IF(INDEX($M$4:$M$2003,MATCH($Q1078+1,$P$4:$P$2003,0))&lt;&gt;INDEX($M$4:$M$2003,MATCH($Q1078,$P$4:$P$2003,0)),"B","S"))))</f>
        <v/>
      </c>
      <c r="S1079">
        <f>IF(Q1079="","",IFERROR(MATCH(Q1079,$P$4:$P$2003,0),""))</f>
        <v/>
      </c>
    </row>
    <row r="1080">
      <c r="A1080" s="4">
        <f>IF($R1080="","",IF($R1080="T","Gesamtergebnis",IF($R1080="B",INDEX($M$4:$M$2003,$S1080),INDEX($L$4:$L$2003,$S1080))))</f>
        <v/>
      </c>
      <c r="B1080" s="4">
        <f>IF($R1080="","",IF($R1080="T",$K$3,IF($R1080="B",COUNTIFS($M$4:$M$2003,INDEX($M$4:$M$2003,$S1080),$N$4:$N$2003,1),1)))</f>
        <v/>
      </c>
      <c r="L1080">
        <f>IF($K$1="","",IFERROR(INDEX(Lines!$A:$AA,ROW()-2,$K$1),""))</f>
        <v/>
      </c>
      <c r="M1080">
        <f>IF($K$2="","",IFERROR(INDEX(Lines!$A:$AA,ROW()-2,$K$2),""))</f>
        <v/>
      </c>
      <c r="N1080">
        <f>IF(AND(L1080&lt;&gt;"",LEFT(L1080,1)="N",M1080&lt;&gt;"PICKING",M1080&lt;&gt;""),1,0)</f>
        <v/>
      </c>
      <c r="O1080">
        <f>IF(N1080=1,M1080&amp;"|"&amp;L1080,REPT("z",40))</f>
        <v/>
      </c>
      <c r="P1080">
        <f>IF(N1080=1,COUNTIF($O$4:$O$2003,"&lt;"&amp;O1080)+1,"")</f>
        <v/>
      </c>
      <c r="Q1080">
        <f>IF(OR($R1079="",$R1079="T"),"",IF($R1079="B",$Q1079,IF($Q1079+1&gt;$K$3,"",$Q1079+1)))</f>
        <v/>
      </c>
      <c r="R1080">
        <f>IF(OR($R1079="",$R1079="T"),"",IF($R1079="B","S",IF($Q1079+1&gt;$K$3,"T",IF(INDEX($M$4:$M$2003,MATCH($Q1079+1,$P$4:$P$2003,0))&lt;&gt;INDEX($M$4:$M$2003,MATCH($Q1079,$P$4:$P$2003,0)),"B","S"))))</f>
        <v/>
      </c>
      <c r="S1080">
        <f>IF(Q1080="","",IFERROR(MATCH(Q1080,$P$4:$P$2003,0),""))</f>
        <v/>
      </c>
    </row>
    <row r="1081">
      <c r="A1081" s="4">
        <f>IF($R1081="","",IF($R1081="T","Gesamtergebnis",IF($R1081="B",INDEX($M$4:$M$2003,$S1081),INDEX($L$4:$L$2003,$S1081))))</f>
        <v/>
      </c>
      <c r="B1081" s="4">
        <f>IF($R1081="","",IF($R1081="T",$K$3,IF($R1081="B",COUNTIFS($M$4:$M$2003,INDEX($M$4:$M$2003,$S1081),$N$4:$N$2003,1),1)))</f>
        <v/>
      </c>
      <c r="L1081">
        <f>IF($K$1="","",IFERROR(INDEX(Lines!$A:$AA,ROW()-2,$K$1),""))</f>
        <v/>
      </c>
      <c r="M1081">
        <f>IF($K$2="","",IFERROR(INDEX(Lines!$A:$AA,ROW()-2,$K$2),""))</f>
        <v/>
      </c>
      <c r="N1081">
        <f>IF(AND(L1081&lt;&gt;"",LEFT(L1081,1)="N",M1081&lt;&gt;"PICKING",M1081&lt;&gt;""),1,0)</f>
        <v/>
      </c>
      <c r="O1081">
        <f>IF(N1081=1,M1081&amp;"|"&amp;L1081,REPT("z",40))</f>
        <v/>
      </c>
      <c r="P1081">
        <f>IF(N1081=1,COUNTIF($O$4:$O$2003,"&lt;"&amp;O1081)+1,"")</f>
        <v/>
      </c>
      <c r="Q1081">
        <f>IF(OR($R1080="",$R1080="T"),"",IF($R1080="B",$Q1080,IF($Q1080+1&gt;$K$3,"",$Q1080+1)))</f>
        <v/>
      </c>
      <c r="R1081">
        <f>IF(OR($R1080="",$R1080="T"),"",IF($R1080="B","S",IF($Q1080+1&gt;$K$3,"T",IF(INDEX($M$4:$M$2003,MATCH($Q1080+1,$P$4:$P$2003,0))&lt;&gt;INDEX($M$4:$M$2003,MATCH($Q1080,$P$4:$P$2003,0)),"B","S"))))</f>
        <v/>
      </c>
      <c r="S1081">
        <f>IF(Q1081="","",IFERROR(MATCH(Q1081,$P$4:$P$2003,0),""))</f>
        <v/>
      </c>
    </row>
    <row r="1082">
      <c r="A1082" s="4">
        <f>IF($R1082="","",IF($R1082="T","Gesamtergebnis",IF($R1082="B",INDEX($M$4:$M$2003,$S1082),INDEX($L$4:$L$2003,$S1082))))</f>
        <v/>
      </c>
      <c r="B1082" s="4">
        <f>IF($R1082="","",IF($R1082="T",$K$3,IF($R1082="B",COUNTIFS($M$4:$M$2003,INDEX($M$4:$M$2003,$S1082),$N$4:$N$2003,1),1)))</f>
        <v/>
      </c>
      <c r="L1082">
        <f>IF($K$1="","",IFERROR(INDEX(Lines!$A:$AA,ROW()-2,$K$1),""))</f>
        <v/>
      </c>
      <c r="M1082">
        <f>IF($K$2="","",IFERROR(INDEX(Lines!$A:$AA,ROW()-2,$K$2),""))</f>
        <v/>
      </c>
      <c r="N1082">
        <f>IF(AND(L1082&lt;&gt;"",LEFT(L1082,1)="N",M1082&lt;&gt;"PICKING",M1082&lt;&gt;""),1,0)</f>
        <v/>
      </c>
      <c r="O1082">
        <f>IF(N1082=1,M1082&amp;"|"&amp;L1082,REPT("z",40))</f>
        <v/>
      </c>
      <c r="P1082">
        <f>IF(N1082=1,COUNTIF($O$4:$O$2003,"&lt;"&amp;O1082)+1,"")</f>
        <v/>
      </c>
      <c r="Q1082">
        <f>IF(OR($R1081="",$R1081="T"),"",IF($R1081="B",$Q1081,IF($Q1081+1&gt;$K$3,"",$Q1081+1)))</f>
        <v/>
      </c>
      <c r="R1082">
        <f>IF(OR($R1081="",$R1081="T"),"",IF($R1081="B","S",IF($Q1081+1&gt;$K$3,"T",IF(INDEX($M$4:$M$2003,MATCH($Q1081+1,$P$4:$P$2003,0))&lt;&gt;INDEX($M$4:$M$2003,MATCH($Q1081,$P$4:$P$2003,0)),"B","S"))))</f>
        <v/>
      </c>
      <c r="S1082">
        <f>IF(Q1082="","",IFERROR(MATCH(Q1082,$P$4:$P$2003,0),""))</f>
        <v/>
      </c>
    </row>
    <row r="1083">
      <c r="A1083" s="4">
        <f>IF($R1083="","",IF($R1083="T","Gesamtergebnis",IF($R1083="B",INDEX($M$4:$M$2003,$S1083),INDEX($L$4:$L$2003,$S1083))))</f>
        <v/>
      </c>
      <c r="B1083" s="4">
        <f>IF($R1083="","",IF($R1083="T",$K$3,IF($R1083="B",COUNTIFS($M$4:$M$2003,INDEX($M$4:$M$2003,$S1083),$N$4:$N$2003,1),1)))</f>
        <v/>
      </c>
      <c r="L1083">
        <f>IF($K$1="","",IFERROR(INDEX(Lines!$A:$AA,ROW()-2,$K$1),""))</f>
        <v/>
      </c>
      <c r="M1083">
        <f>IF($K$2="","",IFERROR(INDEX(Lines!$A:$AA,ROW()-2,$K$2),""))</f>
        <v/>
      </c>
      <c r="N1083">
        <f>IF(AND(L1083&lt;&gt;"",LEFT(L1083,1)="N",M1083&lt;&gt;"PICKING",M1083&lt;&gt;""),1,0)</f>
        <v/>
      </c>
      <c r="O1083">
        <f>IF(N1083=1,M1083&amp;"|"&amp;L1083,REPT("z",40))</f>
        <v/>
      </c>
      <c r="P1083">
        <f>IF(N1083=1,COUNTIF($O$4:$O$2003,"&lt;"&amp;O1083)+1,"")</f>
        <v/>
      </c>
      <c r="Q1083">
        <f>IF(OR($R1082="",$R1082="T"),"",IF($R1082="B",$Q1082,IF($Q1082+1&gt;$K$3,"",$Q1082+1)))</f>
        <v/>
      </c>
      <c r="R1083">
        <f>IF(OR($R1082="",$R1082="T"),"",IF($R1082="B","S",IF($Q1082+1&gt;$K$3,"T",IF(INDEX($M$4:$M$2003,MATCH($Q1082+1,$P$4:$P$2003,0))&lt;&gt;INDEX($M$4:$M$2003,MATCH($Q1082,$P$4:$P$2003,0)),"B","S"))))</f>
        <v/>
      </c>
      <c r="S1083">
        <f>IF(Q1083="","",IFERROR(MATCH(Q1083,$P$4:$P$2003,0),""))</f>
        <v/>
      </c>
    </row>
    <row r="1084">
      <c r="A1084" s="4">
        <f>IF($R1084="","",IF($R1084="T","Gesamtergebnis",IF($R1084="B",INDEX($M$4:$M$2003,$S1084),INDEX($L$4:$L$2003,$S1084))))</f>
        <v/>
      </c>
      <c r="B1084" s="4">
        <f>IF($R1084="","",IF($R1084="T",$K$3,IF($R1084="B",COUNTIFS($M$4:$M$2003,INDEX($M$4:$M$2003,$S1084),$N$4:$N$2003,1),1)))</f>
        <v/>
      </c>
      <c r="L1084">
        <f>IF($K$1="","",IFERROR(INDEX(Lines!$A:$AA,ROW()-2,$K$1),""))</f>
        <v/>
      </c>
      <c r="M1084">
        <f>IF($K$2="","",IFERROR(INDEX(Lines!$A:$AA,ROW()-2,$K$2),""))</f>
        <v/>
      </c>
      <c r="N1084">
        <f>IF(AND(L1084&lt;&gt;"",LEFT(L1084,1)="N",M1084&lt;&gt;"PICKING",M1084&lt;&gt;""),1,0)</f>
        <v/>
      </c>
      <c r="O1084">
        <f>IF(N1084=1,M1084&amp;"|"&amp;L1084,REPT("z",40))</f>
        <v/>
      </c>
      <c r="P1084">
        <f>IF(N1084=1,COUNTIF($O$4:$O$2003,"&lt;"&amp;O1084)+1,"")</f>
        <v/>
      </c>
      <c r="Q1084">
        <f>IF(OR($R1083="",$R1083="T"),"",IF($R1083="B",$Q1083,IF($Q1083+1&gt;$K$3,"",$Q1083+1)))</f>
        <v/>
      </c>
      <c r="R1084">
        <f>IF(OR($R1083="",$R1083="T"),"",IF($R1083="B","S",IF($Q1083+1&gt;$K$3,"T",IF(INDEX($M$4:$M$2003,MATCH($Q1083+1,$P$4:$P$2003,0))&lt;&gt;INDEX($M$4:$M$2003,MATCH($Q1083,$P$4:$P$2003,0)),"B","S"))))</f>
        <v/>
      </c>
      <c r="S1084">
        <f>IF(Q1084="","",IFERROR(MATCH(Q1084,$P$4:$P$2003,0),""))</f>
        <v/>
      </c>
    </row>
    <row r="1085">
      <c r="A1085" s="4">
        <f>IF($R1085="","",IF($R1085="T","Gesamtergebnis",IF($R1085="B",INDEX($M$4:$M$2003,$S1085),INDEX($L$4:$L$2003,$S1085))))</f>
        <v/>
      </c>
      <c r="B1085" s="4">
        <f>IF($R1085="","",IF($R1085="T",$K$3,IF($R1085="B",COUNTIFS($M$4:$M$2003,INDEX($M$4:$M$2003,$S1085),$N$4:$N$2003,1),1)))</f>
        <v/>
      </c>
      <c r="L1085">
        <f>IF($K$1="","",IFERROR(INDEX(Lines!$A:$AA,ROW()-2,$K$1),""))</f>
        <v/>
      </c>
      <c r="M1085">
        <f>IF($K$2="","",IFERROR(INDEX(Lines!$A:$AA,ROW()-2,$K$2),""))</f>
        <v/>
      </c>
      <c r="N1085">
        <f>IF(AND(L1085&lt;&gt;"",LEFT(L1085,1)="N",M1085&lt;&gt;"PICKING",M1085&lt;&gt;""),1,0)</f>
        <v/>
      </c>
      <c r="O1085">
        <f>IF(N1085=1,M1085&amp;"|"&amp;L1085,REPT("z",40))</f>
        <v/>
      </c>
      <c r="P1085">
        <f>IF(N1085=1,COUNTIF($O$4:$O$2003,"&lt;"&amp;O1085)+1,"")</f>
        <v/>
      </c>
      <c r="Q1085">
        <f>IF(OR($R1084="",$R1084="T"),"",IF($R1084="B",$Q1084,IF($Q1084+1&gt;$K$3,"",$Q1084+1)))</f>
        <v/>
      </c>
      <c r="R1085">
        <f>IF(OR($R1084="",$R1084="T"),"",IF($R1084="B","S",IF($Q1084+1&gt;$K$3,"T",IF(INDEX($M$4:$M$2003,MATCH($Q1084+1,$P$4:$P$2003,0))&lt;&gt;INDEX($M$4:$M$2003,MATCH($Q1084,$P$4:$P$2003,0)),"B","S"))))</f>
        <v/>
      </c>
      <c r="S1085">
        <f>IF(Q1085="","",IFERROR(MATCH(Q1085,$P$4:$P$2003,0),""))</f>
        <v/>
      </c>
    </row>
    <row r="1086">
      <c r="A1086" s="4">
        <f>IF($R1086="","",IF($R1086="T","Gesamtergebnis",IF($R1086="B",INDEX($M$4:$M$2003,$S1086),INDEX($L$4:$L$2003,$S1086))))</f>
        <v/>
      </c>
      <c r="B1086" s="4">
        <f>IF($R1086="","",IF($R1086="T",$K$3,IF($R1086="B",COUNTIFS($M$4:$M$2003,INDEX($M$4:$M$2003,$S1086),$N$4:$N$2003,1),1)))</f>
        <v/>
      </c>
      <c r="L1086">
        <f>IF($K$1="","",IFERROR(INDEX(Lines!$A:$AA,ROW()-2,$K$1),""))</f>
        <v/>
      </c>
      <c r="M1086">
        <f>IF($K$2="","",IFERROR(INDEX(Lines!$A:$AA,ROW()-2,$K$2),""))</f>
        <v/>
      </c>
      <c r="N1086">
        <f>IF(AND(L1086&lt;&gt;"",LEFT(L1086,1)="N",M1086&lt;&gt;"PICKING",M1086&lt;&gt;""),1,0)</f>
        <v/>
      </c>
      <c r="O1086">
        <f>IF(N1086=1,M1086&amp;"|"&amp;L1086,REPT("z",40))</f>
        <v/>
      </c>
      <c r="P1086">
        <f>IF(N1086=1,COUNTIF($O$4:$O$2003,"&lt;"&amp;O1086)+1,"")</f>
        <v/>
      </c>
      <c r="Q1086">
        <f>IF(OR($R1085="",$R1085="T"),"",IF($R1085="B",$Q1085,IF($Q1085+1&gt;$K$3,"",$Q1085+1)))</f>
        <v/>
      </c>
      <c r="R1086">
        <f>IF(OR($R1085="",$R1085="T"),"",IF($R1085="B","S",IF($Q1085+1&gt;$K$3,"T",IF(INDEX($M$4:$M$2003,MATCH($Q1085+1,$P$4:$P$2003,0))&lt;&gt;INDEX($M$4:$M$2003,MATCH($Q1085,$P$4:$P$2003,0)),"B","S"))))</f>
        <v/>
      </c>
      <c r="S1086">
        <f>IF(Q1086="","",IFERROR(MATCH(Q1086,$P$4:$P$2003,0),""))</f>
        <v/>
      </c>
    </row>
    <row r="1087">
      <c r="A1087" s="4">
        <f>IF($R1087="","",IF($R1087="T","Gesamtergebnis",IF($R1087="B",INDEX($M$4:$M$2003,$S1087),INDEX($L$4:$L$2003,$S1087))))</f>
        <v/>
      </c>
      <c r="B1087" s="4">
        <f>IF($R1087="","",IF($R1087="T",$K$3,IF($R1087="B",COUNTIFS($M$4:$M$2003,INDEX($M$4:$M$2003,$S1087),$N$4:$N$2003,1),1)))</f>
        <v/>
      </c>
      <c r="L1087">
        <f>IF($K$1="","",IFERROR(INDEX(Lines!$A:$AA,ROW()-2,$K$1),""))</f>
        <v/>
      </c>
      <c r="M1087">
        <f>IF($K$2="","",IFERROR(INDEX(Lines!$A:$AA,ROW()-2,$K$2),""))</f>
        <v/>
      </c>
      <c r="N1087">
        <f>IF(AND(L1087&lt;&gt;"",LEFT(L1087,1)="N",M1087&lt;&gt;"PICKING",M1087&lt;&gt;""),1,0)</f>
        <v/>
      </c>
      <c r="O1087">
        <f>IF(N1087=1,M1087&amp;"|"&amp;L1087,REPT("z",40))</f>
        <v/>
      </c>
      <c r="P1087">
        <f>IF(N1087=1,COUNTIF($O$4:$O$2003,"&lt;"&amp;O1087)+1,"")</f>
        <v/>
      </c>
      <c r="Q1087">
        <f>IF(OR($R1086="",$R1086="T"),"",IF($R1086="B",$Q1086,IF($Q1086+1&gt;$K$3,"",$Q1086+1)))</f>
        <v/>
      </c>
      <c r="R1087">
        <f>IF(OR($R1086="",$R1086="T"),"",IF($R1086="B","S",IF($Q1086+1&gt;$K$3,"T",IF(INDEX($M$4:$M$2003,MATCH($Q1086+1,$P$4:$P$2003,0))&lt;&gt;INDEX($M$4:$M$2003,MATCH($Q1086,$P$4:$P$2003,0)),"B","S"))))</f>
        <v/>
      </c>
      <c r="S1087">
        <f>IF(Q1087="","",IFERROR(MATCH(Q1087,$P$4:$P$2003,0),""))</f>
        <v/>
      </c>
    </row>
    <row r="1088">
      <c r="A1088" s="4">
        <f>IF($R1088="","",IF($R1088="T","Gesamtergebnis",IF($R1088="B",INDEX($M$4:$M$2003,$S1088),INDEX($L$4:$L$2003,$S1088))))</f>
        <v/>
      </c>
      <c r="B1088" s="4">
        <f>IF($R1088="","",IF($R1088="T",$K$3,IF($R1088="B",COUNTIFS($M$4:$M$2003,INDEX($M$4:$M$2003,$S1088),$N$4:$N$2003,1),1)))</f>
        <v/>
      </c>
      <c r="L1088">
        <f>IF($K$1="","",IFERROR(INDEX(Lines!$A:$AA,ROW()-2,$K$1),""))</f>
        <v/>
      </c>
      <c r="M1088">
        <f>IF($K$2="","",IFERROR(INDEX(Lines!$A:$AA,ROW()-2,$K$2),""))</f>
        <v/>
      </c>
      <c r="N1088">
        <f>IF(AND(L1088&lt;&gt;"",LEFT(L1088,1)="N",M1088&lt;&gt;"PICKING",M1088&lt;&gt;""),1,0)</f>
        <v/>
      </c>
      <c r="O1088">
        <f>IF(N1088=1,M1088&amp;"|"&amp;L1088,REPT("z",40))</f>
        <v/>
      </c>
      <c r="P1088">
        <f>IF(N1088=1,COUNTIF($O$4:$O$2003,"&lt;"&amp;O1088)+1,"")</f>
        <v/>
      </c>
      <c r="Q1088">
        <f>IF(OR($R1087="",$R1087="T"),"",IF($R1087="B",$Q1087,IF($Q1087+1&gt;$K$3,"",$Q1087+1)))</f>
        <v/>
      </c>
      <c r="R1088">
        <f>IF(OR($R1087="",$R1087="T"),"",IF($R1087="B","S",IF($Q1087+1&gt;$K$3,"T",IF(INDEX($M$4:$M$2003,MATCH($Q1087+1,$P$4:$P$2003,0))&lt;&gt;INDEX($M$4:$M$2003,MATCH($Q1087,$P$4:$P$2003,0)),"B","S"))))</f>
        <v/>
      </c>
      <c r="S1088">
        <f>IF(Q1088="","",IFERROR(MATCH(Q1088,$P$4:$P$2003,0),""))</f>
        <v/>
      </c>
    </row>
    <row r="1089">
      <c r="A1089" s="4">
        <f>IF($R1089="","",IF($R1089="T","Gesamtergebnis",IF($R1089="B",INDEX($M$4:$M$2003,$S1089),INDEX($L$4:$L$2003,$S1089))))</f>
        <v/>
      </c>
      <c r="B1089" s="4">
        <f>IF($R1089="","",IF($R1089="T",$K$3,IF($R1089="B",COUNTIFS($M$4:$M$2003,INDEX($M$4:$M$2003,$S1089),$N$4:$N$2003,1),1)))</f>
        <v/>
      </c>
      <c r="L1089">
        <f>IF($K$1="","",IFERROR(INDEX(Lines!$A:$AA,ROW()-2,$K$1),""))</f>
        <v/>
      </c>
      <c r="M1089">
        <f>IF($K$2="","",IFERROR(INDEX(Lines!$A:$AA,ROW()-2,$K$2),""))</f>
        <v/>
      </c>
      <c r="N1089">
        <f>IF(AND(L1089&lt;&gt;"",LEFT(L1089,1)="N",M1089&lt;&gt;"PICKING",M1089&lt;&gt;""),1,0)</f>
        <v/>
      </c>
      <c r="O1089">
        <f>IF(N1089=1,M1089&amp;"|"&amp;L1089,REPT("z",40))</f>
        <v/>
      </c>
      <c r="P1089">
        <f>IF(N1089=1,COUNTIF($O$4:$O$2003,"&lt;"&amp;O1089)+1,"")</f>
        <v/>
      </c>
      <c r="Q1089">
        <f>IF(OR($R1088="",$R1088="T"),"",IF($R1088="B",$Q1088,IF($Q1088+1&gt;$K$3,"",$Q1088+1)))</f>
        <v/>
      </c>
      <c r="R1089">
        <f>IF(OR($R1088="",$R1088="T"),"",IF($R1088="B","S",IF($Q1088+1&gt;$K$3,"T",IF(INDEX($M$4:$M$2003,MATCH($Q1088+1,$P$4:$P$2003,0))&lt;&gt;INDEX($M$4:$M$2003,MATCH($Q1088,$P$4:$P$2003,0)),"B","S"))))</f>
        <v/>
      </c>
      <c r="S1089">
        <f>IF(Q1089="","",IFERROR(MATCH(Q1089,$P$4:$P$2003,0),""))</f>
        <v/>
      </c>
    </row>
    <row r="1090">
      <c r="A1090" s="4">
        <f>IF($R1090="","",IF($R1090="T","Gesamtergebnis",IF($R1090="B",INDEX($M$4:$M$2003,$S1090),INDEX($L$4:$L$2003,$S1090))))</f>
        <v/>
      </c>
      <c r="B1090" s="4">
        <f>IF($R1090="","",IF($R1090="T",$K$3,IF($R1090="B",COUNTIFS($M$4:$M$2003,INDEX($M$4:$M$2003,$S1090),$N$4:$N$2003,1),1)))</f>
        <v/>
      </c>
      <c r="L1090">
        <f>IF($K$1="","",IFERROR(INDEX(Lines!$A:$AA,ROW()-2,$K$1),""))</f>
        <v/>
      </c>
      <c r="M1090">
        <f>IF($K$2="","",IFERROR(INDEX(Lines!$A:$AA,ROW()-2,$K$2),""))</f>
        <v/>
      </c>
      <c r="N1090">
        <f>IF(AND(L1090&lt;&gt;"",LEFT(L1090,1)="N",M1090&lt;&gt;"PICKING",M1090&lt;&gt;""),1,0)</f>
        <v/>
      </c>
      <c r="O1090">
        <f>IF(N1090=1,M1090&amp;"|"&amp;L1090,REPT("z",40))</f>
        <v/>
      </c>
      <c r="P1090">
        <f>IF(N1090=1,COUNTIF($O$4:$O$2003,"&lt;"&amp;O1090)+1,"")</f>
        <v/>
      </c>
      <c r="Q1090">
        <f>IF(OR($R1089="",$R1089="T"),"",IF($R1089="B",$Q1089,IF($Q1089+1&gt;$K$3,"",$Q1089+1)))</f>
        <v/>
      </c>
      <c r="R1090">
        <f>IF(OR($R1089="",$R1089="T"),"",IF($R1089="B","S",IF($Q1089+1&gt;$K$3,"T",IF(INDEX($M$4:$M$2003,MATCH($Q1089+1,$P$4:$P$2003,0))&lt;&gt;INDEX($M$4:$M$2003,MATCH($Q1089,$P$4:$P$2003,0)),"B","S"))))</f>
        <v/>
      </c>
      <c r="S1090">
        <f>IF(Q1090="","",IFERROR(MATCH(Q1090,$P$4:$P$2003,0),""))</f>
        <v/>
      </c>
    </row>
    <row r="1091">
      <c r="A1091" s="4">
        <f>IF($R1091="","",IF($R1091="T","Gesamtergebnis",IF($R1091="B",INDEX($M$4:$M$2003,$S1091),INDEX($L$4:$L$2003,$S1091))))</f>
        <v/>
      </c>
      <c r="B1091" s="4">
        <f>IF($R1091="","",IF($R1091="T",$K$3,IF($R1091="B",COUNTIFS($M$4:$M$2003,INDEX($M$4:$M$2003,$S1091),$N$4:$N$2003,1),1)))</f>
        <v/>
      </c>
      <c r="L1091">
        <f>IF($K$1="","",IFERROR(INDEX(Lines!$A:$AA,ROW()-2,$K$1),""))</f>
        <v/>
      </c>
      <c r="M1091">
        <f>IF($K$2="","",IFERROR(INDEX(Lines!$A:$AA,ROW()-2,$K$2),""))</f>
        <v/>
      </c>
      <c r="N1091">
        <f>IF(AND(L1091&lt;&gt;"",LEFT(L1091,1)="N",M1091&lt;&gt;"PICKING",M1091&lt;&gt;""),1,0)</f>
        <v/>
      </c>
      <c r="O1091">
        <f>IF(N1091=1,M1091&amp;"|"&amp;L1091,REPT("z",40))</f>
        <v/>
      </c>
      <c r="P1091">
        <f>IF(N1091=1,COUNTIF($O$4:$O$2003,"&lt;"&amp;O1091)+1,"")</f>
        <v/>
      </c>
      <c r="Q1091">
        <f>IF(OR($R1090="",$R1090="T"),"",IF($R1090="B",$Q1090,IF($Q1090+1&gt;$K$3,"",$Q1090+1)))</f>
        <v/>
      </c>
      <c r="R1091">
        <f>IF(OR($R1090="",$R1090="T"),"",IF($R1090="B","S",IF($Q1090+1&gt;$K$3,"T",IF(INDEX($M$4:$M$2003,MATCH($Q1090+1,$P$4:$P$2003,0))&lt;&gt;INDEX($M$4:$M$2003,MATCH($Q1090,$P$4:$P$2003,0)),"B","S"))))</f>
        <v/>
      </c>
      <c r="S1091">
        <f>IF(Q1091="","",IFERROR(MATCH(Q1091,$P$4:$P$2003,0),""))</f>
        <v/>
      </c>
    </row>
    <row r="1092">
      <c r="A1092" s="4">
        <f>IF($R1092="","",IF($R1092="T","Gesamtergebnis",IF($R1092="B",INDEX($M$4:$M$2003,$S1092),INDEX($L$4:$L$2003,$S1092))))</f>
        <v/>
      </c>
      <c r="B1092" s="4">
        <f>IF($R1092="","",IF($R1092="T",$K$3,IF($R1092="B",COUNTIFS($M$4:$M$2003,INDEX($M$4:$M$2003,$S1092),$N$4:$N$2003,1),1)))</f>
        <v/>
      </c>
      <c r="L1092">
        <f>IF($K$1="","",IFERROR(INDEX(Lines!$A:$AA,ROW()-2,$K$1),""))</f>
        <v/>
      </c>
      <c r="M1092">
        <f>IF($K$2="","",IFERROR(INDEX(Lines!$A:$AA,ROW()-2,$K$2),""))</f>
        <v/>
      </c>
      <c r="N1092">
        <f>IF(AND(L1092&lt;&gt;"",LEFT(L1092,1)="N",M1092&lt;&gt;"PICKING",M1092&lt;&gt;""),1,0)</f>
        <v/>
      </c>
      <c r="O1092">
        <f>IF(N1092=1,M1092&amp;"|"&amp;L1092,REPT("z",40))</f>
        <v/>
      </c>
      <c r="P1092">
        <f>IF(N1092=1,COUNTIF($O$4:$O$2003,"&lt;"&amp;O1092)+1,"")</f>
        <v/>
      </c>
      <c r="Q1092">
        <f>IF(OR($R1091="",$R1091="T"),"",IF($R1091="B",$Q1091,IF($Q1091+1&gt;$K$3,"",$Q1091+1)))</f>
        <v/>
      </c>
      <c r="R1092">
        <f>IF(OR($R1091="",$R1091="T"),"",IF($R1091="B","S",IF($Q1091+1&gt;$K$3,"T",IF(INDEX($M$4:$M$2003,MATCH($Q1091+1,$P$4:$P$2003,0))&lt;&gt;INDEX($M$4:$M$2003,MATCH($Q1091,$P$4:$P$2003,0)),"B","S"))))</f>
        <v/>
      </c>
      <c r="S1092">
        <f>IF(Q1092="","",IFERROR(MATCH(Q1092,$P$4:$P$2003,0),""))</f>
        <v/>
      </c>
    </row>
    <row r="1093">
      <c r="A1093" s="4">
        <f>IF($R1093="","",IF($R1093="T","Gesamtergebnis",IF($R1093="B",INDEX($M$4:$M$2003,$S1093),INDEX($L$4:$L$2003,$S1093))))</f>
        <v/>
      </c>
      <c r="B1093" s="4">
        <f>IF($R1093="","",IF($R1093="T",$K$3,IF($R1093="B",COUNTIFS($M$4:$M$2003,INDEX($M$4:$M$2003,$S1093),$N$4:$N$2003,1),1)))</f>
        <v/>
      </c>
      <c r="L1093">
        <f>IF($K$1="","",IFERROR(INDEX(Lines!$A:$AA,ROW()-2,$K$1),""))</f>
        <v/>
      </c>
      <c r="M1093">
        <f>IF($K$2="","",IFERROR(INDEX(Lines!$A:$AA,ROW()-2,$K$2),""))</f>
        <v/>
      </c>
      <c r="N1093">
        <f>IF(AND(L1093&lt;&gt;"",LEFT(L1093,1)="N",M1093&lt;&gt;"PICKING",M1093&lt;&gt;""),1,0)</f>
        <v/>
      </c>
      <c r="O1093">
        <f>IF(N1093=1,M1093&amp;"|"&amp;L1093,REPT("z",40))</f>
        <v/>
      </c>
      <c r="P1093">
        <f>IF(N1093=1,COUNTIF($O$4:$O$2003,"&lt;"&amp;O1093)+1,"")</f>
        <v/>
      </c>
      <c r="Q1093">
        <f>IF(OR($R1092="",$R1092="T"),"",IF($R1092="B",$Q1092,IF($Q1092+1&gt;$K$3,"",$Q1092+1)))</f>
        <v/>
      </c>
      <c r="R1093">
        <f>IF(OR($R1092="",$R1092="T"),"",IF($R1092="B","S",IF($Q1092+1&gt;$K$3,"T",IF(INDEX($M$4:$M$2003,MATCH($Q1092+1,$P$4:$P$2003,0))&lt;&gt;INDEX($M$4:$M$2003,MATCH($Q1092,$P$4:$P$2003,0)),"B","S"))))</f>
        <v/>
      </c>
      <c r="S1093">
        <f>IF(Q1093="","",IFERROR(MATCH(Q1093,$P$4:$P$2003,0),""))</f>
        <v/>
      </c>
    </row>
    <row r="1094">
      <c r="A1094" s="4">
        <f>IF($R1094="","",IF($R1094="T","Gesamtergebnis",IF($R1094="B",INDEX($M$4:$M$2003,$S1094),INDEX($L$4:$L$2003,$S1094))))</f>
        <v/>
      </c>
      <c r="B1094" s="4">
        <f>IF($R1094="","",IF($R1094="T",$K$3,IF($R1094="B",COUNTIFS($M$4:$M$2003,INDEX($M$4:$M$2003,$S1094),$N$4:$N$2003,1),1)))</f>
        <v/>
      </c>
      <c r="L1094">
        <f>IF($K$1="","",IFERROR(INDEX(Lines!$A:$AA,ROW()-2,$K$1),""))</f>
        <v/>
      </c>
      <c r="M1094">
        <f>IF($K$2="","",IFERROR(INDEX(Lines!$A:$AA,ROW()-2,$K$2),""))</f>
        <v/>
      </c>
      <c r="N1094">
        <f>IF(AND(L1094&lt;&gt;"",LEFT(L1094,1)="N",M1094&lt;&gt;"PICKING",M1094&lt;&gt;""),1,0)</f>
        <v/>
      </c>
      <c r="O1094">
        <f>IF(N1094=1,M1094&amp;"|"&amp;L1094,REPT("z",40))</f>
        <v/>
      </c>
      <c r="P1094">
        <f>IF(N1094=1,COUNTIF($O$4:$O$2003,"&lt;"&amp;O1094)+1,"")</f>
        <v/>
      </c>
      <c r="Q1094">
        <f>IF(OR($R1093="",$R1093="T"),"",IF($R1093="B",$Q1093,IF($Q1093+1&gt;$K$3,"",$Q1093+1)))</f>
        <v/>
      </c>
      <c r="R1094">
        <f>IF(OR($R1093="",$R1093="T"),"",IF($R1093="B","S",IF($Q1093+1&gt;$K$3,"T",IF(INDEX($M$4:$M$2003,MATCH($Q1093+1,$P$4:$P$2003,0))&lt;&gt;INDEX($M$4:$M$2003,MATCH($Q1093,$P$4:$P$2003,0)),"B","S"))))</f>
        <v/>
      </c>
      <c r="S1094">
        <f>IF(Q1094="","",IFERROR(MATCH(Q1094,$P$4:$P$2003,0),""))</f>
        <v/>
      </c>
    </row>
    <row r="1095">
      <c r="A1095" s="4">
        <f>IF($R1095="","",IF($R1095="T","Gesamtergebnis",IF($R1095="B",INDEX($M$4:$M$2003,$S1095),INDEX($L$4:$L$2003,$S1095))))</f>
        <v/>
      </c>
      <c r="B1095" s="4">
        <f>IF($R1095="","",IF($R1095="T",$K$3,IF($R1095="B",COUNTIFS($M$4:$M$2003,INDEX($M$4:$M$2003,$S1095),$N$4:$N$2003,1),1)))</f>
        <v/>
      </c>
      <c r="L1095">
        <f>IF($K$1="","",IFERROR(INDEX(Lines!$A:$AA,ROW()-2,$K$1),""))</f>
        <v/>
      </c>
      <c r="M1095">
        <f>IF($K$2="","",IFERROR(INDEX(Lines!$A:$AA,ROW()-2,$K$2),""))</f>
        <v/>
      </c>
      <c r="N1095">
        <f>IF(AND(L1095&lt;&gt;"",LEFT(L1095,1)="N",M1095&lt;&gt;"PICKING",M1095&lt;&gt;""),1,0)</f>
        <v/>
      </c>
      <c r="O1095">
        <f>IF(N1095=1,M1095&amp;"|"&amp;L1095,REPT("z",40))</f>
        <v/>
      </c>
      <c r="P1095">
        <f>IF(N1095=1,COUNTIF($O$4:$O$2003,"&lt;"&amp;O1095)+1,"")</f>
        <v/>
      </c>
      <c r="Q1095">
        <f>IF(OR($R1094="",$R1094="T"),"",IF($R1094="B",$Q1094,IF($Q1094+1&gt;$K$3,"",$Q1094+1)))</f>
        <v/>
      </c>
      <c r="R1095">
        <f>IF(OR($R1094="",$R1094="T"),"",IF($R1094="B","S",IF($Q1094+1&gt;$K$3,"T",IF(INDEX($M$4:$M$2003,MATCH($Q1094+1,$P$4:$P$2003,0))&lt;&gt;INDEX($M$4:$M$2003,MATCH($Q1094,$P$4:$P$2003,0)),"B","S"))))</f>
        <v/>
      </c>
      <c r="S1095">
        <f>IF(Q1095="","",IFERROR(MATCH(Q1095,$P$4:$P$2003,0),""))</f>
        <v/>
      </c>
    </row>
    <row r="1096">
      <c r="A1096" s="4">
        <f>IF($R1096="","",IF($R1096="T","Gesamtergebnis",IF($R1096="B",INDEX($M$4:$M$2003,$S1096),INDEX($L$4:$L$2003,$S1096))))</f>
        <v/>
      </c>
      <c r="B1096" s="4">
        <f>IF($R1096="","",IF($R1096="T",$K$3,IF($R1096="B",COUNTIFS($M$4:$M$2003,INDEX($M$4:$M$2003,$S1096),$N$4:$N$2003,1),1)))</f>
        <v/>
      </c>
      <c r="L1096">
        <f>IF($K$1="","",IFERROR(INDEX(Lines!$A:$AA,ROW()-2,$K$1),""))</f>
        <v/>
      </c>
      <c r="M1096">
        <f>IF($K$2="","",IFERROR(INDEX(Lines!$A:$AA,ROW()-2,$K$2),""))</f>
        <v/>
      </c>
      <c r="N1096">
        <f>IF(AND(L1096&lt;&gt;"",LEFT(L1096,1)="N",M1096&lt;&gt;"PICKING",M1096&lt;&gt;""),1,0)</f>
        <v/>
      </c>
      <c r="O1096">
        <f>IF(N1096=1,M1096&amp;"|"&amp;L1096,REPT("z",40))</f>
        <v/>
      </c>
      <c r="P1096">
        <f>IF(N1096=1,COUNTIF($O$4:$O$2003,"&lt;"&amp;O1096)+1,"")</f>
        <v/>
      </c>
      <c r="Q1096">
        <f>IF(OR($R1095="",$R1095="T"),"",IF($R1095="B",$Q1095,IF($Q1095+1&gt;$K$3,"",$Q1095+1)))</f>
        <v/>
      </c>
      <c r="R1096">
        <f>IF(OR($R1095="",$R1095="T"),"",IF($R1095="B","S",IF($Q1095+1&gt;$K$3,"T",IF(INDEX($M$4:$M$2003,MATCH($Q1095+1,$P$4:$P$2003,0))&lt;&gt;INDEX($M$4:$M$2003,MATCH($Q1095,$P$4:$P$2003,0)),"B","S"))))</f>
        <v/>
      </c>
      <c r="S1096">
        <f>IF(Q1096="","",IFERROR(MATCH(Q1096,$P$4:$P$2003,0),""))</f>
        <v/>
      </c>
    </row>
    <row r="1097">
      <c r="A1097" s="4">
        <f>IF($R1097="","",IF($R1097="T","Gesamtergebnis",IF($R1097="B",INDEX($M$4:$M$2003,$S1097),INDEX($L$4:$L$2003,$S1097))))</f>
        <v/>
      </c>
      <c r="B1097" s="4">
        <f>IF($R1097="","",IF($R1097="T",$K$3,IF($R1097="B",COUNTIFS($M$4:$M$2003,INDEX($M$4:$M$2003,$S1097),$N$4:$N$2003,1),1)))</f>
        <v/>
      </c>
      <c r="L1097">
        <f>IF($K$1="","",IFERROR(INDEX(Lines!$A:$AA,ROW()-2,$K$1),""))</f>
        <v/>
      </c>
      <c r="M1097">
        <f>IF($K$2="","",IFERROR(INDEX(Lines!$A:$AA,ROW()-2,$K$2),""))</f>
        <v/>
      </c>
      <c r="N1097">
        <f>IF(AND(L1097&lt;&gt;"",LEFT(L1097,1)="N",M1097&lt;&gt;"PICKING",M1097&lt;&gt;""),1,0)</f>
        <v/>
      </c>
      <c r="O1097">
        <f>IF(N1097=1,M1097&amp;"|"&amp;L1097,REPT("z",40))</f>
        <v/>
      </c>
      <c r="P1097">
        <f>IF(N1097=1,COUNTIF($O$4:$O$2003,"&lt;"&amp;O1097)+1,"")</f>
        <v/>
      </c>
      <c r="Q1097">
        <f>IF(OR($R1096="",$R1096="T"),"",IF($R1096="B",$Q1096,IF($Q1096+1&gt;$K$3,"",$Q1096+1)))</f>
        <v/>
      </c>
      <c r="R1097">
        <f>IF(OR($R1096="",$R1096="T"),"",IF($R1096="B","S",IF($Q1096+1&gt;$K$3,"T",IF(INDEX($M$4:$M$2003,MATCH($Q1096+1,$P$4:$P$2003,0))&lt;&gt;INDEX($M$4:$M$2003,MATCH($Q1096,$P$4:$P$2003,0)),"B","S"))))</f>
        <v/>
      </c>
      <c r="S1097">
        <f>IF(Q1097="","",IFERROR(MATCH(Q1097,$P$4:$P$2003,0),""))</f>
        <v/>
      </c>
    </row>
    <row r="1098">
      <c r="A1098" s="4">
        <f>IF($R1098="","",IF($R1098="T","Gesamtergebnis",IF($R1098="B",INDEX($M$4:$M$2003,$S1098),INDEX($L$4:$L$2003,$S1098))))</f>
        <v/>
      </c>
      <c r="B1098" s="4">
        <f>IF($R1098="","",IF($R1098="T",$K$3,IF($R1098="B",COUNTIFS($M$4:$M$2003,INDEX($M$4:$M$2003,$S1098),$N$4:$N$2003,1),1)))</f>
        <v/>
      </c>
      <c r="L1098">
        <f>IF($K$1="","",IFERROR(INDEX(Lines!$A:$AA,ROW()-2,$K$1),""))</f>
        <v/>
      </c>
      <c r="M1098">
        <f>IF($K$2="","",IFERROR(INDEX(Lines!$A:$AA,ROW()-2,$K$2),""))</f>
        <v/>
      </c>
      <c r="N1098">
        <f>IF(AND(L1098&lt;&gt;"",LEFT(L1098,1)="N",M1098&lt;&gt;"PICKING",M1098&lt;&gt;""),1,0)</f>
        <v/>
      </c>
      <c r="O1098">
        <f>IF(N1098=1,M1098&amp;"|"&amp;L1098,REPT("z",40))</f>
        <v/>
      </c>
      <c r="P1098">
        <f>IF(N1098=1,COUNTIF($O$4:$O$2003,"&lt;"&amp;O1098)+1,"")</f>
        <v/>
      </c>
      <c r="Q1098">
        <f>IF(OR($R1097="",$R1097="T"),"",IF($R1097="B",$Q1097,IF($Q1097+1&gt;$K$3,"",$Q1097+1)))</f>
        <v/>
      </c>
      <c r="R1098">
        <f>IF(OR($R1097="",$R1097="T"),"",IF($R1097="B","S",IF($Q1097+1&gt;$K$3,"T",IF(INDEX($M$4:$M$2003,MATCH($Q1097+1,$P$4:$P$2003,0))&lt;&gt;INDEX($M$4:$M$2003,MATCH($Q1097,$P$4:$P$2003,0)),"B","S"))))</f>
        <v/>
      </c>
      <c r="S1098">
        <f>IF(Q1098="","",IFERROR(MATCH(Q1098,$P$4:$P$2003,0),""))</f>
        <v/>
      </c>
    </row>
    <row r="1099">
      <c r="A1099" s="4">
        <f>IF($R1099="","",IF($R1099="T","Gesamtergebnis",IF($R1099="B",INDEX($M$4:$M$2003,$S1099),INDEX($L$4:$L$2003,$S1099))))</f>
        <v/>
      </c>
      <c r="B1099" s="4">
        <f>IF($R1099="","",IF($R1099="T",$K$3,IF($R1099="B",COUNTIFS($M$4:$M$2003,INDEX($M$4:$M$2003,$S1099),$N$4:$N$2003,1),1)))</f>
        <v/>
      </c>
      <c r="L1099">
        <f>IF($K$1="","",IFERROR(INDEX(Lines!$A:$AA,ROW()-2,$K$1),""))</f>
        <v/>
      </c>
      <c r="M1099">
        <f>IF($K$2="","",IFERROR(INDEX(Lines!$A:$AA,ROW()-2,$K$2),""))</f>
        <v/>
      </c>
      <c r="N1099">
        <f>IF(AND(L1099&lt;&gt;"",LEFT(L1099,1)="N",M1099&lt;&gt;"PICKING",M1099&lt;&gt;""),1,0)</f>
        <v/>
      </c>
      <c r="O1099">
        <f>IF(N1099=1,M1099&amp;"|"&amp;L1099,REPT("z",40))</f>
        <v/>
      </c>
      <c r="P1099">
        <f>IF(N1099=1,COUNTIF($O$4:$O$2003,"&lt;"&amp;O1099)+1,"")</f>
        <v/>
      </c>
      <c r="Q1099">
        <f>IF(OR($R1098="",$R1098="T"),"",IF($R1098="B",$Q1098,IF($Q1098+1&gt;$K$3,"",$Q1098+1)))</f>
        <v/>
      </c>
      <c r="R1099">
        <f>IF(OR($R1098="",$R1098="T"),"",IF($R1098="B","S",IF($Q1098+1&gt;$K$3,"T",IF(INDEX($M$4:$M$2003,MATCH($Q1098+1,$P$4:$P$2003,0))&lt;&gt;INDEX($M$4:$M$2003,MATCH($Q1098,$P$4:$P$2003,0)),"B","S"))))</f>
        <v/>
      </c>
      <c r="S1099">
        <f>IF(Q1099="","",IFERROR(MATCH(Q1099,$P$4:$P$2003,0),""))</f>
        <v/>
      </c>
    </row>
    <row r="1100">
      <c r="A1100" s="4">
        <f>IF($R1100="","",IF($R1100="T","Gesamtergebnis",IF($R1100="B",INDEX($M$4:$M$2003,$S1100),INDEX($L$4:$L$2003,$S1100))))</f>
        <v/>
      </c>
      <c r="B1100" s="4">
        <f>IF($R1100="","",IF($R1100="T",$K$3,IF($R1100="B",COUNTIFS($M$4:$M$2003,INDEX($M$4:$M$2003,$S1100),$N$4:$N$2003,1),1)))</f>
        <v/>
      </c>
      <c r="L1100">
        <f>IF($K$1="","",IFERROR(INDEX(Lines!$A:$AA,ROW()-2,$K$1),""))</f>
        <v/>
      </c>
      <c r="M1100">
        <f>IF($K$2="","",IFERROR(INDEX(Lines!$A:$AA,ROW()-2,$K$2),""))</f>
        <v/>
      </c>
      <c r="N1100">
        <f>IF(AND(L1100&lt;&gt;"",LEFT(L1100,1)="N",M1100&lt;&gt;"PICKING",M1100&lt;&gt;""),1,0)</f>
        <v/>
      </c>
      <c r="O1100">
        <f>IF(N1100=1,M1100&amp;"|"&amp;L1100,REPT("z",40))</f>
        <v/>
      </c>
      <c r="P1100">
        <f>IF(N1100=1,COUNTIF($O$4:$O$2003,"&lt;"&amp;O1100)+1,"")</f>
        <v/>
      </c>
      <c r="Q1100">
        <f>IF(OR($R1099="",$R1099="T"),"",IF($R1099="B",$Q1099,IF($Q1099+1&gt;$K$3,"",$Q1099+1)))</f>
        <v/>
      </c>
      <c r="R1100">
        <f>IF(OR($R1099="",$R1099="T"),"",IF($R1099="B","S",IF($Q1099+1&gt;$K$3,"T",IF(INDEX($M$4:$M$2003,MATCH($Q1099+1,$P$4:$P$2003,0))&lt;&gt;INDEX($M$4:$M$2003,MATCH($Q1099,$P$4:$P$2003,0)),"B","S"))))</f>
        <v/>
      </c>
      <c r="S1100">
        <f>IF(Q1100="","",IFERROR(MATCH(Q1100,$P$4:$P$2003,0),""))</f>
        <v/>
      </c>
    </row>
    <row r="1101">
      <c r="A1101" s="4">
        <f>IF($R1101="","",IF($R1101="T","Gesamtergebnis",IF($R1101="B",INDEX($M$4:$M$2003,$S1101),INDEX($L$4:$L$2003,$S1101))))</f>
        <v/>
      </c>
      <c r="B1101" s="4">
        <f>IF($R1101="","",IF($R1101="T",$K$3,IF($R1101="B",COUNTIFS($M$4:$M$2003,INDEX($M$4:$M$2003,$S1101),$N$4:$N$2003,1),1)))</f>
        <v/>
      </c>
      <c r="L1101">
        <f>IF($K$1="","",IFERROR(INDEX(Lines!$A:$AA,ROW()-2,$K$1),""))</f>
        <v/>
      </c>
      <c r="M1101">
        <f>IF($K$2="","",IFERROR(INDEX(Lines!$A:$AA,ROW()-2,$K$2),""))</f>
        <v/>
      </c>
      <c r="N1101">
        <f>IF(AND(L1101&lt;&gt;"",LEFT(L1101,1)="N",M1101&lt;&gt;"PICKING",M1101&lt;&gt;""),1,0)</f>
        <v/>
      </c>
      <c r="O1101">
        <f>IF(N1101=1,M1101&amp;"|"&amp;L1101,REPT("z",40))</f>
        <v/>
      </c>
      <c r="P1101">
        <f>IF(N1101=1,COUNTIF($O$4:$O$2003,"&lt;"&amp;O1101)+1,"")</f>
        <v/>
      </c>
      <c r="Q1101">
        <f>IF(OR($R1100="",$R1100="T"),"",IF($R1100="B",$Q1100,IF($Q1100+1&gt;$K$3,"",$Q1100+1)))</f>
        <v/>
      </c>
      <c r="R1101">
        <f>IF(OR($R1100="",$R1100="T"),"",IF($R1100="B","S",IF($Q1100+1&gt;$K$3,"T",IF(INDEX($M$4:$M$2003,MATCH($Q1100+1,$P$4:$P$2003,0))&lt;&gt;INDEX($M$4:$M$2003,MATCH($Q1100,$P$4:$P$2003,0)),"B","S"))))</f>
        <v/>
      </c>
      <c r="S1101">
        <f>IF(Q1101="","",IFERROR(MATCH(Q1101,$P$4:$P$2003,0),""))</f>
        <v/>
      </c>
    </row>
    <row r="1102">
      <c r="A1102" s="4">
        <f>IF($R1102="","",IF($R1102="T","Gesamtergebnis",IF($R1102="B",INDEX($M$4:$M$2003,$S1102),INDEX($L$4:$L$2003,$S1102))))</f>
        <v/>
      </c>
      <c r="B1102" s="4">
        <f>IF($R1102="","",IF($R1102="T",$K$3,IF($R1102="B",COUNTIFS($M$4:$M$2003,INDEX($M$4:$M$2003,$S1102),$N$4:$N$2003,1),1)))</f>
        <v/>
      </c>
      <c r="L1102">
        <f>IF($K$1="","",IFERROR(INDEX(Lines!$A:$AA,ROW()-2,$K$1),""))</f>
        <v/>
      </c>
      <c r="M1102">
        <f>IF($K$2="","",IFERROR(INDEX(Lines!$A:$AA,ROW()-2,$K$2),""))</f>
        <v/>
      </c>
      <c r="N1102">
        <f>IF(AND(L1102&lt;&gt;"",LEFT(L1102,1)="N",M1102&lt;&gt;"PICKING",M1102&lt;&gt;""),1,0)</f>
        <v/>
      </c>
      <c r="O1102">
        <f>IF(N1102=1,M1102&amp;"|"&amp;L1102,REPT("z",40))</f>
        <v/>
      </c>
      <c r="P1102">
        <f>IF(N1102=1,COUNTIF($O$4:$O$2003,"&lt;"&amp;O1102)+1,"")</f>
        <v/>
      </c>
      <c r="Q1102">
        <f>IF(OR($R1101="",$R1101="T"),"",IF($R1101="B",$Q1101,IF($Q1101+1&gt;$K$3,"",$Q1101+1)))</f>
        <v/>
      </c>
      <c r="R1102">
        <f>IF(OR($R1101="",$R1101="T"),"",IF($R1101="B","S",IF($Q1101+1&gt;$K$3,"T",IF(INDEX($M$4:$M$2003,MATCH($Q1101+1,$P$4:$P$2003,0))&lt;&gt;INDEX($M$4:$M$2003,MATCH($Q1101,$P$4:$P$2003,0)),"B","S"))))</f>
        <v/>
      </c>
      <c r="S1102">
        <f>IF(Q1102="","",IFERROR(MATCH(Q1102,$P$4:$P$2003,0),""))</f>
        <v/>
      </c>
    </row>
    <row r="1103">
      <c r="A1103" s="4">
        <f>IF($R1103="","",IF($R1103="T","Gesamtergebnis",IF($R1103="B",INDEX($M$4:$M$2003,$S1103),INDEX($L$4:$L$2003,$S1103))))</f>
        <v/>
      </c>
      <c r="B1103" s="4">
        <f>IF($R1103="","",IF($R1103="T",$K$3,IF($R1103="B",COUNTIFS($M$4:$M$2003,INDEX($M$4:$M$2003,$S1103),$N$4:$N$2003,1),1)))</f>
        <v/>
      </c>
      <c r="L1103">
        <f>IF($K$1="","",IFERROR(INDEX(Lines!$A:$AA,ROW()-2,$K$1),""))</f>
        <v/>
      </c>
      <c r="M1103">
        <f>IF($K$2="","",IFERROR(INDEX(Lines!$A:$AA,ROW()-2,$K$2),""))</f>
        <v/>
      </c>
      <c r="N1103">
        <f>IF(AND(L1103&lt;&gt;"",LEFT(L1103,1)="N",M1103&lt;&gt;"PICKING",M1103&lt;&gt;""),1,0)</f>
        <v/>
      </c>
      <c r="O1103">
        <f>IF(N1103=1,M1103&amp;"|"&amp;L1103,REPT("z",40))</f>
        <v/>
      </c>
      <c r="P1103">
        <f>IF(N1103=1,COUNTIF($O$4:$O$2003,"&lt;"&amp;O1103)+1,"")</f>
        <v/>
      </c>
      <c r="Q1103">
        <f>IF(OR($R1102="",$R1102="T"),"",IF($R1102="B",$Q1102,IF($Q1102+1&gt;$K$3,"",$Q1102+1)))</f>
        <v/>
      </c>
      <c r="R1103">
        <f>IF(OR($R1102="",$R1102="T"),"",IF($R1102="B","S",IF($Q1102+1&gt;$K$3,"T",IF(INDEX($M$4:$M$2003,MATCH($Q1102+1,$P$4:$P$2003,0))&lt;&gt;INDEX($M$4:$M$2003,MATCH($Q1102,$P$4:$P$2003,0)),"B","S"))))</f>
        <v/>
      </c>
      <c r="S1103">
        <f>IF(Q1103="","",IFERROR(MATCH(Q1103,$P$4:$P$2003,0),""))</f>
        <v/>
      </c>
    </row>
    <row r="1104">
      <c r="A1104" s="4">
        <f>IF($R1104="","",IF($R1104="T","Gesamtergebnis",IF($R1104="B",INDEX($M$4:$M$2003,$S1104),INDEX($L$4:$L$2003,$S1104))))</f>
        <v/>
      </c>
      <c r="B1104" s="4">
        <f>IF($R1104="","",IF($R1104="T",$K$3,IF($R1104="B",COUNTIFS($M$4:$M$2003,INDEX($M$4:$M$2003,$S1104),$N$4:$N$2003,1),1)))</f>
        <v/>
      </c>
      <c r="L1104">
        <f>IF($K$1="","",IFERROR(INDEX(Lines!$A:$AA,ROW()-2,$K$1),""))</f>
        <v/>
      </c>
      <c r="M1104">
        <f>IF($K$2="","",IFERROR(INDEX(Lines!$A:$AA,ROW()-2,$K$2),""))</f>
        <v/>
      </c>
      <c r="N1104">
        <f>IF(AND(L1104&lt;&gt;"",LEFT(L1104,1)="N",M1104&lt;&gt;"PICKING",M1104&lt;&gt;""),1,0)</f>
        <v/>
      </c>
      <c r="O1104">
        <f>IF(N1104=1,M1104&amp;"|"&amp;L1104,REPT("z",40))</f>
        <v/>
      </c>
      <c r="P1104">
        <f>IF(N1104=1,COUNTIF($O$4:$O$2003,"&lt;"&amp;O1104)+1,"")</f>
        <v/>
      </c>
      <c r="Q1104">
        <f>IF(OR($R1103="",$R1103="T"),"",IF($R1103="B",$Q1103,IF($Q1103+1&gt;$K$3,"",$Q1103+1)))</f>
        <v/>
      </c>
      <c r="R1104">
        <f>IF(OR($R1103="",$R1103="T"),"",IF($R1103="B","S",IF($Q1103+1&gt;$K$3,"T",IF(INDEX($M$4:$M$2003,MATCH($Q1103+1,$P$4:$P$2003,0))&lt;&gt;INDEX($M$4:$M$2003,MATCH($Q1103,$P$4:$P$2003,0)),"B","S"))))</f>
        <v/>
      </c>
      <c r="S1104">
        <f>IF(Q1104="","",IFERROR(MATCH(Q1104,$P$4:$P$2003,0),""))</f>
        <v/>
      </c>
    </row>
    <row r="1105">
      <c r="A1105" s="4">
        <f>IF($R1105="","",IF($R1105="T","Gesamtergebnis",IF($R1105="B",INDEX($M$4:$M$2003,$S1105),INDEX($L$4:$L$2003,$S1105))))</f>
        <v/>
      </c>
      <c r="B1105" s="4">
        <f>IF($R1105="","",IF($R1105="T",$K$3,IF($R1105="B",COUNTIFS($M$4:$M$2003,INDEX($M$4:$M$2003,$S1105),$N$4:$N$2003,1),1)))</f>
        <v/>
      </c>
      <c r="L1105">
        <f>IF($K$1="","",IFERROR(INDEX(Lines!$A:$AA,ROW()-2,$K$1),""))</f>
        <v/>
      </c>
      <c r="M1105">
        <f>IF($K$2="","",IFERROR(INDEX(Lines!$A:$AA,ROW()-2,$K$2),""))</f>
        <v/>
      </c>
      <c r="N1105">
        <f>IF(AND(L1105&lt;&gt;"",LEFT(L1105,1)="N",M1105&lt;&gt;"PICKING",M1105&lt;&gt;""),1,0)</f>
        <v/>
      </c>
      <c r="O1105">
        <f>IF(N1105=1,M1105&amp;"|"&amp;L1105,REPT("z",40))</f>
        <v/>
      </c>
      <c r="P1105">
        <f>IF(N1105=1,COUNTIF($O$4:$O$2003,"&lt;"&amp;O1105)+1,"")</f>
        <v/>
      </c>
      <c r="Q1105">
        <f>IF(OR($R1104="",$R1104="T"),"",IF($R1104="B",$Q1104,IF($Q1104+1&gt;$K$3,"",$Q1104+1)))</f>
        <v/>
      </c>
      <c r="R1105">
        <f>IF(OR($R1104="",$R1104="T"),"",IF($R1104="B","S",IF($Q1104+1&gt;$K$3,"T",IF(INDEX($M$4:$M$2003,MATCH($Q1104+1,$P$4:$P$2003,0))&lt;&gt;INDEX($M$4:$M$2003,MATCH($Q1104,$P$4:$P$2003,0)),"B","S"))))</f>
        <v/>
      </c>
      <c r="S1105">
        <f>IF(Q1105="","",IFERROR(MATCH(Q1105,$P$4:$P$2003,0),""))</f>
        <v/>
      </c>
    </row>
    <row r="1106">
      <c r="A1106" s="4">
        <f>IF($R1106="","",IF($R1106="T","Gesamtergebnis",IF($R1106="B",INDEX($M$4:$M$2003,$S1106),INDEX($L$4:$L$2003,$S1106))))</f>
        <v/>
      </c>
      <c r="B1106" s="4">
        <f>IF($R1106="","",IF($R1106="T",$K$3,IF($R1106="B",COUNTIFS($M$4:$M$2003,INDEX($M$4:$M$2003,$S1106),$N$4:$N$2003,1),1)))</f>
        <v/>
      </c>
      <c r="L1106">
        <f>IF($K$1="","",IFERROR(INDEX(Lines!$A:$AA,ROW()-2,$K$1),""))</f>
        <v/>
      </c>
      <c r="M1106">
        <f>IF($K$2="","",IFERROR(INDEX(Lines!$A:$AA,ROW()-2,$K$2),""))</f>
        <v/>
      </c>
      <c r="N1106">
        <f>IF(AND(L1106&lt;&gt;"",LEFT(L1106,1)="N",M1106&lt;&gt;"PICKING",M1106&lt;&gt;""),1,0)</f>
        <v/>
      </c>
      <c r="O1106">
        <f>IF(N1106=1,M1106&amp;"|"&amp;L1106,REPT("z",40))</f>
        <v/>
      </c>
      <c r="P1106">
        <f>IF(N1106=1,COUNTIF($O$4:$O$2003,"&lt;"&amp;O1106)+1,"")</f>
        <v/>
      </c>
      <c r="Q1106">
        <f>IF(OR($R1105="",$R1105="T"),"",IF($R1105="B",$Q1105,IF($Q1105+1&gt;$K$3,"",$Q1105+1)))</f>
        <v/>
      </c>
      <c r="R1106">
        <f>IF(OR($R1105="",$R1105="T"),"",IF($R1105="B","S",IF($Q1105+1&gt;$K$3,"T",IF(INDEX($M$4:$M$2003,MATCH($Q1105+1,$P$4:$P$2003,0))&lt;&gt;INDEX($M$4:$M$2003,MATCH($Q1105,$P$4:$P$2003,0)),"B","S"))))</f>
        <v/>
      </c>
      <c r="S1106">
        <f>IF(Q1106="","",IFERROR(MATCH(Q1106,$P$4:$P$2003,0),""))</f>
        <v/>
      </c>
    </row>
    <row r="1107">
      <c r="A1107" s="4">
        <f>IF($R1107="","",IF($R1107="T","Gesamtergebnis",IF($R1107="B",INDEX($M$4:$M$2003,$S1107),INDEX($L$4:$L$2003,$S1107))))</f>
        <v/>
      </c>
      <c r="B1107" s="4">
        <f>IF($R1107="","",IF($R1107="T",$K$3,IF($R1107="B",COUNTIFS($M$4:$M$2003,INDEX($M$4:$M$2003,$S1107),$N$4:$N$2003,1),1)))</f>
        <v/>
      </c>
      <c r="L1107">
        <f>IF($K$1="","",IFERROR(INDEX(Lines!$A:$AA,ROW()-2,$K$1),""))</f>
        <v/>
      </c>
      <c r="M1107">
        <f>IF($K$2="","",IFERROR(INDEX(Lines!$A:$AA,ROW()-2,$K$2),""))</f>
        <v/>
      </c>
      <c r="N1107">
        <f>IF(AND(L1107&lt;&gt;"",LEFT(L1107,1)="N",M1107&lt;&gt;"PICKING",M1107&lt;&gt;""),1,0)</f>
        <v/>
      </c>
      <c r="O1107">
        <f>IF(N1107=1,M1107&amp;"|"&amp;L1107,REPT("z",40))</f>
        <v/>
      </c>
      <c r="P1107">
        <f>IF(N1107=1,COUNTIF($O$4:$O$2003,"&lt;"&amp;O1107)+1,"")</f>
        <v/>
      </c>
      <c r="Q1107">
        <f>IF(OR($R1106="",$R1106="T"),"",IF($R1106="B",$Q1106,IF($Q1106+1&gt;$K$3,"",$Q1106+1)))</f>
        <v/>
      </c>
      <c r="R1107">
        <f>IF(OR($R1106="",$R1106="T"),"",IF($R1106="B","S",IF($Q1106+1&gt;$K$3,"T",IF(INDEX($M$4:$M$2003,MATCH($Q1106+1,$P$4:$P$2003,0))&lt;&gt;INDEX($M$4:$M$2003,MATCH($Q1106,$P$4:$P$2003,0)),"B","S"))))</f>
        <v/>
      </c>
      <c r="S1107">
        <f>IF(Q1107="","",IFERROR(MATCH(Q1107,$P$4:$P$2003,0),""))</f>
        <v/>
      </c>
    </row>
    <row r="1108">
      <c r="A1108" s="4">
        <f>IF($R1108="","",IF($R1108="T","Gesamtergebnis",IF($R1108="B",INDEX($M$4:$M$2003,$S1108),INDEX($L$4:$L$2003,$S1108))))</f>
        <v/>
      </c>
      <c r="B1108" s="4">
        <f>IF($R1108="","",IF($R1108="T",$K$3,IF($R1108="B",COUNTIFS($M$4:$M$2003,INDEX($M$4:$M$2003,$S1108),$N$4:$N$2003,1),1)))</f>
        <v/>
      </c>
      <c r="L1108">
        <f>IF($K$1="","",IFERROR(INDEX(Lines!$A:$AA,ROW()-2,$K$1),""))</f>
        <v/>
      </c>
      <c r="M1108">
        <f>IF($K$2="","",IFERROR(INDEX(Lines!$A:$AA,ROW()-2,$K$2),""))</f>
        <v/>
      </c>
      <c r="N1108">
        <f>IF(AND(L1108&lt;&gt;"",LEFT(L1108,1)="N",M1108&lt;&gt;"PICKING",M1108&lt;&gt;""),1,0)</f>
        <v/>
      </c>
      <c r="O1108">
        <f>IF(N1108=1,M1108&amp;"|"&amp;L1108,REPT("z",40))</f>
        <v/>
      </c>
      <c r="P1108">
        <f>IF(N1108=1,COUNTIF($O$4:$O$2003,"&lt;"&amp;O1108)+1,"")</f>
        <v/>
      </c>
      <c r="Q1108">
        <f>IF(OR($R1107="",$R1107="T"),"",IF($R1107="B",$Q1107,IF($Q1107+1&gt;$K$3,"",$Q1107+1)))</f>
        <v/>
      </c>
      <c r="R1108">
        <f>IF(OR($R1107="",$R1107="T"),"",IF($R1107="B","S",IF($Q1107+1&gt;$K$3,"T",IF(INDEX($M$4:$M$2003,MATCH($Q1107+1,$P$4:$P$2003,0))&lt;&gt;INDEX($M$4:$M$2003,MATCH($Q1107,$P$4:$P$2003,0)),"B","S"))))</f>
        <v/>
      </c>
      <c r="S1108">
        <f>IF(Q1108="","",IFERROR(MATCH(Q1108,$P$4:$P$2003,0),""))</f>
        <v/>
      </c>
    </row>
    <row r="1109">
      <c r="A1109" s="4">
        <f>IF($R1109="","",IF($R1109="T","Gesamtergebnis",IF($R1109="B",INDEX($M$4:$M$2003,$S1109),INDEX($L$4:$L$2003,$S1109))))</f>
        <v/>
      </c>
      <c r="B1109" s="4">
        <f>IF($R1109="","",IF($R1109="T",$K$3,IF($R1109="B",COUNTIFS($M$4:$M$2003,INDEX($M$4:$M$2003,$S1109),$N$4:$N$2003,1),1)))</f>
        <v/>
      </c>
      <c r="L1109">
        <f>IF($K$1="","",IFERROR(INDEX(Lines!$A:$AA,ROW()-2,$K$1),""))</f>
        <v/>
      </c>
      <c r="M1109">
        <f>IF($K$2="","",IFERROR(INDEX(Lines!$A:$AA,ROW()-2,$K$2),""))</f>
        <v/>
      </c>
      <c r="N1109">
        <f>IF(AND(L1109&lt;&gt;"",LEFT(L1109,1)="N",M1109&lt;&gt;"PICKING",M1109&lt;&gt;""),1,0)</f>
        <v/>
      </c>
      <c r="O1109">
        <f>IF(N1109=1,M1109&amp;"|"&amp;L1109,REPT("z",40))</f>
        <v/>
      </c>
      <c r="P1109">
        <f>IF(N1109=1,COUNTIF($O$4:$O$2003,"&lt;"&amp;O1109)+1,"")</f>
        <v/>
      </c>
      <c r="Q1109">
        <f>IF(OR($R1108="",$R1108="T"),"",IF($R1108="B",$Q1108,IF($Q1108+1&gt;$K$3,"",$Q1108+1)))</f>
        <v/>
      </c>
      <c r="R1109">
        <f>IF(OR($R1108="",$R1108="T"),"",IF($R1108="B","S",IF($Q1108+1&gt;$K$3,"T",IF(INDEX($M$4:$M$2003,MATCH($Q1108+1,$P$4:$P$2003,0))&lt;&gt;INDEX($M$4:$M$2003,MATCH($Q1108,$P$4:$P$2003,0)),"B","S"))))</f>
        <v/>
      </c>
      <c r="S1109">
        <f>IF(Q1109="","",IFERROR(MATCH(Q1109,$P$4:$P$2003,0),""))</f>
        <v/>
      </c>
    </row>
    <row r="1110">
      <c r="A1110" s="4">
        <f>IF($R1110="","",IF($R1110="T","Gesamtergebnis",IF($R1110="B",INDEX($M$4:$M$2003,$S1110),INDEX($L$4:$L$2003,$S1110))))</f>
        <v/>
      </c>
      <c r="B1110" s="4">
        <f>IF($R1110="","",IF($R1110="T",$K$3,IF($R1110="B",COUNTIFS($M$4:$M$2003,INDEX($M$4:$M$2003,$S1110),$N$4:$N$2003,1),1)))</f>
        <v/>
      </c>
      <c r="L1110">
        <f>IF($K$1="","",IFERROR(INDEX(Lines!$A:$AA,ROW()-2,$K$1),""))</f>
        <v/>
      </c>
      <c r="M1110">
        <f>IF($K$2="","",IFERROR(INDEX(Lines!$A:$AA,ROW()-2,$K$2),""))</f>
        <v/>
      </c>
      <c r="N1110">
        <f>IF(AND(L1110&lt;&gt;"",LEFT(L1110,1)="N",M1110&lt;&gt;"PICKING",M1110&lt;&gt;""),1,0)</f>
        <v/>
      </c>
      <c r="O1110">
        <f>IF(N1110=1,M1110&amp;"|"&amp;L1110,REPT("z",40))</f>
        <v/>
      </c>
      <c r="P1110">
        <f>IF(N1110=1,COUNTIF($O$4:$O$2003,"&lt;"&amp;O1110)+1,"")</f>
        <v/>
      </c>
      <c r="Q1110">
        <f>IF(OR($R1109="",$R1109="T"),"",IF($R1109="B",$Q1109,IF($Q1109+1&gt;$K$3,"",$Q1109+1)))</f>
        <v/>
      </c>
      <c r="R1110">
        <f>IF(OR($R1109="",$R1109="T"),"",IF($R1109="B","S",IF($Q1109+1&gt;$K$3,"T",IF(INDEX($M$4:$M$2003,MATCH($Q1109+1,$P$4:$P$2003,0))&lt;&gt;INDEX($M$4:$M$2003,MATCH($Q1109,$P$4:$P$2003,0)),"B","S"))))</f>
        <v/>
      </c>
      <c r="S1110">
        <f>IF(Q1110="","",IFERROR(MATCH(Q1110,$P$4:$P$2003,0),""))</f>
        <v/>
      </c>
    </row>
    <row r="1111">
      <c r="A1111" s="4">
        <f>IF($R1111="","",IF($R1111="T","Gesamtergebnis",IF($R1111="B",INDEX($M$4:$M$2003,$S1111),INDEX($L$4:$L$2003,$S1111))))</f>
        <v/>
      </c>
      <c r="B1111" s="4">
        <f>IF($R1111="","",IF($R1111="T",$K$3,IF($R1111="B",COUNTIFS($M$4:$M$2003,INDEX($M$4:$M$2003,$S1111),$N$4:$N$2003,1),1)))</f>
        <v/>
      </c>
      <c r="L1111">
        <f>IF($K$1="","",IFERROR(INDEX(Lines!$A:$AA,ROW()-2,$K$1),""))</f>
        <v/>
      </c>
      <c r="M1111">
        <f>IF($K$2="","",IFERROR(INDEX(Lines!$A:$AA,ROW()-2,$K$2),""))</f>
        <v/>
      </c>
      <c r="N1111">
        <f>IF(AND(L1111&lt;&gt;"",LEFT(L1111,1)="N",M1111&lt;&gt;"PICKING",M1111&lt;&gt;""),1,0)</f>
        <v/>
      </c>
      <c r="O1111">
        <f>IF(N1111=1,M1111&amp;"|"&amp;L1111,REPT("z",40))</f>
        <v/>
      </c>
      <c r="P1111">
        <f>IF(N1111=1,COUNTIF($O$4:$O$2003,"&lt;"&amp;O1111)+1,"")</f>
        <v/>
      </c>
      <c r="Q1111">
        <f>IF(OR($R1110="",$R1110="T"),"",IF($R1110="B",$Q1110,IF($Q1110+1&gt;$K$3,"",$Q1110+1)))</f>
        <v/>
      </c>
      <c r="R1111">
        <f>IF(OR($R1110="",$R1110="T"),"",IF($R1110="B","S",IF($Q1110+1&gt;$K$3,"T",IF(INDEX($M$4:$M$2003,MATCH($Q1110+1,$P$4:$P$2003,0))&lt;&gt;INDEX($M$4:$M$2003,MATCH($Q1110,$P$4:$P$2003,0)),"B","S"))))</f>
        <v/>
      </c>
      <c r="S1111">
        <f>IF(Q1111="","",IFERROR(MATCH(Q1111,$P$4:$P$2003,0),""))</f>
        <v/>
      </c>
    </row>
    <row r="1112">
      <c r="A1112" s="4">
        <f>IF($R1112="","",IF($R1112="T","Gesamtergebnis",IF($R1112="B",INDEX($M$4:$M$2003,$S1112),INDEX($L$4:$L$2003,$S1112))))</f>
        <v/>
      </c>
      <c r="B1112" s="4">
        <f>IF($R1112="","",IF($R1112="T",$K$3,IF($R1112="B",COUNTIFS($M$4:$M$2003,INDEX($M$4:$M$2003,$S1112),$N$4:$N$2003,1),1)))</f>
        <v/>
      </c>
      <c r="L1112">
        <f>IF($K$1="","",IFERROR(INDEX(Lines!$A:$AA,ROW()-2,$K$1),""))</f>
        <v/>
      </c>
      <c r="M1112">
        <f>IF($K$2="","",IFERROR(INDEX(Lines!$A:$AA,ROW()-2,$K$2),""))</f>
        <v/>
      </c>
      <c r="N1112">
        <f>IF(AND(L1112&lt;&gt;"",LEFT(L1112,1)="N",M1112&lt;&gt;"PICKING",M1112&lt;&gt;""),1,0)</f>
        <v/>
      </c>
      <c r="O1112">
        <f>IF(N1112=1,M1112&amp;"|"&amp;L1112,REPT("z",40))</f>
        <v/>
      </c>
      <c r="P1112">
        <f>IF(N1112=1,COUNTIF($O$4:$O$2003,"&lt;"&amp;O1112)+1,"")</f>
        <v/>
      </c>
      <c r="Q1112">
        <f>IF(OR($R1111="",$R1111="T"),"",IF($R1111="B",$Q1111,IF($Q1111+1&gt;$K$3,"",$Q1111+1)))</f>
        <v/>
      </c>
      <c r="R1112">
        <f>IF(OR($R1111="",$R1111="T"),"",IF($R1111="B","S",IF($Q1111+1&gt;$K$3,"T",IF(INDEX($M$4:$M$2003,MATCH($Q1111+1,$P$4:$P$2003,0))&lt;&gt;INDEX($M$4:$M$2003,MATCH($Q1111,$P$4:$P$2003,0)),"B","S"))))</f>
        <v/>
      </c>
      <c r="S1112">
        <f>IF(Q1112="","",IFERROR(MATCH(Q1112,$P$4:$P$2003,0),""))</f>
        <v/>
      </c>
    </row>
    <row r="1113">
      <c r="A1113" s="4">
        <f>IF($R1113="","",IF($R1113="T","Gesamtergebnis",IF($R1113="B",INDEX($M$4:$M$2003,$S1113),INDEX($L$4:$L$2003,$S1113))))</f>
        <v/>
      </c>
      <c r="B1113" s="4">
        <f>IF($R1113="","",IF($R1113="T",$K$3,IF($R1113="B",COUNTIFS($M$4:$M$2003,INDEX($M$4:$M$2003,$S1113),$N$4:$N$2003,1),1)))</f>
        <v/>
      </c>
      <c r="L1113">
        <f>IF($K$1="","",IFERROR(INDEX(Lines!$A:$AA,ROW()-2,$K$1),""))</f>
        <v/>
      </c>
      <c r="M1113">
        <f>IF($K$2="","",IFERROR(INDEX(Lines!$A:$AA,ROW()-2,$K$2),""))</f>
        <v/>
      </c>
      <c r="N1113">
        <f>IF(AND(L1113&lt;&gt;"",LEFT(L1113,1)="N",M1113&lt;&gt;"PICKING",M1113&lt;&gt;""),1,0)</f>
        <v/>
      </c>
      <c r="O1113">
        <f>IF(N1113=1,M1113&amp;"|"&amp;L1113,REPT("z",40))</f>
        <v/>
      </c>
      <c r="P1113">
        <f>IF(N1113=1,COUNTIF($O$4:$O$2003,"&lt;"&amp;O1113)+1,"")</f>
        <v/>
      </c>
      <c r="Q1113">
        <f>IF(OR($R1112="",$R1112="T"),"",IF($R1112="B",$Q1112,IF($Q1112+1&gt;$K$3,"",$Q1112+1)))</f>
        <v/>
      </c>
      <c r="R1113">
        <f>IF(OR($R1112="",$R1112="T"),"",IF($R1112="B","S",IF($Q1112+1&gt;$K$3,"T",IF(INDEX($M$4:$M$2003,MATCH($Q1112+1,$P$4:$P$2003,0))&lt;&gt;INDEX($M$4:$M$2003,MATCH($Q1112,$P$4:$P$2003,0)),"B","S"))))</f>
        <v/>
      </c>
      <c r="S1113">
        <f>IF(Q1113="","",IFERROR(MATCH(Q1113,$P$4:$P$2003,0),""))</f>
        <v/>
      </c>
    </row>
    <row r="1114">
      <c r="A1114" s="4">
        <f>IF($R1114="","",IF($R1114="T","Gesamtergebnis",IF($R1114="B",INDEX($M$4:$M$2003,$S1114),INDEX($L$4:$L$2003,$S1114))))</f>
        <v/>
      </c>
      <c r="B1114" s="4">
        <f>IF($R1114="","",IF($R1114="T",$K$3,IF($R1114="B",COUNTIFS($M$4:$M$2003,INDEX($M$4:$M$2003,$S1114),$N$4:$N$2003,1),1)))</f>
        <v/>
      </c>
      <c r="L1114">
        <f>IF($K$1="","",IFERROR(INDEX(Lines!$A:$AA,ROW()-2,$K$1),""))</f>
        <v/>
      </c>
      <c r="M1114">
        <f>IF($K$2="","",IFERROR(INDEX(Lines!$A:$AA,ROW()-2,$K$2),""))</f>
        <v/>
      </c>
      <c r="N1114">
        <f>IF(AND(L1114&lt;&gt;"",LEFT(L1114,1)="N",M1114&lt;&gt;"PICKING",M1114&lt;&gt;""),1,0)</f>
        <v/>
      </c>
      <c r="O1114">
        <f>IF(N1114=1,M1114&amp;"|"&amp;L1114,REPT("z",40))</f>
        <v/>
      </c>
      <c r="P1114">
        <f>IF(N1114=1,COUNTIF($O$4:$O$2003,"&lt;"&amp;O1114)+1,"")</f>
        <v/>
      </c>
      <c r="Q1114">
        <f>IF(OR($R1113="",$R1113="T"),"",IF($R1113="B",$Q1113,IF($Q1113+1&gt;$K$3,"",$Q1113+1)))</f>
        <v/>
      </c>
      <c r="R1114">
        <f>IF(OR($R1113="",$R1113="T"),"",IF($R1113="B","S",IF($Q1113+1&gt;$K$3,"T",IF(INDEX($M$4:$M$2003,MATCH($Q1113+1,$P$4:$P$2003,0))&lt;&gt;INDEX($M$4:$M$2003,MATCH($Q1113,$P$4:$P$2003,0)),"B","S"))))</f>
        <v/>
      </c>
      <c r="S1114">
        <f>IF(Q1114="","",IFERROR(MATCH(Q1114,$P$4:$P$2003,0),""))</f>
        <v/>
      </c>
    </row>
    <row r="1115">
      <c r="A1115" s="4">
        <f>IF($R1115="","",IF($R1115="T","Gesamtergebnis",IF($R1115="B",INDEX($M$4:$M$2003,$S1115),INDEX($L$4:$L$2003,$S1115))))</f>
        <v/>
      </c>
      <c r="B1115" s="4">
        <f>IF($R1115="","",IF($R1115="T",$K$3,IF($R1115="B",COUNTIFS($M$4:$M$2003,INDEX($M$4:$M$2003,$S1115),$N$4:$N$2003,1),1)))</f>
        <v/>
      </c>
      <c r="L1115">
        <f>IF($K$1="","",IFERROR(INDEX(Lines!$A:$AA,ROW()-2,$K$1),""))</f>
        <v/>
      </c>
      <c r="M1115">
        <f>IF($K$2="","",IFERROR(INDEX(Lines!$A:$AA,ROW()-2,$K$2),""))</f>
        <v/>
      </c>
      <c r="N1115">
        <f>IF(AND(L1115&lt;&gt;"",LEFT(L1115,1)="N",M1115&lt;&gt;"PICKING",M1115&lt;&gt;""),1,0)</f>
        <v/>
      </c>
      <c r="O1115">
        <f>IF(N1115=1,M1115&amp;"|"&amp;L1115,REPT("z",40))</f>
        <v/>
      </c>
      <c r="P1115">
        <f>IF(N1115=1,COUNTIF($O$4:$O$2003,"&lt;"&amp;O1115)+1,"")</f>
        <v/>
      </c>
      <c r="Q1115">
        <f>IF(OR($R1114="",$R1114="T"),"",IF($R1114="B",$Q1114,IF($Q1114+1&gt;$K$3,"",$Q1114+1)))</f>
        <v/>
      </c>
      <c r="R1115">
        <f>IF(OR($R1114="",$R1114="T"),"",IF($R1114="B","S",IF($Q1114+1&gt;$K$3,"T",IF(INDEX($M$4:$M$2003,MATCH($Q1114+1,$P$4:$P$2003,0))&lt;&gt;INDEX($M$4:$M$2003,MATCH($Q1114,$P$4:$P$2003,0)),"B","S"))))</f>
        <v/>
      </c>
      <c r="S1115">
        <f>IF(Q1115="","",IFERROR(MATCH(Q1115,$P$4:$P$2003,0),""))</f>
        <v/>
      </c>
    </row>
    <row r="1116">
      <c r="A1116" s="4">
        <f>IF($R1116="","",IF($R1116="T","Gesamtergebnis",IF($R1116="B",INDEX($M$4:$M$2003,$S1116),INDEX($L$4:$L$2003,$S1116))))</f>
        <v/>
      </c>
      <c r="B1116" s="4">
        <f>IF($R1116="","",IF($R1116="T",$K$3,IF($R1116="B",COUNTIFS($M$4:$M$2003,INDEX($M$4:$M$2003,$S1116),$N$4:$N$2003,1),1)))</f>
        <v/>
      </c>
      <c r="L1116">
        <f>IF($K$1="","",IFERROR(INDEX(Lines!$A:$AA,ROW()-2,$K$1),""))</f>
        <v/>
      </c>
      <c r="M1116">
        <f>IF($K$2="","",IFERROR(INDEX(Lines!$A:$AA,ROW()-2,$K$2),""))</f>
        <v/>
      </c>
      <c r="N1116">
        <f>IF(AND(L1116&lt;&gt;"",LEFT(L1116,1)="N",M1116&lt;&gt;"PICKING",M1116&lt;&gt;""),1,0)</f>
        <v/>
      </c>
      <c r="O1116">
        <f>IF(N1116=1,M1116&amp;"|"&amp;L1116,REPT("z",40))</f>
        <v/>
      </c>
      <c r="P1116">
        <f>IF(N1116=1,COUNTIF($O$4:$O$2003,"&lt;"&amp;O1116)+1,"")</f>
        <v/>
      </c>
      <c r="Q1116">
        <f>IF(OR($R1115="",$R1115="T"),"",IF($R1115="B",$Q1115,IF($Q1115+1&gt;$K$3,"",$Q1115+1)))</f>
        <v/>
      </c>
      <c r="R1116">
        <f>IF(OR($R1115="",$R1115="T"),"",IF($R1115="B","S",IF($Q1115+1&gt;$K$3,"T",IF(INDEX($M$4:$M$2003,MATCH($Q1115+1,$P$4:$P$2003,0))&lt;&gt;INDEX($M$4:$M$2003,MATCH($Q1115,$P$4:$P$2003,0)),"B","S"))))</f>
        <v/>
      </c>
      <c r="S1116">
        <f>IF(Q1116="","",IFERROR(MATCH(Q1116,$P$4:$P$2003,0),""))</f>
        <v/>
      </c>
    </row>
    <row r="1117">
      <c r="A1117" s="4">
        <f>IF($R1117="","",IF($R1117="T","Gesamtergebnis",IF($R1117="B",INDEX($M$4:$M$2003,$S1117),INDEX($L$4:$L$2003,$S1117))))</f>
        <v/>
      </c>
      <c r="B1117" s="4">
        <f>IF($R1117="","",IF($R1117="T",$K$3,IF($R1117="B",COUNTIFS($M$4:$M$2003,INDEX($M$4:$M$2003,$S1117),$N$4:$N$2003,1),1)))</f>
        <v/>
      </c>
      <c r="L1117">
        <f>IF($K$1="","",IFERROR(INDEX(Lines!$A:$AA,ROW()-2,$K$1),""))</f>
        <v/>
      </c>
      <c r="M1117">
        <f>IF($K$2="","",IFERROR(INDEX(Lines!$A:$AA,ROW()-2,$K$2),""))</f>
        <v/>
      </c>
      <c r="N1117">
        <f>IF(AND(L1117&lt;&gt;"",LEFT(L1117,1)="N",M1117&lt;&gt;"PICKING",M1117&lt;&gt;""),1,0)</f>
        <v/>
      </c>
      <c r="O1117">
        <f>IF(N1117=1,M1117&amp;"|"&amp;L1117,REPT("z",40))</f>
        <v/>
      </c>
      <c r="P1117">
        <f>IF(N1117=1,COUNTIF($O$4:$O$2003,"&lt;"&amp;O1117)+1,"")</f>
        <v/>
      </c>
      <c r="Q1117">
        <f>IF(OR($R1116="",$R1116="T"),"",IF($R1116="B",$Q1116,IF($Q1116+1&gt;$K$3,"",$Q1116+1)))</f>
        <v/>
      </c>
      <c r="R1117">
        <f>IF(OR($R1116="",$R1116="T"),"",IF($R1116="B","S",IF($Q1116+1&gt;$K$3,"T",IF(INDEX($M$4:$M$2003,MATCH($Q1116+1,$P$4:$P$2003,0))&lt;&gt;INDEX($M$4:$M$2003,MATCH($Q1116,$P$4:$P$2003,0)),"B","S"))))</f>
        <v/>
      </c>
      <c r="S1117">
        <f>IF(Q1117="","",IFERROR(MATCH(Q1117,$P$4:$P$2003,0),""))</f>
        <v/>
      </c>
    </row>
    <row r="1118">
      <c r="A1118" s="4">
        <f>IF($R1118="","",IF($R1118="T","Gesamtergebnis",IF($R1118="B",INDEX($M$4:$M$2003,$S1118),INDEX($L$4:$L$2003,$S1118))))</f>
        <v/>
      </c>
      <c r="B1118" s="4">
        <f>IF($R1118="","",IF($R1118="T",$K$3,IF($R1118="B",COUNTIFS($M$4:$M$2003,INDEX($M$4:$M$2003,$S1118),$N$4:$N$2003,1),1)))</f>
        <v/>
      </c>
      <c r="L1118">
        <f>IF($K$1="","",IFERROR(INDEX(Lines!$A:$AA,ROW()-2,$K$1),""))</f>
        <v/>
      </c>
      <c r="M1118">
        <f>IF($K$2="","",IFERROR(INDEX(Lines!$A:$AA,ROW()-2,$K$2),""))</f>
        <v/>
      </c>
      <c r="N1118">
        <f>IF(AND(L1118&lt;&gt;"",LEFT(L1118,1)="N",M1118&lt;&gt;"PICKING",M1118&lt;&gt;""),1,0)</f>
        <v/>
      </c>
      <c r="O1118">
        <f>IF(N1118=1,M1118&amp;"|"&amp;L1118,REPT("z",40))</f>
        <v/>
      </c>
      <c r="P1118">
        <f>IF(N1118=1,COUNTIF($O$4:$O$2003,"&lt;"&amp;O1118)+1,"")</f>
        <v/>
      </c>
      <c r="Q1118">
        <f>IF(OR($R1117="",$R1117="T"),"",IF($R1117="B",$Q1117,IF($Q1117+1&gt;$K$3,"",$Q1117+1)))</f>
        <v/>
      </c>
      <c r="R1118">
        <f>IF(OR($R1117="",$R1117="T"),"",IF($R1117="B","S",IF($Q1117+1&gt;$K$3,"T",IF(INDEX($M$4:$M$2003,MATCH($Q1117+1,$P$4:$P$2003,0))&lt;&gt;INDEX($M$4:$M$2003,MATCH($Q1117,$P$4:$P$2003,0)),"B","S"))))</f>
        <v/>
      </c>
      <c r="S1118">
        <f>IF(Q1118="","",IFERROR(MATCH(Q1118,$P$4:$P$2003,0),""))</f>
        <v/>
      </c>
    </row>
    <row r="1119">
      <c r="A1119" s="4">
        <f>IF($R1119="","",IF($R1119="T","Gesamtergebnis",IF($R1119="B",INDEX($M$4:$M$2003,$S1119),INDEX($L$4:$L$2003,$S1119))))</f>
        <v/>
      </c>
      <c r="B1119" s="4">
        <f>IF($R1119="","",IF($R1119="T",$K$3,IF($R1119="B",COUNTIFS($M$4:$M$2003,INDEX($M$4:$M$2003,$S1119),$N$4:$N$2003,1),1)))</f>
        <v/>
      </c>
      <c r="L1119">
        <f>IF($K$1="","",IFERROR(INDEX(Lines!$A:$AA,ROW()-2,$K$1),""))</f>
        <v/>
      </c>
      <c r="M1119">
        <f>IF($K$2="","",IFERROR(INDEX(Lines!$A:$AA,ROW()-2,$K$2),""))</f>
        <v/>
      </c>
      <c r="N1119">
        <f>IF(AND(L1119&lt;&gt;"",LEFT(L1119,1)="N",M1119&lt;&gt;"PICKING",M1119&lt;&gt;""),1,0)</f>
        <v/>
      </c>
      <c r="O1119">
        <f>IF(N1119=1,M1119&amp;"|"&amp;L1119,REPT("z",40))</f>
        <v/>
      </c>
      <c r="P1119">
        <f>IF(N1119=1,COUNTIF($O$4:$O$2003,"&lt;"&amp;O1119)+1,"")</f>
        <v/>
      </c>
      <c r="Q1119">
        <f>IF(OR($R1118="",$R1118="T"),"",IF($R1118="B",$Q1118,IF($Q1118+1&gt;$K$3,"",$Q1118+1)))</f>
        <v/>
      </c>
      <c r="R1119">
        <f>IF(OR($R1118="",$R1118="T"),"",IF($R1118="B","S",IF($Q1118+1&gt;$K$3,"T",IF(INDEX($M$4:$M$2003,MATCH($Q1118+1,$P$4:$P$2003,0))&lt;&gt;INDEX($M$4:$M$2003,MATCH($Q1118,$P$4:$P$2003,0)),"B","S"))))</f>
        <v/>
      </c>
      <c r="S1119">
        <f>IF(Q1119="","",IFERROR(MATCH(Q1119,$P$4:$P$2003,0),""))</f>
        <v/>
      </c>
    </row>
    <row r="1120">
      <c r="A1120" s="4">
        <f>IF($R1120="","",IF($R1120="T","Gesamtergebnis",IF($R1120="B",INDEX($M$4:$M$2003,$S1120),INDEX($L$4:$L$2003,$S1120))))</f>
        <v/>
      </c>
      <c r="B1120" s="4">
        <f>IF($R1120="","",IF($R1120="T",$K$3,IF($R1120="B",COUNTIFS($M$4:$M$2003,INDEX($M$4:$M$2003,$S1120),$N$4:$N$2003,1),1)))</f>
        <v/>
      </c>
      <c r="L1120">
        <f>IF($K$1="","",IFERROR(INDEX(Lines!$A:$AA,ROW()-2,$K$1),""))</f>
        <v/>
      </c>
      <c r="M1120">
        <f>IF($K$2="","",IFERROR(INDEX(Lines!$A:$AA,ROW()-2,$K$2),""))</f>
        <v/>
      </c>
      <c r="N1120">
        <f>IF(AND(L1120&lt;&gt;"",LEFT(L1120,1)="N",M1120&lt;&gt;"PICKING",M1120&lt;&gt;""),1,0)</f>
        <v/>
      </c>
      <c r="O1120">
        <f>IF(N1120=1,M1120&amp;"|"&amp;L1120,REPT("z",40))</f>
        <v/>
      </c>
      <c r="P1120">
        <f>IF(N1120=1,COUNTIF($O$4:$O$2003,"&lt;"&amp;O1120)+1,"")</f>
        <v/>
      </c>
      <c r="Q1120">
        <f>IF(OR($R1119="",$R1119="T"),"",IF($R1119="B",$Q1119,IF($Q1119+1&gt;$K$3,"",$Q1119+1)))</f>
        <v/>
      </c>
      <c r="R1120">
        <f>IF(OR($R1119="",$R1119="T"),"",IF($R1119="B","S",IF($Q1119+1&gt;$K$3,"T",IF(INDEX($M$4:$M$2003,MATCH($Q1119+1,$P$4:$P$2003,0))&lt;&gt;INDEX($M$4:$M$2003,MATCH($Q1119,$P$4:$P$2003,0)),"B","S"))))</f>
        <v/>
      </c>
      <c r="S1120">
        <f>IF(Q1120="","",IFERROR(MATCH(Q1120,$P$4:$P$2003,0),""))</f>
        <v/>
      </c>
    </row>
    <row r="1121">
      <c r="A1121" s="4">
        <f>IF($R1121="","",IF($R1121="T","Gesamtergebnis",IF($R1121="B",INDEX($M$4:$M$2003,$S1121),INDEX($L$4:$L$2003,$S1121))))</f>
        <v/>
      </c>
      <c r="B1121" s="4">
        <f>IF($R1121="","",IF($R1121="T",$K$3,IF($R1121="B",COUNTIFS($M$4:$M$2003,INDEX($M$4:$M$2003,$S1121),$N$4:$N$2003,1),1)))</f>
        <v/>
      </c>
      <c r="L1121">
        <f>IF($K$1="","",IFERROR(INDEX(Lines!$A:$AA,ROW()-2,$K$1),""))</f>
        <v/>
      </c>
      <c r="M1121">
        <f>IF($K$2="","",IFERROR(INDEX(Lines!$A:$AA,ROW()-2,$K$2),""))</f>
        <v/>
      </c>
      <c r="N1121">
        <f>IF(AND(L1121&lt;&gt;"",LEFT(L1121,1)="N",M1121&lt;&gt;"PICKING",M1121&lt;&gt;""),1,0)</f>
        <v/>
      </c>
      <c r="O1121">
        <f>IF(N1121=1,M1121&amp;"|"&amp;L1121,REPT("z",40))</f>
        <v/>
      </c>
      <c r="P1121">
        <f>IF(N1121=1,COUNTIF($O$4:$O$2003,"&lt;"&amp;O1121)+1,"")</f>
        <v/>
      </c>
      <c r="Q1121">
        <f>IF(OR($R1120="",$R1120="T"),"",IF($R1120="B",$Q1120,IF($Q1120+1&gt;$K$3,"",$Q1120+1)))</f>
        <v/>
      </c>
      <c r="R1121">
        <f>IF(OR($R1120="",$R1120="T"),"",IF($R1120="B","S",IF($Q1120+1&gt;$K$3,"T",IF(INDEX($M$4:$M$2003,MATCH($Q1120+1,$P$4:$P$2003,0))&lt;&gt;INDEX($M$4:$M$2003,MATCH($Q1120,$P$4:$P$2003,0)),"B","S"))))</f>
        <v/>
      </c>
      <c r="S1121">
        <f>IF(Q1121="","",IFERROR(MATCH(Q1121,$P$4:$P$2003,0),""))</f>
        <v/>
      </c>
    </row>
    <row r="1122">
      <c r="A1122" s="4">
        <f>IF($R1122="","",IF($R1122="T","Gesamtergebnis",IF($R1122="B",INDEX($M$4:$M$2003,$S1122),INDEX($L$4:$L$2003,$S1122))))</f>
        <v/>
      </c>
      <c r="B1122" s="4">
        <f>IF($R1122="","",IF($R1122="T",$K$3,IF($R1122="B",COUNTIFS($M$4:$M$2003,INDEX($M$4:$M$2003,$S1122),$N$4:$N$2003,1),1)))</f>
        <v/>
      </c>
      <c r="L1122">
        <f>IF($K$1="","",IFERROR(INDEX(Lines!$A:$AA,ROW()-2,$K$1),""))</f>
        <v/>
      </c>
      <c r="M1122">
        <f>IF($K$2="","",IFERROR(INDEX(Lines!$A:$AA,ROW()-2,$K$2),""))</f>
        <v/>
      </c>
      <c r="N1122">
        <f>IF(AND(L1122&lt;&gt;"",LEFT(L1122,1)="N",M1122&lt;&gt;"PICKING",M1122&lt;&gt;""),1,0)</f>
        <v/>
      </c>
      <c r="O1122">
        <f>IF(N1122=1,M1122&amp;"|"&amp;L1122,REPT("z",40))</f>
        <v/>
      </c>
      <c r="P1122">
        <f>IF(N1122=1,COUNTIF($O$4:$O$2003,"&lt;"&amp;O1122)+1,"")</f>
        <v/>
      </c>
      <c r="Q1122">
        <f>IF(OR($R1121="",$R1121="T"),"",IF($R1121="B",$Q1121,IF($Q1121+1&gt;$K$3,"",$Q1121+1)))</f>
        <v/>
      </c>
      <c r="R1122">
        <f>IF(OR($R1121="",$R1121="T"),"",IF($R1121="B","S",IF($Q1121+1&gt;$K$3,"T",IF(INDEX($M$4:$M$2003,MATCH($Q1121+1,$P$4:$P$2003,0))&lt;&gt;INDEX($M$4:$M$2003,MATCH($Q1121,$P$4:$P$2003,0)),"B","S"))))</f>
        <v/>
      </c>
      <c r="S1122">
        <f>IF(Q1122="","",IFERROR(MATCH(Q1122,$P$4:$P$2003,0),""))</f>
        <v/>
      </c>
    </row>
    <row r="1123">
      <c r="A1123" s="4">
        <f>IF($R1123="","",IF($R1123="T","Gesamtergebnis",IF($R1123="B",INDEX($M$4:$M$2003,$S1123),INDEX($L$4:$L$2003,$S1123))))</f>
        <v/>
      </c>
      <c r="B1123" s="4">
        <f>IF($R1123="","",IF($R1123="T",$K$3,IF($R1123="B",COUNTIFS($M$4:$M$2003,INDEX($M$4:$M$2003,$S1123),$N$4:$N$2003,1),1)))</f>
        <v/>
      </c>
      <c r="L1123">
        <f>IF($K$1="","",IFERROR(INDEX(Lines!$A:$AA,ROW()-2,$K$1),""))</f>
        <v/>
      </c>
      <c r="M1123">
        <f>IF($K$2="","",IFERROR(INDEX(Lines!$A:$AA,ROW()-2,$K$2),""))</f>
        <v/>
      </c>
      <c r="N1123">
        <f>IF(AND(L1123&lt;&gt;"",LEFT(L1123,1)="N",M1123&lt;&gt;"PICKING",M1123&lt;&gt;""),1,0)</f>
        <v/>
      </c>
      <c r="O1123">
        <f>IF(N1123=1,M1123&amp;"|"&amp;L1123,REPT("z",40))</f>
        <v/>
      </c>
      <c r="P1123">
        <f>IF(N1123=1,COUNTIF($O$4:$O$2003,"&lt;"&amp;O1123)+1,"")</f>
        <v/>
      </c>
      <c r="Q1123">
        <f>IF(OR($R1122="",$R1122="T"),"",IF($R1122="B",$Q1122,IF($Q1122+1&gt;$K$3,"",$Q1122+1)))</f>
        <v/>
      </c>
      <c r="R1123">
        <f>IF(OR($R1122="",$R1122="T"),"",IF($R1122="B","S",IF($Q1122+1&gt;$K$3,"T",IF(INDEX($M$4:$M$2003,MATCH($Q1122+1,$P$4:$P$2003,0))&lt;&gt;INDEX($M$4:$M$2003,MATCH($Q1122,$P$4:$P$2003,0)),"B","S"))))</f>
        <v/>
      </c>
      <c r="S1123">
        <f>IF(Q1123="","",IFERROR(MATCH(Q1123,$P$4:$P$2003,0),""))</f>
        <v/>
      </c>
    </row>
    <row r="1124">
      <c r="A1124" s="4">
        <f>IF($R1124="","",IF($R1124="T","Gesamtergebnis",IF($R1124="B",INDEX($M$4:$M$2003,$S1124),INDEX($L$4:$L$2003,$S1124))))</f>
        <v/>
      </c>
      <c r="B1124" s="4">
        <f>IF($R1124="","",IF($R1124="T",$K$3,IF($R1124="B",COUNTIFS($M$4:$M$2003,INDEX($M$4:$M$2003,$S1124),$N$4:$N$2003,1),1)))</f>
        <v/>
      </c>
      <c r="L1124">
        <f>IF($K$1="","",IFERROR(INDEX(Lines!$A:$AA,ROW()-2,$K$1),""))</f>
        <v/>
      </c>
      <c r="M1124">
        <f>IF($K$2="","",IFERROR(INDEX(Lines!$A:$AA,ROW()-2,$K$2),""))</f>
        <v/>
      </c>
      <c r="N1124">
        <f>IF(AND(L1124&lt;&gt;"",LEFT(L1124,1)="N",M1124&lt;&gt;"PICKING",M1124&lt;&gt;""),1,0)</f>
        <v/>
      </c>
      <c r="O1124">
        <f>IF(N1124=1,M1124&amp;"|"&amp;L1124,REPT("z",40))</f>
        <v/>
      </c>
      <c r="P1124">
        <f>IF(N1124=1,COUNTIF($O$4:$O$2003,"&lt;"&amp;O1124)+1,"")</f>
        <v/>
      </c>
      <c r="Q1124">
        <f>IF(OR($R1123="",$R1123="T"),"",IF($R1123="B",$Q1123,IF($Q1123+1&gt;$K$3,"",$Q1123+1)))</f>
        <v/>
      </c>
      <c r="R1124">
        <f>IF(OR($R1123="",$R1123="T"),"",IF($R1123="B","S",IF($Q1123+1&gt;$K$3,"T",IF(INDEX($M$4:$M$2003,MATCH($Q1123+1,$P$4:$P$2003,0))&lt;&gt;INDEX($M$4:$M$2003,MATCH($Q1123,$P$4:$P$2003,0)),"B","S"))))</f>
        <v/>
      </c>
      <c r="S1124">
        <f>IF(Q1124="","",IFERROR(MATCH(Q1124,$P$4:$P$2003,0),""))</f>
        <v/>
      </c>
    </row>
    <row r="1125">
      <c r="A1125" s="4">
        <f>IF($R1125="","",IF($R1125="T","Gesamtergebnis",IF($R1125="B",INDEX($M$4:$M$2003,$S1125),INDEX($L$4:$L$2003,$S1125))))</f>
        <v/>
      </c>
      <c r="B1125" s="4">
        <f>IF($R1125="","",IF($R1125="T",$K$3,IF($R1125="B",COUNTIFS($M$4:$M$2003,INDEX($M$4:$M$2003,$S1125),$N$4:$N$2003,1),1)))</f>
        <v/>
      </c>
      <c r="L1125">
        <f>IF($K$1="","",IFERROR(INDEX(Lines!$A:$AA,ROW()-2,$K$1),""))</f>
        <v/>
      </c>
      <c r="M1125">
        <f>IF($K$2="","",IFERROR(INDEX(Lines!$A:$AA,ROW()-2,$K$2),""))</f>
        <v/>
      </c>
      <c r="N1125">
        <f>IF(AND(L1125&lt;&gt;"",LEFT(L1125,1)="N",M1125&lt;&gt;"PICKING",M1125&lt;&gt;""),1,0)</f>
        <v/>
      </c>
      <c r="O1125">
        <f>IF(N1125=1,M1125&amp;"|"&amp;L1125,REPT("z",40))</f>
        <v/>
      </c>
      <c r="P1125">
        <f>IF(N1125=1,COUNTIF($O$4:$O$2003,"&lt;"&amp;O1125)+1,"")</f>
        <v/>
      </c>
      <c r="Q1125">
        <f>IF(OR($R1124="",$R1124="T"),"",IF($R1124="B",$Q1124,IF($Q1124+1&gt;$K$3,"",$Q1124+1)))</f>
        <v/>
      </c>
      <c r="R1125">
        <f>IF(OR($R1124="",$R1124="T"),"",IF($R1124="B","S",IF($Q1124+1&gt;$K$3,"T",IF(INDEX($M$4:$M$2003,MATCH($Q1124+1,$P$4:$P$2003,0))&lt;&gt;INDEX($M$4:$M$2003,MATCH($Q1124,$P$4:$P$2003,0)),"B","S"))))</f>
        <v/>
      </c>
      <c r="S1125">
        <f>IF(Q1125="","",IFERROR(MATCH(Q1125,$P$4:$P$2003,0),""))</f>
        <v/>
      </c>
    </row>
    <row r="1126">
      <c r="A1126" s="4">
        <f>IF($R1126="","",IF($R1126="T","Gesamtergebnis",IF($R1126="B",INDEX($M$4:$M$2003,$S1126),INDEX($L$4:$L$2003,$S1126))))</f>
        <v/>
      </c>
      <c r="B1126" s="4">
        <f>IF($R1126="","",IF($R1126="T",$K$3,IF($R1126="B",COUNTIFS($M$4:$M$2003,INDEX($M$4:$M$2003,$S1126),$N$4:$N$2003,1),1)))</f>
        <v/>
      </c>
      <c r="L1126">
        <f>IF($K$1="","",IFERROR(INDEX(Lines!$A:$AA,ROW()-2,$K$1),""))</f>
        <v/>
      </c>
      <c r="M1126">
        <f>IF($K$2="","",IFERROR(INDEX(Lines!$A:$AA,ROW()-2,$K$2),""))</f>
        <v/>
      </c>
      <c r="N1126">
        <f>IF(AND(L1126&lt;&gt;"",LEFT(L1126,1)="N",M1126&lt;&gt;"PICKING",M1126&lt;&gt;""),1,0)</f>
        <v/>
      </c>
      <c r="O1126">
        <f>IF(N1126=1,M1126&amp;"|"&amp;L1126,REPT("z",40))</f>
        <v/>
      </c>
      <c r="P1126">
        <f>IF(N1126=1,COUNTIF($O$4:$O$2003,"&lt;"&amp;O1126)+1,"")</f>
        <v/>
      </c>
      <c r="Q1126">
        <f>IF(OR($R1125="",$R1125="T"),"",IF($R1125="B",$Q1125,IF($Q1125+1&gt;$K$3,"",$Q1125+1)))</f>
        <v/>
      </c>
      <c r="R1126">
        <f>IF(OR($R1125="",$R1125="T"),"",IF($R1125="B","S",IF($Q1125+1&gt;$K$3,"T",IF(INDEX($M$4:$M$2003,MATCH($Q1125+1,$P$4:$P$2003,0))&lt;&gt;INDEX($M$4:$M$2003,MATCH($Q1125,$P$4:$P$2003,0)),"B","S"))))</f>
        <v/>
      </c>
      <c r="S1126">
        <f>IF(Q1126="","",IFERROR(MATCH(Q1126,$P$4:$P$2003,0),""))</f>
        <v/>
      </c>
    </row>
    <row r="1127">
      <c r="A1127" s="4">
        <f>IF($R1127="","",IF($R1127="T","Gesamtergebnis",IF($R1127="B",INDEX($M$4:$M$2003,$S1127),INDEX($L$4:$L$2003,$S1127))))</f>
        <v/>
      </c>
      <c r="B1127" s="4">
        <f>IF($R1127="","",IF($R1127="T",$K$3,IF($R1127="B",COUNTIFS($M$4:$M$2003,INDEX($M$4:$M$2003,$S1127),$N$4:$N$2003,1),1)))</f>
        <v/>
      </c>
      <c r="L1127">
        <f>IF($K$1="","",IFERROR(INDEX(Lines!$A:$AA,ROW()-2,$K$1),""))</f>
        <v/>
      </c>
      <c r="M1127">
        <f>IF($K$2="","",IFERROR(INDEX(Lines!$A:$AA,ROW()-2,$K$2),""))</f>
        <v/>
      </c>
      <c r="N1127">
        <f>IF(AND(L1127&lt;&gt;"",LEFT(L1127,1)="N",M1127&lt;&gt;"PICKING",M1127&lt;&gt;""),1,0)</f>
        <v/>
      </c>
      <c r="O1127">
        <f>IF(N1127=1,M1127&amp;"|"&amp;L1127,REPT("z",40))</f>
        <v/>
      </c>
      <c r="P1127">
        <f>IF(N1127=1,COUNTIF($O$4:$O$2003,"&lt;"&amp;O1127)+1,"")</f>
        <v/>
      </c>
      <c r="Q1127">
        <f>IF(OR($R1126="",$R1126="T"),"",IF($R1126="B",$Q1126,IF($Q1126+1&gt;$K$3,"",$Q1126+1)))</f>
        <v/>
      </c>
      <c r="R1127">
        <f>IF(OR($R1126="",$R1126="T"),"",IF($R1126="B","S",IF($Q1126+1&gt;$K$3,"T",IF(INDEX($M$4:$M$2003,MATCH($Q1126+1,$P$4:$P$2003,0))&lt;&gt;INDEX($M$4:$M$2003,MATCH($Q1126,$P$4:$P$2003,0)),"B","S"))))</f>
        <v/>
      </c>
      <c r="S1127">
        <f>IF(Q1127="","",IFERROR(MATCH(Q1127,$P$4:$P$2003,0),""))</f>
        <v/>
      </c>
    </row>
    <row r="1128">
      <c r="A1128" s="4">
        <f>IF($R1128="","",IF($R1128="T","Gesamtergebnis",IF($R1128="B",INDEX($M$4:$M$2003,$S1128),INDEX($L$4:$L$2003,$S1128))))</f>
        <v/>
      </c>
      <c r="B1128" s="4">
        <f>IF($R1128="","",IF($R1128="T",$K$3,IF($R1128="B",COUNTIFS($M$4:$M$2003,INDEX($M$4:$M$2003,$S1128),$N$4:$N$2003,1),1)))</f>
        <v/>
      </c>
      <c r="L1128">
        <f>IF($K$1="","",IFERROR(INDEX(Lines!$A:$AA,ROW()-2,$K$1),""))</f>
        <v/>
      </c>
      <c r="M1128">
        <f>IF($K$2="","",IFERROR(INDEX(Lines!$A:$AA,ROW()-2,$K$2),""))</f>
        <v/>
      </c>
      <c r="N1128">
        <f>IF(AND(L1128&lt;&gt;"",LEFT(L1128,1)="N",M1128&lt;&gt;"PICKING",M1128&lt;&gt;""),1,0)</f>
        <v/>
      </c>
      <c r="O1128">
        <f>IF(N1128=1,M1128&amp;"|"&amp;L1128,REPT("z",40))</f>
        <v/>
      </c>
      <c r="P1128">
        <f>IF(N1128=1,COUNTIF($O$4:$O$2003,"&lt;"&amp;O1128)+1,"")</f>
        <v/>
      </c>
      <c r="Q1128">
        <f>IF(OR($R1127="",$R1127="T"),"",IF($R1127="B",$Q1127,IF($Q1127+1&gt;$K$3,"",$Q1127+1)))</f>
        <v/>
      </c>
      <c r="R1128">
        <f>IF(OR($R1127="",$R1127="T"),"",IF($R1127="B","S",IF($Q1127+1&gt;$K$3,"T",IF(INDEX($M$4:$M$2003,MATCH($Q1127+1,$P$4:$P$2003,0))&lt;&gt;INDEX($M$4:$M$2003,MATCH($Q1127,$P$4:$P$2003,0)),"B","S"))))</f>
        <v/>
      </c>
      <c r="S1128">
        <f>IF(Q1128="","",IFERROR(MATCH(Q1128,$P$4:$P$2003,0),""))</f>
        <v/>
      </c>
    </row>
    <row r="1129">
      <c r="A1129" s="4">
        <f>IF($R1129="","",IF($R1129="T","Gesamtergebnis",IF($R1129="B",INDEX($M$4:$M$2003,$S1129),INDEX($L$4:$L$2003,$S1129))))</f>
        <v/>
      </c>
      <c r="B1129" s="4">
        <f>IF($R1129="","",IF($R1129="T",$K$3,IF($R1129="B",COUNTIFS($M$4:$M$2003,INDEX($M$4:$M$2003,$S1129),$N$4:$N$2003,1),1)))</f>
        <v/>
      </c>
      <c r="L1129">
        <f>IF($K$1="","",IFERROR(INDEX(Lines!$A:$AA,ROW()-2,$K$1),""))</f>
        <v/>
      </c>
      <c r="M1129">
        <f>IF($K$2="","",IFERROR(INDEX(Lines!$A:$AA,ROW()-2,$K$2),""))</f>
        <v/>
      </c>
      <c r="N1129">
        <f>IF(AND(L1129&lt;&gt;"",LEFT(L1129,1)="N",M1129&lt;&gt;"PICKING",M1129&lt;&gt;""),1,0)</f>
        <v/>
      </c>
      <c r="O1129">
        <f>IF(N1129=1,M1129&amp;"|"&amp;L1129,REPT("z",40))</f>
        <v/>
      </c>
      <c r="P1129">
        <f>IF(N1129=1,COUNTIF($O$4:$O$2003,"&lt;"&amp;O1129)+1,"")</f>
        <v/>
      </c>
      <c r="Q1129">
        <f>IF(OR($R1128="",$R1128="T"),"",IF($R1128="B",$Q1128,IF($Q1128+1&gt;$K$3,"",$Q1128+1)))</f>
        <v/>
      </c>
      <c r="R1129">
        <f>IF(OR($R1128="",$R1128="T"),"",IF($R1128="B","S",IF($Q1128+1&gt;$K$3,"T",IF(INDEX($M$4:$M$2003,MATCH($Q1128+1,$P$4:$P$2003,0))&lt;&gt;INDEX($M$4:$M$2003,MATCH($Q1128,$P$4:$P$2003,0)),"B","S"))))</f>
        <v/>
      </c>
      <c r="S1129">
        <f>IF(Q1129="","",IFERROR(MATCH(Q1129,$P$4:$P$2003,0),""))</f>
        <v/>
      </c>
    </row>
    <row r="1130">
      <c r="A1130" s="4">
        <f>IF($R1130="","",IF($R1130="T","Gesamtergebnis",IF($R1130="B",INDEX($M$4:$M$2003,$S1130),INDEX($L$4:$L$2003,$S1130))))</f>
        <v/>
      </c>
      <c r="B1130" s="4">
        <f>IF($R1130="","",IF($R1130="T",$K$3,IF($R1130="B",COUNTIFS($M$4:$M$2003,INDEX($M$4:$M$2003,$S1130),$N$4:$N$2003,1),1)))</f>
        <v/>
      </c>
      <c r="L1130">
        <f>IF($K$1="","",IFERROR(INDEX(Lines!$A:$AA,ROW()-2,$K$1),""))</f>
        <v/>
      </c>
      <c r="M1130">
        <f>IF($K$2="","",IFERROR(INDEX(Lines!$A:$AA,ROW()-2,$K$2),""))</f>
        <v/>
      </c>
      <c r="N1130">
        <f>IF(AND(L1130&lt;&gt;"",LEFT(L1130,1)="N",M1130&lt;&gt;"PICKING",M1130&lt;&gt;""),1,0)</f>
        <v/>
      </c>
      <c r="O1130">
        <f>IF(N1130=1,M1130&amp;"|"&amp;L1130,REPT("z",40))</f>
        <v/>
      </c>
      <c r="P1130">
        <f>IF(N1130=1,COUNTIF($O$4:$O$2003,"&lt;"&amp;O1130)+1,"")</f>
        <v/>
      </c>
      <c r="Q1130">
        <f>IF(OR($R1129="",$R1129="T"),"",IF($R1129="B",$Q1129,IF($Q1129+1&gt;$K$3,"",$Q1129+1)))</f>
        <v/>
      </c>
      <c r="R1130">
        <f>IF(OR($R1129="",$R1129="T"),"",IF($R1129="B","S",IF($Q1129+1&gt;$K$3,"T",IF(INDEX($M$4:$M$2003,MATCH($Q1129+1,$P$4:$P$2003,0))&lt;&gt;INDEX($M$4:$M$2003,MATCH($Q1129,$P$4:$P$2003,0)),"B","S"))))</f>
        <v/>
      </c>
      <c r="S1130">
        <f>IF(Q1130="","",IFERROR(MATCH(Q1130,$P$4:$P$2003,0),""))</f>
        <v/>
      </c>
    </row>
    <row r="1131">
      <c r="A1131" s="4">
        <f>IF($R1131="","",IF($R1131="T","Gesamtergebnis",IF($R1131="B",INDEX($M$4:$M$2003,$S1131),INDEX($L$4:$L$2003,$S1131))))</f>
        <v/>
      </c>
      <c r="B1131" s="4">
        <f>IF($R1131="","",IF($R1131="T",$K$3,IF($R1131="B",COUNTIFS($M$4:$M$2003,INDEX($M$4:$M$2003,$S1131),$N$4:$N$2003,1),1)))</f>
        <v/>
      </c>
      <c r="L1131">
        <f>IF($K$1="","",IFERROR(INDEX(Lines!$A:$AA,ROW()-2,$K$1),""))</f>
        <v/>
      </c>
      <c r="M1131">
        <f>IF($K$2="","",IFERROR(INDEX(Lines!$A:$AA,ROW()-2,$K$2),""))</f>
        <v/>
      </c>
      <c r="N1131">
        <f>IF(AND(L1131&lt;&gt;"",LEFT(L1131,1)="N",M1131&lt;&gt;"PICKING",M1131&lt;&gt;""),1,0)</f>
        <v/>
      </c>
      <c r="O1131">
        <f>IF(N1131=1,M1131&amp;"|"&amp;L1131,REPT("z",40))</f>
        <v/>
      </c>
      <c r="P1131">
        <f>IF(N1131=1,COUNTIF($O$4:$O$2003,"&lt;"&amp;O1131)+1,"")</f>
        <v/>
      </c>
      <c r="Q1131">
        <f>IF(OR($R1130="",$R1130="T"),"",IF($R1130="B",$Q1130,IF($Q1130+1&gt;$K$3,"",$Q1130+1)))</f>
        <v/>
      </c>
      <c r="R1131">
        <f>IF(OR($R1130="",$R1130="T"),"",IF($R1130="B","S",IF($Q1130+1&gt;$K$3,"T",IF(INDEX($M$4:$M$2003,MATCH($Q1130+1,$P$4:$P$2003,0))&lt;&gt;INDEX($M$4:$M$2003,MATCH($Q1130,$P$4:$P$2003,0)),"B","S"))))</f>
        <v/>
      </c>
      <c r="S1131">
        <f>IF(Q1131="","",IFERROR(MATCH(Q1131,$P$4:$P$2003,0),""))</f>
        <v/>
      </c>
    </row>
    <row r="1132">
      <c r="A1132" s="4">
        <f>IF($R1132="","",IF($R1132="T","Gesamtergebnis",IF($R1132="B",INDEX($M$4:$M$2003,$S1132),INDEX($L$4:$L$2003,$S1132))))</f>
        <v/>
      </c>
      <c r="B1132" s="4">
        <f>IF($R1132="","",IF($R1132="T",$K$3,IF($R1132="B",COUNTIFS($M$4:$M$2003,INDEX($M$4:$M$2003,$S1132),$N$4:$N$2003,1),1)))</f>
        <v/>
      </c>
      <c r="L1132">
        <f>IF($K$1="","",IFERROR(INDEX(Lines!$A:$AA,ROW()-2,$K$1),""))</f>
        <v/>
      </c>
      <c r="M1132">
        <f>IF($K$2="","",IFERROR(INDEX(Lines!$A:$AA,ROW()-2,$K$2),""))</f>
        <v/>
      </c>
      <c r="N1132">
        <f>IF(AND(L1132&lt;&gt;"",LEFT(L1132,1)="N",M1132&lt;&gt;"PICKING",M1132&lt;&gt;""),1,0)</f>
        <v/>
      </c>
      <c r="O1132">
        <f>IF(N1132=1,M1132&amp;"|"&amp;L1132,REPT("z",40))</f>
        <v/>
      </c>
      <c r="P1132">
        <f>IF(N1132=1,COUNTIF($O$4:$O$2003,"&lt;"&amp;O1132)+1,"")</f>
        <v/>
      </c>
      <c r="Q1132">
        <f>IF(OR($R1131="",$R1131="T"),"",IF($R1131="B",$Q1131,IF($Q1131+1&gt;$K$3,"",$Q1131+1)))</f>
        <v/>
      </c>
      <c r="R1132">
        <f>IF(OR($R1131="",$R1131="T"),"",IF($R1131="B","S",IF($Q1131+1&gt;$K$3,"T",IF(INDEX($M$4:$M$2003,MATCH($Q1131+1,$P$4:$P$2003,0))&lt;&gt;INDEX($M$4:$M$2003,MATCH($Q1131,$P$4:$P$2003,0)),"B","S"))))</f>
        <v/>
      </c>
      <c r="S1132">
        <f>IF(Q1132="","",IFERROR(MATCH(Q1132,$P$4:$P$2003,0),""))</f>
        <v/>
      </c>
    </row>
    <row r="1133">
      <c r="A1133" s="4">
        <f>IF($R1133="","",IF($R1133="T","Gesamtergebnis",IF($R1133="B",INDEX($M$4:$M$2003,$S1133),INDEX($L$4:$L$2003,$S1133))))</f>
        <v/>
      </c>
      <c r="B1133" s="4">
        <f>IF($R1133="","",IF($R1133="T",$K$3,IF($R1133="B",COUNTIFS($M$4:$M$2003,INDEX($M$4:$M$2003,$S1133),$N$4:$N$2003,1),1)))</f>
        <v/>
      </c>
      <c r="L1133">
        <f>IF($K$1="","",IFERROR(INDEX(Lines!$A:$AA,ROW()-2,$K$1),""))</f>
        <v/>
      </c>
      <c r="M1133">
        <f>IF($K$2="","",IFERROR(INDEX(Lines!$A:$AA,ROW()-2,$K$2),""))</f>
        <v/>
      </c>
      <c r="N1133">
        <f>IF(AND(L1133&lt;&gt;"",LEFT(L1133,1)="N",M1133&lt;&gt;"PICKING",M1133&lt;&gt;""),1,0)</f>
        <v/>
      </c>
      <c r="O1133">
        <f>IF(N1133=1,M1133&amp;"|"&amp;L1133,REPT("z",40))</f>
        <v/>
      </c>
      <c r="P1133">
        <f>IF(N1133=1,COUNTIF($O$4:$O$2003,"&lt;"&amp;O1133)+1,"")</f>
        <v/>
      </c>
      <c r="Q1133">
        <f>IF(OR($R1132="",$R1132="T"),"",IF($R1132="B",$Q1132,IF($Q1132+1&gt;$K$3,"",$Q1132+1)))</f>
        <v/>
      </c>
      <c r="R1133">
        <f>IF(OR($R1132="",$R1132="T"),"",IF($R1132="B","S",IF($Q1132+1&gt;$K$3,"T",IF(INDEX($M$4:$M$2003,MATCH($Q1132+1,$P$4:$P$2003,0))&lt;&gt;INDEX($M$4:$M$2003,MATCH($Q1132,$P$4:$P$2003,0)),"B","S"))))</f>
        <v/>
      </c>
      <c r="S1133">
        <f>IF(Q1133="","",IFERROR(MATCH(Q1133,$P$4:$P$2003,0),""))</f>
        <v/>
      </c>
    </row>
    <row r="1134">
      <c r="A1134" s="4">
        <f>IF($R1134="","",IF($R1134="T","Gesamtergebnis",IF($R1134="B",INDEX($M$4:$M$2003,$S1134),INDEX($L$4:$L$2003,$S1134))))</f>
        <v/>
      </c>
      <c r="B1134" s="4">
        <f>IF($R1134="","",IF($R1134="T",$K$3,IF($R1134="B",COUNTIFS($M$4:$M$2003,INDEX($M$4:$M$2003,$S1134),$N$4:$N$2003,1),1)))</f>
        <v/>
      </c>
      <c r="L1134">
        <f>IF($K$1="","",IFERROR(INDEX(Lines!$A:$AA,ROW()-2,$K$1),""))</f>
        <v/>
      </c>
      <c r="M1134">
        <f>IF($K$2="","",IFERROR(INDEX(Lines!$A:$AA,ROW()-2,$K$2),""))</f>
        <v/>
      </c>
      <c r="N1134">
        <f>IF(AND(L1134&lt;&gt;"",LEFT(L1134,1)="N",M1134&lt;&gt;"PICKING",M1134&lt;&gt;""),1,0)</f>
        <v/>
      </c>
      <c r="O1134">
        <f>IF(N1134=1,M1134&amp;"|"&amp;L1134,REPT("z",40))</f>
        <v/>
      </c>
      <c r="P1134">
        <f>IF(N1134=1,COUNTIF($O$4:$O$2003,"&lt;"&amp;O1134)+1,"")</f>
        <v/>
      </c>
      <c r="Q1134">
        <f>IF(OR($R1133="",$R1133="T"),"",IF($R1133="B",$Q1133,IF($Q1133+1&gt;$K$3,"",$Q1133+1)))</f>
        <v/>
      </c>
      <c r="R1134">
        <f>IF(OR($R1133="",$R1133="T"),"",IF($R1133="B","S",IF($Q1133+1&gt;$K$3,"T",IF(INDEX($M$4:$M$2003,MATCH($Q1133+1,$P$4:$P$2003,0))&lt;&gt;INDEX($M$4:$M$2003,MATCH($Q1133,$P$4:$P$2003,0)),"B","S"))))</f>
        <v/>
      </c>
      <c r="S1134">
        <f>IF(Q1134="","",IFERROR(MATCH(Q1134,$P$4:$P$2003,0),""))</f>
        <v/>
      </c>
    </row>
    <row r="1135">
      <c r="A1135" s="4">
        <f>IF($R1135="","",IF($R1135="T","Gesamtergebnis",IF($R1135="B",INDEX($M$4:$M$2003,$S1135),INDEX($L$4:$L$2003,$S1135))))</f>
        <v/>
      </c>
      <c r="B1135" s="4">
        <f>IF($R1135="","",IF($R1135="T",$K$3,IF($R1135="B",COUNTIFS($M$4:$M$2003,INDEX($M$4:$M$2003,$S1135),$N$4:$N$2003,1),1)))</f>
        <v/>
      </c>
      <c r="L1135">
        <f>IF($K$1="","",IFERROR(INDEX(Lines!$A:$AA,ROW()-2,$K$1),""))</f>
        <v/>
      </c>
      <c r="M1135">
        <f>IF($K$2="","",IFERROR(INDEX(Lines!$A:$AA,ROW()-2,$K$2),""))</f>
        <v/>
      </c>
      <c r="N1135">
        <f>IF(AND(L1135&lt;&gt;"",LEFT(L1135,1)="N",M1135&lt;&gt;"PICKING",M1135&lt;&gt;""),1,0)</f>
        <v/>
      </c>
      <c r="O1135">
        <f>IF(N1135=1,M1135&amp;"|"&amp;L1135,REPT("z",40))</f>
        <v/>
      </c>
      <c r="P1135">
        <f>IF(N1135=1,COUNTIF($O$4:$O$2003,"&lt;"&amp;O1135)+1,"")</f>
        <v/>
      </c>
      <c r="Q1135">
        <f>IF(OR($R1134="",$R1134="T"),"",IF($R1134="B",$Q1134,IF($Q1134+1&gt;$K$3,"",$Q1134+1)))</f>
        <v/>
      </c>
      <c r="R1135">
        <f>IF(OR($R1134="",$R1134="T"),"",IF($R1134="B","S",IF($Q1134+1&gt;$K$3,"T",IF(INDEX($M$4:$M$2003,MATCH($Q1134+1,$P$4:$P$2003,0))&lt;&gt;INDEX($M$4:$M$2003,MATCH($Q1134,$P$4:$P$2003,0)),"B","S"))))</f>
        <v/>
      </c>
      <c r="S1135">
        <f>IF(Q1135="","",IFERROR(MATCH(Q1135,$P$4:$P$2003,0),""))</f>
        <v/>
      </c>
    </row>
    <row r="1136">
      <c r="A1136" s="4">
        <f>IF($R1136="","",IF($R1136="T","Gesamtergebnis",IF($R1136="B",INDEX($M$4:$M$2003,$S1136),INDEX($L$4:$L$2003,$S1136))))</f>
        <v/>
      </c>
      <c r="B1136" s="4">
        <f>IF($R1136="","",IF($R1136="T",$K$3,IF($R1136="B",COUNTIFS($M$4:$M$2003,INDEX($M$4:$M$2003,$S1136),$N$4:$N$2003,1),1)))</f>
        <v/>
      </c>
      <c r="L1136">
        <f>IF($K$1="","",IFERROR(INDEX(Lines!$A:$AA,ROW()-2,$K$1),""))</f>
        <v/>
      </c>
      <c r="M1136">
        <f>IF($K$2="","",IFERROR(INDEX(Lines!$A:$AA,ROW()-2,$K$2),""))</f>
        <v/>
      </c>
      <c r="N1136">
        <f>IF(AND(L1136&lt;&gt;"",LEFT(L1136,1)="N",M1136&lt;&gt;"PICKING",M1136&lt;&gt;""),1,0)</f>
        <v/>
      </c>
      <c r="O1136">
        <f>IF(N1136=1,M1136&amp;"|"&amp;L1136,REPT("z",40))</f>
        <v/>
      </c>
      <c r="P1136">
        <f>IF(N1136=1,COUNTIF($O$4:$O$2003,"&lt;"&amp;O1136)+1,"")</f>
        <v/>
      </c>
      <c r="Q1136">
        <f>IF(OR($R1135="",$R1135="T"),"",IF($R1135="B",$Q1135,IF($Q1135+1&gt;$K$3,"",$Q1135+1)))</f>
        <v/>
      </c>
      <c r="R1136">
        <f>IF(OR($R1135="",$R1135="T"),"",IF($R1135="B","S",IF($Q1135+1&gt;$K$3,"T",IF(INDEX($M$4:$M$2003,MATCH($Q1135+1,$P$4:$P$2003,0))&lt;&gt;INDEX($M$4:$M$2003,MATCH($Q1135,$P$4:$P$2003,0)),"B","S"))))</f>
        <v/>
      </c>
      <c r="S1136">
        <f>IF(Q1136="","",IFERROR(MATCH(Q1136,$P$4:$P$2003,0),""))</f>
        <v/>
      </c>
    </row>
    <row r="1137">
      <c r="A1137" s="4">
        <f>IF($R1137="","",IF($R1137="T","Gesamtergebnis",IF($R1137="B",INDEX($M$4:$M$2003,$S1137),INDEX($L$4:$L$2003,$S1137))))</f>
        <v/>
      </c>
      <c r="B1137" s="4">
        <f>IF($R1137="","",IF($R1137="T",$K$3,IF($R1137="B",COUNTIFS($M$4:$M$2003,INDEX($M$4:$M$2003,$S1137),$N$4:$N$2003,1),1)))</f>
        <v/>
      </c>
      <c r="L1137">
        <f>IF($K$1="","",IFERROR(INDEX(Lines!$A:$AA,ROW()-2,$K$1),""))</f>
        <v/>
      </c>
      <c r="M1137">
        <f>IF($K$2="","",IFERROR(INDEX(Lines!$A:$AA,ROW()-2,$K$2),""))</f>
        <v/>
      </c>
      <c r="N1137">
        <f>IF(AND(L1137&lt;&gt;"",LEFT(L1137,1)="N",M1137&lt;&gt;"PICKING",M1137&lt;&gt;""),1,0)</f>
        <v/>
      </c>
      <c r="O1137">
        <f>IF(N1137=1,M1137&amp;"|"&amp;L1137,REPT("z",40))</f>
        <v/>
      </c>
      <c r="P1137">
        <f>IF(N1137=1,COUNTIF($O$4:$O$2003,"&lt;"&amp;O1137)+1,"")</f>
        <v/>
      </c>
      <c r="Q1137">
        <f>IF(OR($R1136="",$R1136="T"),"",IF($R1136="B",$Q1136,IF($Q1136+1&gt;$K$3,"",$Q1136+1)))</f>
        <v/>
      </c>
      <c r="R1137">
        <f>IF(OR($R1136="",$R1136="T"),"",IF($R1136="B","S",IF($Q1136+1&gt;$K$3,"T",IF(INDEX($M$4:$M$2003,MATCH($Q1136+1,$P$4:$P$2003,0))&lt;&gt;INDEX($M$4:$M$2003,MATCH($Q1136,$P$4:$P$2003,0)),"B","S"))))</f>
        <v/>
      </c>
      <c r="S1137">
        <f>IF(Q1137="","",IFERROR(MATCH(Q1137,$P$4:$P$2003,0),""))</f>
        <v/>
      </c>
    </row>
    <row r="1138">
      <c r="A1138" s="4">
        <f>IF($R1138="","",IF($R1138="T","Gesamtergebnis",IF($R1138="B",INDEX($M$4:$M$2003,$S1138),INDEX($L$4:$L$2003,$S1138))))</f>
        <v/>
      </c>
      <c r="B1138" s="4">
        <f>IF($R1138="","",IF($R1138="T",$K$3,IF($R1138="B",COUNTIFS($M$4:$M$2003,INDEX($M$4:$M$2003,$S1138),$N$4:$N$2003,1),1)))</f>
        <v/>
      </c>
      <c r="L1138">
        <f>IF($K$1="","",IFERROR(INDEX(Lines!$A:$AA,ROW()-2,$K$1),""))</f>
        <v/>
      </c>
      <c r="M1138">
        <f>IF($K$2="","",IFERROR(INDEX(Lines!$A:$AA,ROW()-2,$K$2),""))</f>
        <v/>
      </c>
      <c r="N1138">
        <f>IF(AND(L1138&lt;&gt;"",LEFT(L1138,1)="N",M1138&lt;&gt;"PICKING",M1138&lt;&gt;""),1,0)</f>
        <v/>
      </c>
      <c r="O1138">
        <f>IF(N1138=1,M1138&amp;"|"&amp;L1138,REPT("z",40))</f>
        <v/>
      </c>
      <c r="P1138">
        <f>IF(N1138=1,COUNTIF($O$4:$O$2003,"&lt;"&amp;O1138)+1,"")</f>
        <v/>
      </c>
      <c r="Q1138">
        <f>IF(OR($R1137="",$R1137="T"),"",IF($R1137="B",$Q1137,IF($Q1137+1&gt;$K$3,"",$Q1137+1)))</f>
        <v/>
      </c>
      <c r="R1138">
        <f>IF(OR($R1137="",$R1137="T"),"",IF($R1137="B","S",IF($Q1137+1&gt;$K$3,"T",IF(INDEX($M$4:$M$2003,MATCH($Q1137+1,$P$4:$P$2003,0))&lt;&gt;INDEX($M$4:$M$2003,MATCH($Q1137,$P$4:$P$2003,0)),"B","S"))))</f>
        <v/>
      </c>
      <c r="S1138">
        <f>IF(Q1138="","",IFERROR(MATCH(Q1138,$P$4:$P$2003,0),""))</f>
        <v/>
      </c>
    </row>
    <row r="1139">
      <c r="A1139" s="4">
        <f>IF($R1139="","",IF($R1139="T","Gesamtergebnis",IF($R1139="B",INDEX($M$4:$M$2003,$S1139),INDEX($L$4:$L$2003,$S1139))))</f>
        <v/>
      </c>
      <c r="B1139" s="4">
        <f>IF($R1139="","",IF($R1139="T",$K$3,IF($R1139="B",COUNTIFS($M$4:$M$2003,INDEX($M$4:$M$2003,$S1139),$N$4:$N$2003,1),1)))</f>
        <v/>
      </c>
      <c r="L1139">
        <f>IF($K$1="","",IFERROR(INDEX(Lines!$A:$AA,ROW()-2,$K$1),""))</f>
        <v/>
      </c>
      <c r="M1139">
        <f>IF($K$2="","",IFERROR(INDEX(Lines!$A:$AA,ROW()-2,$K$2),""))</f>
        <v/>
      </c>
      <c r="N1139">
        <f>IF(AND(L1139&lt;&gt;"",LEFT(L1139,1)="N",M1139&lt;&gt;"PICKING",M1139&lt;&gt;""),1,0)</f>
        <v/>
      </c>
      <c r="O1139">
        <f>IF(N1139=1,M1139&amp;"|"&amp;L1139,REPT("z",40))</f>
        <v/>
      </c>
      <c r="P1139">
        <f>IF(N1139=1,COUNTIF($O$4:$O$2003,"&lt;"&amp;O1139)+1,"")</f>
        <v/>
      </c>
      <c r="Q1139">
        <f>IF(OR($R1138="",$R1138="T"),"",IF($R1138="B",$Q1138,IF($Q1138+1&gt;$K$3,"",$Q1138+1)))</f>
        <v/>
      </c>
      <c r="R1139">
        <f>IF(OR($R1138="",$R1138="T"),"",IF($R1138="B","S",IF($Q1138+1&gt;$K$3,"T",IF(INDEX($M$4:$M$2003,MATCH($Q1138+1,$P$4:$P$2003,0))&lt;&gt;INDEX($M$4:$M$2003,MATCH($Q1138,$P$4:$P$2003,0)),"B","S"))))</f>
        <v/>
      </c>
      <c r="S1139">
        <f>IF(Q1139="","",IFERROR(MATCH(Q1139,$P$4:$P$2003,0),""))</f>
        <v/>
      </c>
    </row>
    <row r="1140">
      <c r="A1140" s="4">
        <f>IF($R1140="","",IF($R1140="T","Gesamtergebnis",IF($R1140="B",INDEX($M$4:$M$2003,$S1140),INDEX($L$4:$L$2003,$S1140))))</f>
        <v/>
      </c>
      <c r="B1140" s="4">
        <f>IF($R1140="","",IF($R1140="T",$K$3,IF($R1140="B",COUNTIFS($M$4:$M$2003,INDEX($M$4:$M$2003,$S1140),$N$4:$N$2003,1),1)))</f>
        <v/>
      </c>
      <c r="L1140">
        <f>IF($K$1="","",IFERROR(INDEX(Lines!$A:$AA,ROW()-2,$K$1),""))</f>
        <v/>
      </c>
      <c r="M1140">
        <f>IF($K$2="","",IFERROR(INDEX(Lines!$A:$AA,ROW()-2,$K$2),""))</f>
        <v/>
      </c>
      <c r="N1140">
        <f>IF(AND(L1140&lt;&gt;"",LEFT(L1140,1)="N",M1140&lt;&gt;"PICKING",M1140&lt;&gt;""),1,0)</f>
        <v/>
      </c>
      <c r="O1140">
        <f>IF(N1140=1,M1140&amp;"|"&amp;L1140,REPT("z",40))</f>
        <v/>
      </c>
      <c r="P1140">
        <f>IF(N1140=1,COUNTIF($O$4:$O$2003,"&lt;"&amp;O1140)+1,"")</f>
        <v/>
      </c>
      <c r="Q1140">
        <f>IF(OR($R1139="",$R1139="T"),"",IF($R1139="B",$Q1139,IF($Q1139+1&gt;$K$3,"",$Q1139+1)))</f>
        <v/>
      </c>
      <c r="R1140">
        <f>IF(OR($R1139="",$R1139="T"),"",IF($R1139="B","S",IF($Q1139+1&gt;$K$3,"T",IF(INDEX($M$4:$M$2003,MATCH($Q1139+1,$P$4:$P$2003,0))&lt;&gt;INDEX($M$4:$M$2003,MATCH($Q1139,$P$4:$P$2003,0)),"B","S"))))</f>
        <v/>
      </c>
      <c r="S1140">
        <f>IF(Q1140="","",IFERROR(MATCH(Q1140,$P$4:$P$2003,0),""))</f>
        <v/>
      </c>
    </row>
    <row r="1141">
      <c r="A1141" s="4">
        <f>IF($R1141="","",IF($R1141="T","Gesamtergebnis",IF($R1141="B",INDEX($M$4:$M$2003,$S1141),INDEX($L$4:$L$2003,$S1141))))</f>
        <v/>
      </c>
      <c r="B1141" s="4">
        <f>IF($R1141="","",IF($R1141="T",$K$3,IF($R1141="B",COUNTIFS($M$4:$M$2003,INDEX($M$4:$M$2003,$S1141),$N$4:$N$2003,1),1)))</f>
        <v/>
      </c>
      <c r="L1141">
        <f>IF($K$1="","",IFERROR(INDEX(Lines!$A:$AA,ROW()-2,$K$1),""))</f>
        <v/>
      </c>
      <c r="M1141">
        <f>IF($K$2="","",IFERROR(INDEX(Lines!$A:$AA,ROW()-2,$K$2),""))</f>
        <v/>
      </c>
      <c r="N1141">
        <f>IF(AND(L1141&lt;&gt;"",LEFT(L1141,1)="N",M1141&lt;&gt;"PICKING",M1141&lt;&gt;""),1,0)</f>
        <v/>
      </c>
      <c r="O1141">
        <f>IF(N1141=1,M1141&amp;"|"&amp;L1141,REPT("z",40))</f>
        <v/>
      </c>
      <c r="P1141">
        <f>IF(N1141=1,COUNTIF($O$4:$O$2003,"&lt;"&amp;O1141)+1,"")</f>
        <v/>
      </c>
      <c r="Q1141">
        <f>IF(OR($R1140="",$R1140="T"),"",IF($R1140="B",$Q1140,IF($Q1140+1&gt;$K$3,"",$Q1140+1)))</f>
        <v/>
      </c>
      <c r="R1141">
        <f>IF(OR($R1140="",$R1140="T"),"",IF($R1140="B","S",IF($Q1140+1&gt;$K$3,"T",IF(INDEX($M$4:$M$2003,MATCH($Q1140+1,$P$4:$P$2003,0))&lt;&gt;INDEX($M$4:$M$2003,MATCH($Q1140,$P$4:$P$2003,0)),"B","S"))))</f>
        <v/>
      </c>
      <c r="S1141">
        <f>IF(Q1141="","",IFERROR(MATCH(Q1141,$P$4:$P$2003,0),""))</f>
        <v/>
      </c>
    </row>
    <row r="1142">
      <c r="A1142" s="4">
        <f>IF($R1142="","",IF($R1142="T","Gesamtergebnis",IF($R1142="B",INDEX($M$4:$M$2003,$S1142),INDEX($L$4:$L$2003,$S1142))))</f>
        <v/>
      </c>
      <c r="B1142" s="4">
        <f>IF($R1142="","",IF($R1142="T",$K$3,IF($R1142="B",COUNTIFS($M$4:$M$2003,INDEX($M$4:$M$2003,$S1142),$N$4:$N$2003,1),1)))</f>
        <v/>
      </c>
      <c r="L1142">
        <f>IF($K$1="","",IFERROR(INDEX(Lines!$A:$AA,ROW()-2,$K$1),""))</f>
        <v/>
      </c>
      <c r="M1142">
        <f>IF($K$2="","",IFERROR(INDEX(Lines!$A:$AA,ROW()-2,$K$2),""))</f>
        <v/>
      </c>
      <c r="N1142">
        <f>IF(AND(L1142&lt;&gt;"",LEFT(L1142,1)="N",M1142&lt;&gt;"PICKING",M1142&lt;&gt;""),1,0)</f>
        <v/>
      </c>
      <c r="O1142">
        <f>IF(N1142=1,M1142&amp;"|"&amp;L1142,REPT("z",40))</f>
        <v/>
      </c>
      <c r="P1142">
        <f>IF(N1142=1,COUNTIF($O$4:$O$2003,"&lt;"&amp;O1142)+1,"")</f>
        <v/>
      </c>
      <c r="Q1142">
        <f>IF(OR($R1141="",$R1141="T"),"",IF($R1141="B",$Q1141,IF($Q1141+1&gt;$K$3,"",$Q1141+1)))</f>
        <v/>
      </c>
      <c r="R1142">
        <f>IF(OR($R1141="",$R1141="T"),"",IF($R1141="B","S",IF($Q1141+1&gt;$K$3,"T",IF(INDEX($M$4:$M$2003,MATCH($Q1141+1,$P$4:$P$2003,0))&lt;&gt;INDEX($M$4:$M$2003,MATCH($Q1141,$P$4:$P$2003,0)),"B","S"))))</f>
        <v/>
      </c>
      <c r="S1142">
        <f>IF(Q1142="","",IFERROR(MATCH(Q1142,$P$4:$P$2003,0),""))</f>
        <v/>
      </c>
    </row>
    <row r="1143">
      <c r="A1143" s="4">
        <f>IF($R1143="","",IF($R1143="T","Gesamtergebnis",IF($R1143="B",INDEX($M$4:$M$2003,$S1143),INDEX($L$4:$L$2003,$S1143))))</f>
        <v/>
      </c>
      <c r="B1143" s="4">
        <f>IF($R1143="","",IF($R1143="T",$K$3,IF($R1143="B",COUNTIFS($M$4:$M$2003,INDEX($M$4:$M$2003,$S1143),$N$4:$N$2003,1),1)))</f>
        <v/>
      </c>
      <c r="L1143">
        <f>IF($K$1="","",IFERROR(INDEX(Lines!$A:$AA,ROW()-2,$K$1),""))</f>
        <v/>
      </c>
      <c r="M1143">
        <f>IF($K$2="","",IFERROR(INDEX(Lines!$A:$AA,ROW()-2,$K$2),""))</f>
        <v/>
      </c>
      <c r="N1143">
        <f>IF(AND(L1143&lt;&gt;"",LEFT(L1143,1)="N",M1143&lt;&gt;"PICKING",M1143&lt;&gt;""),1,0)</f>
        <v/>
      </c>
      <c r="O1143">
        <f>IF(N1143=1,M1143&amp;"|"&amp;L1143,REPT("z",40))</f>
        <v/>
      </c>
      <c r="P1143">
        <f>IF(N1143=1,COUNTIF($O$4:$O$2003,"&lt;"&amp;O1143)+1,"")</f>
        <v/>
      </c>
      <c r="Q1143">
        <f>IF(OR($R1142="",$R1142="T"),"",IF($R1142="B",$Q1142,IF($Q1142+1&gt;$K$3,"",$Q1142+1)))</f>
        <v/>
      </c>
      <c r="R1143">
        <f>IF(OR($R1142="",$R1142="T"),"",IF($R1142="B","S",IF($Q1142+1&gt;$K$3,"T",IF(INDEX($M$4:$M$2003,MATCH($Q1142+1,$P$4:$P$2003,0))&lt;&gt;INDEX($M$4:$M$2003,MATCH($Q1142,$P$4:$P$2003,0)),"B","S"))))</f>
        <v/>
      </c>
      <c r="S1143">
        <f>IF(Q1143="","",IFERROR(MATCH(Q1143,$P$4:$P$2003,0),""))</f>
        <v/>
      </c>
    </row>
    <row r="1144">
      <c r="A1144" s="4">
        <f>IF($R1144="","",IF($R1144="T","Gesamtergebnis",IF($R1144="B",INDEX($M$4:$M$2003,$S1144),INDEX($L$4:$L$2003,$S1144))))</f>
        <v/>
      </c>
      <c r="B1144" s="4">
        <f>IF($R1144="","",IF($R1144="T",$K$3,IF($R1144="B",COUNTIFS($M$4:$M$2003,INDEX($M$4:$M$2003,$S1144),$N$4:$N$2003,1),1)))</f>
        <v/>
      </c>
      <c r="L1144">
        <f>IF($K$1="","",IFERROR(INDEX(Lines!$A:$AA,ROW()-2,$K$1),""))</f>
        <v/>
      </c>
      <c r="M1144">
        <f>IF($K$2="","",IFERROR(INDEX(Lines!$A:$AA,ROW()-2,$K$2),""))</f>
        <v/>
      </c>
      <c r="N1144">
        <f>IF(AND(L1144&lt;&gt;"",LEFT(L1144,1)="N",M1144&lt;&gt;"PICKING",M1144&lt;&gt;""),1,0)</f>
        <v/>
      </c>
      <c r="O1144">
        <f>IF(N1144=1,M1144&amp;"|"&amp;L1144,REPT("z",40))</f>
        <v/>
      </c>
      <c r="P1144">
        <f>IF(N1144=1,COUNTIF($O$4:$O$2003,"&lt;"&amp;O1144)+1,"")</f>
        <v/>
      </c>
      <c r="Q1144">
        <f>IF(OR($R1143="",$R1143="T"),"",IF($R1143="B",$Q1143,IF($Q1143+1&gt;$K$3,"",$Q1143+1)))</f>
        <v/>
      </c>
      <c r="R1144">
        <f>IF(OR($R1143="",$R1143="T"),"",IF($R1143="B","S",IF($Q1143+1&gt;$K$3,"T",IF(INDEX($M$4:$M$2003,MATCH($Q1143+1,$P$4:$P$2003,0))&lt;&gt;INDEX($M$4:$M$2003,MATCH($Q1143,$P$4:$P$2003,0)),"B","S"))))</f>
        <v/>
      </c>
      <c r="S1144">
        <f>IF(Q1144="","",IFERROR(MATCH(Q1144,$P$4:$P$2003,0),""))</f>
        <v/>
      </c>
    </row>
    <row r="1145">
      <c r="A1145" s="4">
        <f>IF($R1145="","",IF($R1145="T","Gesamtergebnis",IF($R1145="B",INDEX($M$4:$M$2003,$S1145),INDEX($L$4:$L$2003,$S1145))))</f>
        <v/>
      </c>
      <c r="B1145" s="4">
        <f>IF($R1145="","",IF($R1145="T",$K$3,IF($R1145="B",COUNTIFS($M$4:$M$2003,INDEX($M$4:$M$2003,$S1145),$N$4:$N$2003,1),1)))</f>
        <v/>
      </c>
      <c r="L1145">
        <f>IF($K$1="","",IFERROR(INDEX(Lines!$A:$AA,ROW()-2,$K$1),""))</f>
        <v/>
      </c>
      <c r="M1145">
        <f>IF($K$2="","",IFERROR(INDEX(Lines!$A:$AA,ROW()-2,$K$2),""))</f>
        <v/>
      </c>
      <c r="N1145">
        <f>IF(AND(L1145&lt;&gt;"",LEFT(L1145,1)="N",M1145&lt;&gt;"PICKING",M1145&lt;&gt;""),1,0)</f>
        <v/>
      </c>
      <c r="O1145">
        <f>IF(N1145=1,M1145&amp;"|"&amp;L1145,REPT("z",40))</f>
        <v/>
      </c>
      <c r="P1145">
        <f>IF(N1145=1,COUNTIF($O$4:$O$2003,"&lt;"&amp;O1145)+1,"")</f>
        <v/>
      </c>
      <c r="Q1145">
        <f>IF(OR($R1144="",$R1144="T"),"",IF($R1144="B",$Q1144,IF($Q1144+1&gt;$K$3,"",$Q1144+1)))</f>
        <v/>
      </c>
      <c r="R1145">
        <f>IF(OR($R1144="",$R1144="T"),"",IF($R1144="B","S",IF($Q1144+1&gt;$K$3,"T",IF(INDEX($M$4:$M$2003,MATCH($Q1144+1,$P$4:$P$2003,0))&lt;&gt;INDEX($M$4:$M$2003,MATCH($Q1144,$P$4:$P$2003,0)),"B","S"))))</f>
        <v/>
      </c>
      <c r="S1145">
        <f>IF(Q1145="","",IFERROR(MATCH(Q1145,$P$4:$P$2003,0),""))</f>
        <v/>
      </c>
    </row>
    <row r="1146">
      <c r="A1146" s="4">
        <f>IF($R1146="","",IF($R1146="T","Gesamtergebnis",IF($R1146="B",INDEX($M$4:$M$2003,$S1146),INDEX($L$4:$L$2003,$S1146))))</f>
        <v/>
      </c>
      <c r="B1146" s="4">
        <f>IF($R1146="","",IF($R1146="T",$K$3,IF($R1146="B",COUNTIFS($M$4:$M$2003,INDEX($M$4:$M$2003,$S1146),$N$4:$N$2003,1),1)))</f>
        <v/>
      </c>
      <c r="L1146">
        <f>IF($K$1="","",IFERROR(INDEX(Lines!$A:$AA,ROW()-2,$K$1),""))</f>
        <v/>
      </c>
      <c r="M1146">
        <f>IF($K$2="","",IFERROR(INDEX(Lines!$A:$AA,ROW()-2,$K$2),""))</f>
        <v/>
      </c>
      <c r="N1146">
        <f>IF(AND(L1146&lt;&gt;"",LEFT(L1146,1)="N",M1146&lt;&gt;"PICKING",M1146&lt;&gt;""),1,0)</f>
        <v/>
      </c>
      <c r="O1146">
        <f>IF(N1146=1,M1146&amp;"|"&amp;L1146,REPT("z",40))</f>
        <v/>
      </c>
      <c r="P1146">
        <f>IF(N1146=1,COUNTIF($O$4:$O$2003,"&lt;"&amp;O1146)+1,"")</f>
        <v/>
      </c>
      <c r="Q1146">
        <f>IF(OR($R1145="",$R1145="T"),"",IF($R1145="B",$Q1145,IF($Q1145+1&gt;$K$3,"",$Q1145+1)))</f>
        <v/>
      </c>
      <c r="R1146">
        <f>IF(OR($R1145="",$R1145="T"),"",IF($R1145="B","S",IF($Q1145+1&gt;$K$3,"T",IF(INDEX($M$4:$M$2003,MATCH($Q1145+1,$P$4:$P$2003,0))&lt;&gt;INDEX($M$4:$M$2003,MATCH($Q1145,$P$4:$P$2003,0)),"B","S"))))</f>
        <v/>
      </c>
      <c r="S1146">
        <f>IF(Q1146="","",IFERROR(MATCH(Q1146,$P$4:$P$2003,0),""))</f>
        <v/>
      </c>
    </row>
    <row r="1147">
      <c r="A1147" s="4">
        <f>IF($R1147="","",IF($R1147="T","Gesamtergebnis",IF($R1147="B",INDEX($M$4:$M$2003,$S1147),INDEX($L$4:$L$2003,$S1147))))</f>
        <v/>
      </c>
      <c r="B1147" s="4">
        <f>IF($R1147="","",IF($R1147="T",$K$3,IF($R1147="B",COUNTIFS($M$4:$M$2003,INDEX($M$4:$M$2003,$S1147),$N$4:$N$2003,1),1)))</f>
        <v/>
      </c>
      <c r="L1147">
        <f>IF($K$1="","",IFERROR(INDEX(Lines!$A:$AA,ROW()-2,$K$1),""))</f>
        <v/>
      </c>
      <c r="M1147">
        <f>IF($K$2="","",IFERROR(INDEX(Lines!$A:$AA,ROW()-2,$K$2),""))</f>
        <v/>
      </c>
      <c r="N1147">
        <f>IF(AND(L1147&lt;&gt;"",LEFT(L1147,1)="N",M1147&lt;&gt;"PICKING",M1147&lt;&gt;""),1,0)</f>
        <v/>
      </c>
      <c r="O1147">
        <f>IF(N1147=1,M1147&amp;"|"&amp;L1147,REPT("z",40))</f>
        <v/>
      </c>
      <c r="P1147">
        <f>IF(N1147=1,COUNTIF($O$4:$O$2003,"&lt;"&amp;O1147)+1,"")</f>
        <v/>
      </c>
      <c r="Q1147">
        <f>IF(OR($R1146="",$R1146="T"),"",IF($R1146="B",$Q1146,IF($Q1146+1&gt;$K$3,"",$Q1146+1)))</f>
        <v/>
      </c>
      <c r="R1147">
        <f>IF(OR($R1146="",$R1146="T"),"",IF($R1146="B","S",IF($Q1146+1&gt;$K$3,"T",IF(INDEX($M$4:$M$2003,MATCH($Q1146+1,$P$4:$P$2003,0))&lt;&gt;INDEX($M$4:$M$2003,MATCH($Q1146,$P$4:$P$2003,0)),"B","S"))))</f>
        <v/>
      </c>
      <c r="S1147">
        <f>IF(Q1147="","",IFERROR(MATCH(Q1147,$P$4:$P$2003,0),""))</f>
        <v/>
      </c>
    </row>
    <row r="1148">
      <c r="A1148" s="4">
        <f>IF($R1148="","",IF($R1148="T","Gesamtergebnis",IF($R1148="B",INDEX($M$4:$M$2003,$S1148),INDEX($L$4:$L$2003,$S1148))))</f>
        <v/>
      </c>
      <c r="B1148" s="4">
        <f>IF($R1148="","",IF($R1148="T",$K$3,IF($R1148="B",COUNTIFS($M$4:$M$2003,INDEX($M$4:$M$2003,$S1148),$N$4:$N$2003,1),1)))</f>
        <v/>
      </c>
      <c r="L1148">
        <f>IF($K$1="","",IFERROR(INDEX(Lines!$A:$AA,ROW()-2,$K$1),""))</f>
        <v/>
      </c>
      <c r="M1148">
        <f>IF($K$2="","",IFERROR(INDEX(Lines!$A:$AA,ROW()-2,$K$2),""))</f>
        <v/>
      </c>
      <c r="N1148">
        <f>IF(AND(L1148&lt;&gt;"",LEFT(L1148,1)="N",M1148&lt;&gt;"PICKING",M1148&lt;&gt;""),1,0)</f>
        <v/>
      </c>
      <c r="O1148">
        <f>IF(N1148=1,M1148&amp;"|"&amp;L1148,REPT("z",40))</f>
        <v/>
      </c>
      <c r="P1148">
        <f>IF(N1148=1,COUNTIF($O$4:$O$2003,"&lt;"&amp;O1148)+1,"")</f>
        <v/>
      </c>
      <c r="Q1148">
        <f>IF(OR($R1147="",$R1147="T"),"",IF($R1147="B",$Q1147,IF($Q1147+1&gt;$K$3,"",$Q1147+1)))</f>
        <v/>
      </c>
      <c r="R1148">
        <f>IF(OR($R1147="",$R1147="T"),"",IF($R1147="B","S",IF($Q1147+1&gt;$K$3,"T",IF(INDEX($M$4:$M$2003,MATCH($Q1147+1,$P$4:$P$2003,0))&lt;&gt;INDEX($M$4:$M$2003,MATCH($Q1147,$P$4:$P$2003,0)),"B","S"))))</f>
        <v/>
      </c>
      <c r="S1148">
        <f>IF(Q1148="","",IFERROR(MATCH(Q1148,$P$4:$P$2003,0),""))</f>
        <v/>
      </c>
    </row>
    <row r="1149">
      <c r="A1149" s="4">
        <f>IF($R1149="","",IF($R1149="T","Gesamtergebnis",IF($R1149="B",INDEX($M$4:$M$2003,$S1149),INDEX($L$4:$L$2003,$S1149))))</f>
        <v/>
      </c>
      <c r="B1149" s="4">
        <f>IF($R1149="","",IF($R1149="T",$K$3,IF($R1149="B",COUNTIFS($M$4:$M$2003,INDEX($M$4:$M$2003,$S1149),$N$4:$N$2003,1),1)))</f>
        <v/>
      </c>
      <c r="L1149">
        <f>IF($K$1="","",IFERROR(INDEX(Lines!$A:$AA,ROW()-2,$K$1),""))</f>
        <v/>
      </c>
      <c r="M1149">
        <f>IF($K$2="","",IFERROR(INDEX(Lines!$A:$AA,ROW()-2,$K$2),""))</f>
        <v/>
      </c>
      <c r="N1149">
        <f>IF(AND(L1149&lt;&gt;"",LEFT(L1149,1)="N",M1149&lt;&gt;"PICKING",M1149&lt;&gt;""),1,0)</f>
        <v/>
      </c>
      <c r="O1149">
        <f>IF(N1149=1,M1149&amp;"|"&amp;L1149,REPT("z",40))</f>
        <v/>
      </c>
      <c r="P1149">
        <f>IF(N1149=1,COUNTIF($O$4:$O$2003,"&lt;"&amp;O1149)+1,"")</f>
        <v/>
      </c>
      <c r="Q1149">
        <f>IF(OR($R1148="",$R1148="T"),"",IF($R1148="B",$Q1148,IF($Q1148+1&gt;$K$3,"",$Q1148+1)))</f>
        <v/>
      </c>
      <c r="R1149">
        <f>IF(OR($R1148="",$R1148="T"),"",IF($R1148="B","S",IF($Q1148+1&gt;$K$3,"T",IF(INDEX($M$4:$M$2003,MATCH($Q1148+1,$P$4:$P$2003,0))&lt;&gt;INDEX($M$4:$M$2003,MATCH($Q1148,$P$4:$P$2003,0)),"B","S"))))</f>
        <v/>
      </c>
      <c r="S1149">
        <f>IF(Q1149="","",IFERROR(MATCH(Q1149,$P$4:$P$2003,0),""))</f>
        <v/>
      </c>
    </row>
    <row r="1150">
      <c r="A1150" s="4">
        <f>IF($R1150="","",IF($R1150="T","Gesamtergebnis",IF($R1150="B",INDEX($M$4:$M$2003,$S1150),INDEX($L$4:$L$2003,$S1150))))</f>
        <v/>
      </c>
      <c r="B1150" s="4">
        <f>IF($R1150="","",IF($R1150="T",$K$3,IF($R1150="B",COUNTIFS($M$4:$M$2003,INDEX($M$4:$M$2003,$S1150),$N$4:$N$2003,1),1)))</f>
        <v/>
      </c>
      <c r="L1150">
        <f>IF($K$1="","",IFERROR(INDEX(Lines!$A:$AA,ROW()-2,$K$1),""))</f>
        <v/>
      </c>
      <c r="M1150">
        <f>IF($K$2="","",IFERROR(INDEX(Lines!$A:$AA,ROW()-2,$K$2),""))</f>
        <v/>
      </c>
      <c r="N1150">
        <f>IF(AND(L1150&lt;&gt;"",LEFT(L1150,1)="N",M1150&lt;&gt;"PICKING",M1150&lt;&gt;""),1,0)</f>
        <v/>
      </c>
      <c r="O1150">
        <f>IF(N1150=1,M1150&amp;"|"&amp;L1150,REPT("z",40))</f>
        <v/>
      </c>
      <c r="P1150">
        <f>IF(N1150=1,COUNTIF($O$4:$O$2003,"&lt;"&amp;O1150)+1,"")</f>
        <v/>
      </c>
      <c r="Q1150">
        <f>IF(OR($R1149="",$R1149="T"),"",IF($R1149="B",$Q1149,IF($Q1149+1&gt;$K$3,"",$Q1149+1)))</f>
        <v/>
      </c>
      <c r="R1150">
        <f>IF(OR($R1149="",$R1149="T"),"",IF($R1149="B","S",IF($Q1149+1&gt;$K$3,"T",IF(INDEX($M$4:$M$2003,MATCH($Q1149+1,$P$4:$P$2003,0))&lt;&gt;INDEX($M$4:$M$2003,MATCH($Q1149,$P$4:$P$2003,0)),"B","S"))))</f>
        <v/>
      </c>
      <c r="S1150">
        <f>IF(Q1150="","",IFERROR(MATCH(Q1150,$P$4:$P$2003,0),""))</f>
        <v/>
      </c>
    </row>
    <row r="1151">
      <c r="A1151" s="4">
        <f>IF($R1151="","",IF($R1151="T","Gesamtergebnis",IF($R1151="B",INDEX($M$4:$M$2003,$S1151),INDEX($L$4:$L$2003,$S1151))))</f>
        <v/>
      </c>
      <c r="B1151" s="4">
        <f>IF($R1151="","",IF($R1151="T",$K$3,IF($R1151="B",COUNTIFS($M$4:$M$2003,INDEX($M$4:$M$2003,$S1151),$N$4:$N$2003,1),1)))</f>
        <v/>
      </c>
      <c r="L1151">
        <f>IF($K$1="","",IFERROR(INDEX(Lines!$A:$AA,ROW()-2,$K$1),""))</f>
        <v/>
      </c>
      <c r="M1151">
        <f>IF($K$2="","",IFERROR(INDEX(Lines!$A:$AA,ROW()-2,$K$2),""))</f>
        <v/>
      </c>
      <c r="N1151">
        <f>IF(AND(L1151&lt;&gt;"",LEFT(L1151,1)="N",M1151&lt;&gt;"PICKING",M1151&lt;&gt;""),1,0)</f>
        <v/>
      </c>
      <c r="O1151">
        <f>IF(N1151=1,M1151&amp;"|"&amp;L1151,REPT("z",40))</f>
        <v/>
      </c>
      <c r="P1151">
        <f>IF(N1151=1,COUNTIF($O$4:$O$2003,"&lt;"&amp;O1151)+1,"")</f>
        <v/>
      </c>
      <c r="Q1151">
        <f>IF(OR($R1150="",$R1150="T"),"",IF($R1150="B",$Q1150,IF($Q1150+1&gt;$K$3,"",$Q1150+1)))</f>
        <v/>
      </c>
      <c r="R1151">
        <f>IF(OR($R1150="",$R1150="T"),"",IF($R1150="B","S",IF($Q1150+1&gt;$K$3,"T",IF(INDEX($M$4:$M$2003,MATCH($Q1150+1,$P$4:$P$2003,0))&lt;&gt;INDEX($M$4:$M$2003,MATCH($Q1150,$P$4:$P$2003,0)),"B","S"))))</f>
        <v/>
      </c>
      <c r="S1151">
        <f>IF(Q1151="","",IFERROR(MATCH(Q1151,$P$4:$P$2003,0),""))</f>
        <v/>
      </c>
    </row>
    <row r="1152">
      <c r="A1152" s="4">
        <f>IF($R1152="","",IF($R1152="T","Gesamtergebnis",IF($R1152="B",INDEX($M$4:$M$2003,$S1152),INDEX($L$4:$L$2003,$S1152))))</f>
        <v/>
      </c>
      <c r="B1152" s="4">
        <f>IF($R1152="","",IF($R1152="T",$K$3,IF($R1152="B",COUNTIFS($M$4:$M$2003,INDEX($M$4:$M$2003,$S1152),$N$4:$N$2003,1),1)))</f>
        <v/>
      </c>
      <c r="L1152">
        <f>IF($K$1="","",IFERROR(INDEX(Lines!$A:$AA,ROW()-2,$K$1),""))</f>
        <v/>
      </c>
      <c r="M1152">
        <f>IF($K$2="","",IFERROR(INDEX(Lines!$A:$AA,ROW()-2,$K$2),""))</f>
        <v/>
      </c>
      <c r="N1152">
        <f>IF(AND(L1152&lt;&gt;"",LEFT(L1152,1)="N",M1152&lt;&gt;"PICKING",M1152&lt;&gt;""),1,0)</f>
        <v/>
      </c>
      <c r="O1152">
        <f>IF(N1152=1,M1152&amp;"|"&amp;L1152,REPT("z",40))</f>
        <v/>
      </c>
      <c r="P1152">
        <f>IF(N1152=1,COUNTIF($O$4:$O$2003,"&lt;"&amp;O1152)+1,"")</f>
        <v/>
      </c>
      <c r="Q1152">
        <f>IF(OR($R1151="",$R1151="T"),"",IF($R1151="B",$Q1151,IF($Q1151+1&gt;$K$3,"",$Q1151+1)))</f>
        <v/>
      </c>
      <c r="R1152">
        <f>IF(OR($R1151="",$R1151="T"),"",IF($R1151="B","S",IF($Q1151+1&gt;$K$3,"T",IF(INDEX($M$4:$M$2003,MATCH($Q1151+1,$P$4:$P$2003,0))&lt;&gt;INDEX($M$4:$M$2003,MATCH($Q1151,$P$4:$P$2003,0)),"B","S"))))</f>
        <v/>
      </c>
      <c r="S1152">
        <f>IF(Q1152="","",IFERROR(MATCH(Q1152,$P$4:$P$2003,0),""))</f>
        <v/>
      </c>
    </row>
    <row r="1153">
      <c r="A1153" s="4">
        <f>IF($R1153="","",IF($R1153="T","Gesamtergebnis",IF($R1153="B",INDEX($M$4:$M$2003,$S1153),INDEX($L$4:$L$2003,$S1153))))</f>
        <v/>
      </c>
      <c r="B1153" s="4">
        <f>IF($R1153="","",IF($R1153="T",$K$3,IF($R1153="B",COUNTIFS($M$4:$M$2003,INDEX($M$4:$M$2003,$S1153),$N$4:$N$2003,1),1)))</f>
        <v/>
      </c>
      <c r="L1153">
        <f>IF($K$1="","",IFERROR(INDEX(Lines!$A:$AA,ROW()-2,$K$1),""))</f>
        <v/>
      </c>
      <c r="M1153">
        <f>IF($K$2="","",IFERROR(INDEX(Lines!$A:$AA,ROW()-2,$K$2),""))</f>
        <v/>
      </c>
      <c r="N1153">
        <f>IF(AND(L1153&lt;&gt;"",LEFT(L1153,1)="N",M1153&lt;&gt;"PICKING",M1153&lt;&gt;""),1,0)</f>
        <v/>
      </c>
      <c r="O1153">
        <f>IF(N1153=1,M1153&amp;"|"&amp;L1153,REPT("z",40))</f>
        <v/>
      </c>
      <c r="P1153">
        <f>IF(N1153=1,COUNTIF($O$4:$O$2003,"&lt;"&amp;O1153)+1,"")</f>
        <v/>
      </c>
      <c r="Q1153">
        <f>IF(OR($R1152="",$R1152="T"),"",IF($R1152="B",$Q1152,IF($Q1152+1&gt;$K$3,"",$Q1152+1)))</f>
        <v/>
      </c>
      <c r="R1153">
        <f>IF(OR($R1152="",$R1152="T"),"",IF($R1152="B","S",IF($Q1152+1&gt;$K$3,"T",IF(INDEX($M$4:$M$2003,MATCH($Q1152+1,$P$4:$P$2003,0))&lt;&gt;INDEX($M$4:$M$2003,MATCH($Q1152,$P$4:$P$2003,0)),"B","S"))))</f>
        <v/>
      </c>
      <c r="S1153">
        <f>IF(Q1153="","",IFERROR(MATCH(Q1153,$P$4:$P$2003,0),""))</f>
        <v/>
      </c>
    </row>
    <row r="1154">
      <c r="A1154" s="4">
        <f>IF($R1154="","",IF($R1154="T","Gesamtergebnis",IF($R1154="B",INDEX($M$4:$M$2003,$S1154),INDEX($L$4:$L$2003,$S1154))))</f>
        <v/>
      </c>
      <c r="B1154" s="4">
        <f>IF($R1154="","",IF($R1154="T",$K$3,IF($R1154="B",COUNTIFS($M$4:$M$2003,INDEX($M$4:$M$2003,$S1154),$N$4:$N$2003,1),1)))</f>
        <v/>
      </c>
      <c r="L1154">
        <f>IF($K$1="","",IFERROR(INDEX(Lines!$A:$AA,ROW()-2,$K$1),""))</f>
        <v/>
      </c>
      <c r="M1154">
        <f>IF($K$2="","",IFERROR(INDEX(Lines!$A:$AA,ROW()-2,$K$2),""))</f>
        <v/>
      </c>
      <c r="N1154">
        <f>IF(AND(L1154&lt;&gt;"",LEFT(L1154,1)="N",M1154&lt;&gt;"PICKING",M1154&lt;&gt;""),1,0)</f>
        <v/>
      </c>
      <c r="O1154">
        <f>IF(N1154=1,M1154&amp;"|"&amp;L1154,REPT("z",40))</f>
        <v/>
      </c>
      <c r="P1154">
        <f>IF(N1154=1,COUNTIF($O$4:$O$2003,"&lt;"&amp;O1154)+1,"")</f>
        <v/>
      </c>
      <c r="Q1154">
        <f>IF(OR($R1153="",$R1153="T"),"",IF($R1153="B",$Q1153,IF($Q1153+1&gt;$K$3,"",$Q1153+1)))</f>
        <v/>
      </c>
      <c r="R1154">
        <f>IF(OR($R1153="",$R1153="T"),"",IF($R1153="B","S",IF($Q1153+1&gt;$K$3,"T",IF(INDEX($M$4:$M$2003,MATCH($Q1153+1,$P$4:$P$2003,0))&lt;&gt;INDEX($M$4:$M$2003,MATCH($Q1153,$P$4:$P$2003,0)),"B","S"))))</f>
        <v/>
      </c>
      <c r="S1154">
        <f>IF(Q1154="","",IFERROR(MATCH(Q1154,$P$4:$P$2003,0),""))</f>
        <v/>
      </c>
    </row>
    <row r="1155">
      <c r="A1155" s="4">
        <f>IF($R1155="","",IF($R1155="T","Gesamtergebnis",IF($R1155="B",INDEX($M$4:$M$2003,$S1155),INDEX($L$4:$L$2003,$S1155))))</f>
        <v/>
      </c>
      <c r="B1155" s="4">
        <f>IF($R1155="","",IF($R1155="T",$K$3,IF($R1155="B",COUNTIFS($M$4:$M$2003,INDEX($M$4:$M$2003,$S1155),$N$4:$N$2003,1),1)))</f>
        <v/>
      </c>
      <c r="L1155">
        <f>IF($K$1="","",IFERROR(INDEX(Lines!$A:$AA,ROW()-2,$K$1),""))</f>
        <v/>
      </c>
      <c r="M1155">
        <f>IF($K$2="","",IFERROR(INDEX(Lines!$A:$AA,ROW()-2,$K$2),""))</f>
        <v/>
      </c>
      <c r="N1155">
        <f>IF(AND(L1155&lt;&gt;"",LEFT(L1155,1)="N",M1155&lt;&gt;"PICKING",M1155&lt;&gt;""),1,0)</f>
        <v/>
      </c>
      <c r="O1155">
        <f>IF(N1155=1,M1155&amp;"|"&amp;L1155,REPT("z",40))</f>
        <v/>
      </c>
      <c r="P1155">
        <f>IF(N1155=1,COUNTIF($O$4:$O$2003,"&lt;"&amp;O1155)+1,"")</f>
        <v/>
      </c>
      <c r="Q1155">
        <f>IF(OR($R1154="",$R1154="T"),"",IF($R1154="B",$Q1154,IF($Q1154+1&gt;$K$3,"",$Q1154+1)))</f>
        <v/>
      </c>
      <c r="R1155">
        <f>IF(OR($R1154="",$R1154="T"),"",IF($R1154="B","S",IF($Q1154+1&gt;$K$3,"T",IF(INDEX($M$4:$M$2003,MATCH($Q1154+1,$P$4:$P$2003,0))&lt;&gt;INDEX($M$4:$M$2003,MATCH($Q1154,$P$4:$P$2003,0)),"B","S"))))</f>
        <v/>
      </c>
      <c r="S1155">
        <f>IF(Q1155="","",IFERROR(MATCH(Q1155,$P$4:$P$2003,0),""))</f>
        <v/>
      </c>
    </row>
    <row r="1156">
      <c r="A1156" s="4">
        <f>IF($R1156="","",IF($R1156="T","Gesamtergebnis",IF($R1156="B",INDEX($M$4:$M$2003,$S1156),INDEX($L$4:$L$2003,$S1156))))</f>
        <v/>
      </c>
      <c r="B1156" s="4">
        <f>IF($R1156="","",IF($R1156="T",$K$3,IF($R1156="B",COUNTIFS($M$4:$M$2003,INDEX($M$4:$M$2003,$S1156),$N$4:$N$2003,1),1)))</f>
        <v/>
      </c>
      <c r="L1156">
        <f>IF($K$1="","",IFERROR(INDEX(Lines!$A:$AA,ROW()-2,$K$1),""))</f>
        <v/>
      </c>
      <c r="M1156">
        <f>IF($K$2="","",IFERROR(INDEX(Lines!$A:$AA,ROW()-2,$K$2),""))</f>
        <v/>
      </c>
      <c r="N1156">
        <f>IF(AND(L1156&lt;&gt;"",LEFT(L1156,1)="N",M1156&lt;&gt;"PICKING",M1156&lt;&gt;""),1,0)</f>
        <v/>
      </c>
      <c r="O1156">
        <f>IF(N1156=1,M1156&amp;"|"&amp;L1156,REPT("z",40))</f>
        <v/>
      </c>
      <c r="P1156">
        <f>IF(N1156=1,COUNTIF($O$4:$O$2003,"&lt;"&amp;O1156)+1,"")</f>
        <v/>
      </c>
      <c r="Q1156">
        <f>IF(OR($R1155="",$R1155="T"),"",IF($R1155="B",$Q1155,IF($Q1155+1&gt;$K$3,"",$Q1155+1)))</f>
        <v/>
      </c>
      <c r="R1156">
        <f>IF(OR($R1155="",$R1155="T"),"",IF($R1155="B","S",IF($Q1155+1&gt;$K$3,"T",IF(INDEX($M$4:$M$2003,MATCH($Q1155+1,$P$4:$P$2003,0))&lt;&gt;INDEX($M$4:$M$2003,MATCH($Q1155,$P$4:$P$2003,0)),"B","S"))))</f>
        <v/>
      </c>
      <c r="S1156">
        <f>IF(Q1156="","",IFERROR(MATCH(Q1156,$P$4:$P$2003,0),""))</f>
        <v/>
      </c>
    </row>
    <row r="1157">
      <c r="A1157" s="4">
        <f>IF($R1157="","",IF($R1157="T","Gesamtergebnis",IF($R1157="B",INDEX($M$4:$M$2003,$S1157),INDEX($L$4:$L$2003,$S1157))))</f>
        <v/>
      </c>
      <c r="B1157" s="4">
        <f>IF($R1157="","",IF($R1157="T",$K$3,IF($R1157="B",COUNTIFS($M$4:$M$2003,INDEX($M$4:$M$2003,$S1157),$N$4:$N$2003,1),1)))</f>
        <v/>
      </c>
      <c r="L1157">
        <f>IF($K$1="","",IFERROR(INDEX(Lines!$A:$AA,ROW()-2,$K$1),""))</f>
        <v/>
      </c>
      <c r="M1157">
        <f>IF($K$2="","",IFERROR(INDEX(Lines!$A:$AA,ROW()-2,$K$2),""))</f>
        <v/>
      </c>
      <c r="N1157">
        <f>IF(AND(L1157&lt;&gt;"",LEFT(L1157,1)="N",M1157&lt;&gt;"PICKING",M1157&lt;&gt;""),1,0)</f>
        <v/>
      </c>
      <c r="O1157">
        <f>IF(N1157=1,M1157&amp;"|"&amp;L1157,REPT("z",40))</f>
        <v/>
      </c>
      <c r="P1157">
        <f>IF(N1157=1,COUNTIF($O$4:$O$2003,"&lt;"&amp;O1157)+1,"")</f>
        <v/>
      </c>
      <c r="Q1157">
        <f>IF(OR($R1156="",$R1156="T"),"",IF($R1156="B",$Q1156,IF($Q1156+1&gt;$K$3,"",$Q1156+1)))</f>
        <v/>
      </c>
      <c r="R1157">
        <f>IF(OR($R1156="",$R1156="T"),"",IF($R1156="B","S",IF($Q1156+1&gt;$K$3,"T",IF(INDEX($M$4:$M$2003,MATCH($Q1156+1,$P$4:$P$2003,0))&lt;&gt;INDEX($M$4:$M$2003,MATCH($Q1156,$P$4:$P$2003,0)),"B","S"))))</f>
        <v/>
      </c>
      <c r="S1157">
        <f>IF(Q1157="","",IFERROR(MATCH(Q1157,$P$4:$P$2003,0),""))</f>
        <v/>
      </c>
    </row>
    <row r="1158">
      <c r="A1158" s="4">
        <f>IF($R1158="","",IF($R1158="T","Gesamtergebnis",IF($R1158="B",INDEX($M$4:$M$2003,$S1158),INDEX($L$4:$L$2003,$S1158))))</f>
        <v/>
      </c>
      <c r="B1158" s="4">
        <f>IF($R1158="","",IF($R1158="T",$K$3,IF($R1158="B",COUNTIFS($M$4:$M$2003,INDEX($M$4:$M$2003,$S1158),$N$4:$N$2003,1),1)))</f>
        <v/>
      </c>
      <c r="L1158">
        <f>IF($K$1="","",IFERROR(INDEX(Lines!$A:$AA,ROW()-2,$K$1),""))</f>
        <v/>
      </c>
      <c r="M1158">
        <f>IF($K$2="","",IFERROR(INDEX(Lines!$A:$AA,ROW()-2,$K$2),""))</f>
        <v/>
      </c>
      <c r="N1158">
        <f>IF(AND(L1158&lt;&gt;"",LEFT(L1158,1)="N",M1158&lt;&gt;"PICKING",M1158&lt;&gt;""),1,0)</f>
        <v/>
      </c>
      <c r="O1158">
        <f>IF(N1158=1,M1158&amp;"|"&amp;L1158,REPT("z",40))</f>
        <v/>
      </c>
      <c r="P1158">
        <f>IF(N1158=1,COUNTIF($O$4:$O$2003,"&lt;"&amp;O1158)+1,"")</f>
        <v/>
      </c>
      <c r="Q1158">
        <f>IF(OR($R1157="",$R1157="T"),"",IF($R1157="B",$Q1157,IF($Q1157+1&gt;$K$3,"",$Q1157+1)))</f>
        <v/>
      </c>
      <c r="R1158">
        <f>IF(OR($R1157="",$R1157="T"),"",IF($R1157="B","S",IF($Q1157+1&gt;$K$3,"T",IF(INDEX($M$4:$M$2003,MATCH($Q1157+1,$P$4:$P$2003,0))&lt;&gt;INDEX($M$4:$M$2003,MATCH($Q1157,$P$4:$P$2003,0)),"B","S"))))</f>
        <v/>
      </c>
      <c r="S1158">
        <f>IF(Q1158="","",IFERROR(MATCH(Q1158,$P$4:$P$2003,0),""))</f>
        <v/>
      </c>
    </row>
    <row r="1159">
      <c r="A1159" s="4">
        <f>IF($R1159="","",IF($R1159="T","Gesamtergebnis",IF($R1159="B",INDEX($M$4:$M$2003,$S1159),INDEX($L$4:$L$2003,$S1159))))</f>
        <v/>
      </c>
      <c r="B1159" s="4">
        <f>IF($R1159="","",IF($R1159="T",$K$3,IF($R1159="B",COUNTIFS($M$4:$M$2003,INDEX($M$4:$M$2003,$S1159),$N$4:$N$2003,1),1)))</f>
        <v/>
      </c>
      <c r="L1159">
        <f>IF($K$1="","",IFERROR(INDEX(Lines!$A:$AA,ROW()-2,$K$1),""))</f>
        <v/>
      </c>
      <c r="M1159">
        <f>IF($K$2="","",IFERROR(INDEX(Lines!$A:$AA,ROW()-2,$K$2),""))</f>
        <v/>
      </c>
      <c r="N1159">
        <f>IF(AND(L1159&lt;&gt;"",LEFT(L1159,1)="N",M1159&lt;&gt;"PICKING",M1159&lt;&gt;""),1,0)</f>
        <v/>
      </c>
      <c r="O1159">
        <f>IF(N1159=1,M1159&amp;"|"&amp;L1159,REPT("z",40))</f>
        <v/>
      </c>
      <c r="P1159">
        <f>IF(N1159=1,COUNTIF($O$4:$O$2003,"&lt;"&amp;O1159)+1,"")</f>
        <v/>
      </c>
      <c r="Q1159">
        <f>IF(OR($R1158="",$R1158="T"),"",IF($R1158="B",$Q1158,IF($Q1158+1&gt;$K$3,"",$Q1158+1)))</f>
        <v/>
      </c>
      <c r="R1159">
        <f>IF(OR($R1158="",$R1158="T"),"",IF($R1158="B","S",IF($Q1158+1&gt;$K$3,"T",IF(INDEX($M$4:$M$2003,MATCH($Q1158+1,$P$4:$P$2003,0))&lt;&gt;INDEX($M$4:$M$2003,MATCH($Q1158,$P$4:$P$2003,0)),"B","S"))))</f>
        <v/>
      </c>
      <c r="S1159">
        <f>IF(Q1159="","",IFERROR(MATCH(Q1159,$P$4:$P$2003,0),""))</f>
        <v/>
      </c>
    </row>
    <row r="1160">
      <c r="A1160" s="4">
        <f>IF($R1160="","",IF($R1160="T","Gesamtergebnis",IF($R1160="B",INDEX($M$4:$M$2003,$S1160),INDEX($L$4:$L$2003,$S1160))))</f>
        <v/>
      </c>
      <c r="B1160" s="4">
        <f>IF($R1160="","",IF($R1160="T",$K$3,IF($R1160="B",COUNTIFS($M$4:$M$2003,INDEX($M$4:$M$2003,$S1160),$N$4:$N$2003,1),1)))</f>
        <v/>
      </c>
      <c r="L1160">
        <f>IF($K$1="","",IFERROR(INDEX(Lines!$A:$AA,ROW()-2,$K$1),""))</f>
        <v/>
      </c>
      <c r="M1160">
        <f>IF($K$2="","",IFERROR(INDEX(Lines!$A:$AA,ROW()-2,$K$2),""))</f>
        <v/>
      </c>
      <c r="N1160">
        <f>IF(AND(L1160&lt;&gt;"",LEFT(L1160,1)="N",M1160&lt;&gt;"PICKING",M1160&lt;&gt;""),1,0)</f>
        <v/>
      </c>
      <c r="O1160">
        <f>IF(N1160=1,M1160&amp;"|"&amp;L1160,REPT("z",40))</f>
        <v/>
      </c>
      <c r="P1160">
        <f>IF(N1160=1,COUNTIF($O$4:$O$2003,"&lt;"&amp;O1160)+1,"")</f>
        <v/>
      </c>
      <c r="Q1160">
        <f>IF(OR($R1159="",$R1159="T"),"",IF($R1159="B",$Q1159,IF($Q1159+1&gt;$K$3,"",$Q1159+1)))</f>
        <v/>
      </c>
      <c r="R1160">
        <f>IF(OR($R1159="",$R1159="T"),"",IF($R1159="B","S",IF($Q1159+1&gt;$K$3,"T",IF(INDEX($M$4:$M$2003,MATCH($Q1159+1,$P$4:$P$2003,0))&lt;&gt;INDEX($M$4:$M$2003,MATCH($Q1159,$P$4:$P$2003,0)),"B","S"))))</f>
        <v/>
      </c>
      <c r="S1160">
        <f>IF(Q1160="","",IFERROR(MATCH(Q1160,$P$4:$P$2003,0),""))</f>
        <v/>
      </c>
    </row>
    <row r="1161">
      <c r="A1161" s="4">
        <f>IF($R1161="","",IF($R1161="T","Gesamtergebnis",IF($R1161="B",INDEX($M$4:$M$2003,$S1161),INDEX($L$4:$L$2003,$S1161))))</f>
        <v/>
      </c>
      <c r="B1161" s="4">
        <f>IF($R1161="","",IF($R1161="T",$K$3,IF($R1161="B",COUNTIFS($M$4:$M$2003,INDEX($M$4:$M$2003,$S1161),$N$4:$N$2003,1),1)))</f>
        <v/>
      </c>
      <c r="L1161">
        <f>IF($K$1="","",IFERROR(INDEX(Lines!$A:$AA,ROW()-2,$K$1),""))</f>
        <v/>
      </c>
      <c r="M1161">
        <f>IF($K$2="","",IFERROR(INDEX(Lines!$A:$AA,ROW()-2,$K$2),""))</f>
        <v/>
      </c>
      <c r="N1161">
        <f>IF(AND(L1161&lt;&gt;"",LEFT(L1161,1)="N",M1161&lt;&gt;"PICKING",M1161&lt;&gt;""),1,0)</f>
        <v/>
      </c>
      <c r="O1161">
        <f>IF(N1161=1,M1161&amp;"|"&amp;L1161,REPT("z",40))</f>
        <v/>
      </c>
      <c r="P1161">
        <f>IF(N1161=1,COUNTIF($O$4:$O$2003,"&lt;"&amp;O1161)+1,"")</f>
        <v/>
      </c>
      <c r="Q1161">
        <f>IF(OR($R1160="",$R1160="T"),"",IF($R1160="B",$Q1160,IF($Q1160+1&gt;$K$3,"",$Q1160+1)))</f>
        <v/>
      </c>
      <c r="R1161">
        <f>IF(OR($R1160="",$R1160="T"),"",IF($R1160="B","S",IF($Q1160+1&gt;$K$3,"T",IF(INDEX($M$4:$M$2003,MATCH($Q1160+1,$P$4:$P$2003,0))&lt;&gt;INDEX($M$4:$M$2003,MATCH($Q1160,$P$4:$P$2003,0)),"B","S"))))</f>
        <v/>
      </c>
      <c r="S1161">
        <f>IF(Q1161="","",IFERROR(MATCH(Q1161,$P$4:$P$2003,0),""))</f>
        <v/>
      </c>
    </row>
    <row r="1162">
      <c r="A1162" s="4">
        <f>IF($R1162="","",IF($R1162="T","Gesamtergebnis",IF($R1162="B",INDEX($M$4:$M$2003,$S1162),INDEX($L$4:$L$2003,$S1162))))</f>
        <v/>
      </c>
      <c r="B1162" s="4">
        <f>IF($R1162="","",IF($R1162="T",$K$3,IF($R1162="B",COUNTIFS($M$4:$M$2003,INDEX($M$4:$M$2003,$S1162),$N$4:$N$2003,1),1)))</f>
        <v/>
      </c>
      <c r="L1162">
        <f>IF($K$1="","",IFERROR(INDEX(Lines!$A:$AA,ROW()-2,$K$1),""))</f>
        <v/>
      </c>
      <c r="M1162">
        <f>IF($K$2="","",IFERROR(INDEX(Lines!$A:$AA,ROW()-2,$K$2),""))</f>
        <v/>
      </c>
      <c r="N1162">
        <f>IF(AND(L1162&lt;&gt;"",LEFT(L1162,1)="N",M1162&lt;&gt;"PICKING",M1162&lt;&gt;""),1,0)</f>
        <v/>
      </c>
      <c r="O1162">
        <f>IF(N1162=1,M1162&amp;"|"&amp;L1162,REPT("z",40))</f>
        <v/>
      </c>
      <c r="P1162">
        <f>IF(N1162=1,COUNTIF($O$4:$O$2003,"&lt;"&amp;O1162)+1,"")</f>
        <v/>
      </c>
      <c r="Q1162">
        <f>IF(OR($R1161="",$R1161="T"),"",IF($R1161="B",$Q1161,IF($Q1161+1&gt;$K$3,"",$Q1161+1)))</f>
        <v/>
      </c>
      <c r="R1162">
        <f>IF(OR($R1161="",$R1161="T"),"",IF($R1161="B","S",IF($Q1161+1&gt;$K$3,"T",IF(INDEX($M$4:$M$2003,MATCH($Q1161+1,$P$4:$P$2003,0))&lt;&gt;INDEX($M$4:$M$2003,MATCH($Q1161,$P$4:$P$2003,0)),"B","S"))))</f>
        <v/>
      </c>
      <c r="S1162">
        <f>IF(Q1162="","",IFERROR(MATCH(Q1162,$P$4:$P$2003,0),""))</f>
        <v/>
      </c>
    </row>
    <row r="1163">
      <c r="A1163" s="4">
        <f>IF($R1163="","",IF($R1163="T","Gesamtergebnis",IF($R1163="B",INDEX($M$4:$M$2003,$S1163),INDEX($L$4:$L$2003,$S1163))))</f>
        <v/>
      </c>
      <c r="B1163" s="4">
        <f>IF($R1163="","",IF($R1163="T",$K$3,IF($R1163="B",COUNTIFS($M$4:$M$2003,INDEX($M$4:$M$2003,$S1163),$N$4:$N$2003,1),1)))</f>
        <v/>
      </c>
      <c r="L1163">
        <f>IF($K$1="","",IFERROR(INDEX(Lines!$A:$AA,ROW()-2,$K$1),""))</f>
        <v/>
      </c>
      <c r="M1163">
        <f>IF($K$2="","",IFERROR(INDEX(Lines!$A:$AA,ROW()-2,$K$2),""))</f>
        <v/>
      </c>
      <c r="N1163">
        <f>IF(AND(L1163&lt;&gt;"",LEFT(L1163,1)="N",M1163&lt;&gt;"PICKING",M1163&lt;&gt;""),1,0)</f>
        <v/>
      </c>
      <c r="O1163">
        <f>IF(N1163=1,M1163&amp;"|"&amp;L1163,REPT("z",40))</f>
        <v/>
      </c>
      <c r="P1163">
        <f>IF(N1163=1,COUNTIF($O$4:$O$2003,"&lt;"&amp;O1163)+1,"")</f>
        <v/>
      </c>
      <c r="Q1163">
        <f>IF(OR($R1162="",$R1162="T"),"",IF($R1162="B",$Q1162,IF($Q1162+1&gt;$K$3,"",$Q1162+1)))</f>
        <v/>
      </c>
      <c r="R1163">
        <f>IF(OR($R1162="",$R1162="T"),"",IF($R1162="B","S",IF($Q1162+1&gt;$K$3,"T",IF(INDEX($M$4:$M$2003,MATCH($Q1162+1,$P$4:$P$2003,0))&lt;&gt;INDEX($M$4:$M$2003,MATCH($Q1162,$P$4:$P$2003,0)),"B","S"))))</f>
        <v/>
      </c>
      <c r="S1163">
        <f>IF(Q1163="","",IFERROR(MATCH(Q1163,$P$4:$P$2003,0),""))</f>
        <v/>
      </c>
    </row>
    <row r="1164">
      <c r="A1164" s="4">
        <f>IF($R1164="","",IF($R1164="T","Gesamtergebnis",IF($R1164="B",INDEX($M$4:$M$2003,$S1164),INDEX($L$4:$L$2003,$S1164))))</f>
        <v/>
      </c>
      <c r="B1164" s="4">
        <f>IF($R1164="","",IF($R1164="T",$K$3,IF($R1164="B",COUNTIFS($M$4:$M$2003,INDEX($M$4:$M$2003,$S1164),$N$4:$N$2003,1),1)))</f>
        <v/>
      </c>
      <c r="L1164">
        <f>IF($K$1="","",IFERROR(INDEX(Lines!$A:$AA,ROW()-2,$K$1),""))</f>
        <v/>
      </c>
      <c r="M1164">
        <f>IF($K$2="","",IFERROR(INDEX(Lines!$A:$AA,ROW()-2,$K$2),""))</f>
        <v/>
      </c>
      <c r="N1164">
        <f>IF(AND(L1164&lt;&gt;"",LEFT(L1164,1)="N",M1164&lt;&gt;"PICKING",M1164&lt;&gt;""),1,0)</f>
        <v/>
      </c>
      <c r="O1164">
        <f>IF(N1164=1,M1164&amp;"|"&amp;L1164,REPT("z",40))</f>
        <v/>
      </c>
      <c r="P1164">
        <f>IF(N1164=1,COUNTIF($O$4:$O$2003,"&lt;"&amp;O1164)+1,"")</f>
        <v/>
      </c>
      <c r="Q1164">
        <f>IF(OR($R1163="",$R1163="T"),"",IF($R1163="B",$Q1163,IF($Q1163+1&gt;$K$3,"",$Q1163+1)))</f>
        <v/>
      </c>
      <c r="R1164">
        <f>IF(OR($R1163="",$R1163="T"),"",IF($R1163="B","S",IF($Q1163+1&gt;$K$3,"T",IF(INDEX($M$4:$M$2003,MATCH($Q1163+1,$P$4:$P$2003,0))&lt;&gt;INDEX($M$4:$M$2003,MATCH($Q1163,$P$4:$P$2003,0)),"B","S"))))</f>
        <v/>
      </c>
      <c r="S1164">
        <f>IF(Q1164="","",IFERROR(MATCH(Q1164,$P$4:$P$2003,0),""))</f>
        <v/>
      </c>
    </row>
    <row r="1165">
      <c r="A1165" s="4">
        <f>IF($R1165="","",IF($R1165="T","Gesamtergebnis",IF($R1165="B",INDEX($M$4:$M$2003,$S1165),INDEX($L$4:$L$2003,$S1165))))</f>
        <v/>
      </c>
      <c r="B1165" s="4">
        <f>IF($R1165="","",IF($R1165="T",$K$3,IF($R1165="B",COUNTIFS($M$4:$M$2003,INDEX($M$4:$M$2003,$S1165),$N$4:$N$2003,1),1)))</f>
        <v/>
      </c>
      <c r="L1165">
        <f>IF($K$1="","",IFERROR(INDEX(Lines!$A:$AA,ROW()-2,$K$1),""))</f>
        <v/>
      </c>
      <c r="M1165">
        <f>IF($K$2="","",IFERROR(INDEX(Lines!$A:$AA,ROW()-2,$K$2),""))</f>
        <v/>
      </c>
      <c r="N1165">
        <f>IF(AND(L1165&lt;&gt;"",LEFT(L1165,1)="N",M1165&lt;&gt;"PICKING",M1165&lt;&gt;""),1,0)</f>
        <v/>
      </c>
      <c r="O1165">
        <f>IF(N1165=1,M1165&amp;"|"&amp;L1165,REPT("z",40))</f>
        <v/>
      </c>
      <c r="P1165">
        <f>IF(N1165=1,COUNTIF($O$4:$O$2003,"&lt;"&amp;O1165)+1,"")</f>
        <v/>
      </c>
      <c r="Q1165">
        <f>IF(OR($R1164="",$R1164="T"),"",IF($R1164="B",$Q1164,IF($Q1164+1&gt;$K$3,"",$Q1164+1)))</f>
        <v/>
      </c>
      <c r="R1165">
        <f>IF(OR($R1164="",$R1164="T"),"",IF($R1164="B","S",IF($Q1164+1&gt;$K$3,"T",IF(INDEX($M$4:$M$2003,MATCH($Q1164+1,$P$4:$P$2003,0))&lt;&gt;INDEX($M$4:$M$2003,MATCH($Q1164,$P$4:$P$2003,0)),"B","S"))))</f>
        <v/>
      </c>
      <c r="S1165">
        <f>IF(Q1165="","",IFERROR(MATCH(Q1165,$P$4:$P$2003,0),""))</f>
        <v/>
      </c>
    </row>
    <row r="1166">
      <c r="A1166" s="4">
        <f>IF($R1166="","",IF($R1166="T","Gesamtergebnis",IF($R1166="B",INDEX($M$4:$M$2003,$S1166),INDEX($L$4:$L$2003,$S1166))))</f>
        <v/>
      </c>
      <c r="B1166" s="4">
        <f>IF($R1166="","",IF($R1166="T",$K$3,IF($R1166="B",COUNTIFS($M$4:$M$2003,INDEX($M$4:$M$2003,$S1166),$N$4:$N$2003,1),1)))</f>
        <v/>
      </c>
      <c r="L1166">
        <f>IF($K$1="","",IFERROR(INDEX(Lines!$A:$AA,ROW()-2,$K$1),""))</f>
        <v/>
      </c>
      <c r="M1166">
        <f>IF($K$2="","",IFERROR(INDEX(Lines!$A:$AA,ROW()-2,$K$2),""))</f>
        <v/>
      </c>
      <c r="N1166">
        <f>IF(AND(L1166&lt;&gt;"",LEFT(L1166,1)="N",M1166&lt;&gt;"PICKING",M1166&lt;&gt;""),1,0)</f>
        <v/>
      </c>
      <c r="O1166">
        <f>IF(N1166=1,M1166&amp;"|"&amp;L1166,REPT("z",40))</f>
        <v/>
      </c>
      <c r="P1166">
        <f>IF(N1166=1,COUNTIF($O$4:$O$2003,"&lt;"&amp;O1166)+1,"")</f>
        <v/>
      </c>
      <c r="Q1166">
        <f>IF(OR($R1165="",$R1165="T"),"",IF($R1165="B",$Q1165,IF($Q1165+1&gt;$K$3,"",$Q1165+1)))</f>
        <v/>
      </c>
      <c r="R1166">
        <f>IF(OR($R1165="",$R1165="T"),"",IF($R1165="B","S",IF($Q1165+1&gt;$K$3,"T",IF(INDEX($M$4:$M$2003,MATCH($Q1165+1,$P$4:$P$2003,0))&lt;&gt;INDEX($M$4:$M$2003,MATCH($Q1165,$P$4:$P$2003,0)),"B","S"))))</f>
        <v/>
      </c>
      <c r="S1166">
        <f>IF(Q1166="","",IFERROR(MATCH(Q1166,$P$4:$P$2003,0),""))</f>
        <v/>
      </c>
    </row>
    <row r="1167">
      <c r="A1167" s="4">
        <f>IF($R1167="","",IF($R1167="T","Gesamtergebnis",IF($R1167="B",INDEX($M$4:$M$2003,$S1167),INDEX($L$4:$L$2003,$S1167))))</f>
        <v/>
      </c>
      <c r="B1167" s="4">
        <f>IF($R1167="","",IF($R1167="T",$K$3,IF($R1167="B",COUNTIFS($M$4:$M$2003,INDEX($M$4:$M$2003,$S1167),$N$4:$N$2003,1),1)))</f>
        <v/>
      </c>
      <c r="L1167">
        <f>IF($K$1="","",IFERROR(INDEX(Lines!$A:$AA,ROW()-2,$K$1),""))</f>
        <v/>
      </c>
      <c r="M1167">
        <f>IF($K$2="","",IFERROR(INDEX(Lines!$A:$AA,ROW()-2,$K$2),""))</f>
        <v/>
      </c>
      <c r="N1167">
        <f>IF(AND(L1167&lt;&gt;"",LEFT(L1167,1)="N",M1167&lt;&gt;"PICKING",M1167&lt;&gt;""),1,0)</f>
        <v/>
      </c>
      <c r="O1167">
        <f>IF(N1167=1,M1167&amp;"|"&amp;L1167,REPT("z",40))</f>
        <v/>
      </c>
      <c r="P1167">
        <f>IF(N1167=1,COUNTIF($O$4:$O$2003,"&lt;"&amp;O1167)+1,"")</f>
        <v/>
      </c>
      <c r="Q1167">
        <f>IF(OR($R1166="",$R1166="T"),"",IF($R1166="B",$Q1166,IF($Q1166+1&gt;$K$3,"",$Q1166+1)))</f>
        <v/>
      </c>
      <c r="R1167">
        <f>IF(OR($R1166="",$R1166="T"),"",IF($R1166="B","S",IF($Q1166+1&gt;$K$3,"T",IF(INDEX($M$4:$M$2003,MATCH($Q1166+1,$P$4:$P$2003,0))&lt;&gt;INDEX($M$4:$M$2003,MATCH($Q1166,$P$4:$P$2003,0)),"B","S"))))</f>
        <v/>
      </c>
      <c r="S1167">
        <f>IF(Q1167="","",IFERROR(MATCH(Q1167,$P$4:$P$2003,0),""))</f>
        <v/>
      </c>
    </row>
    <row r="1168">
      <c r="A1168" s="4">
        <f>IF($R1168="","",IF($R1168="T","Gesamtergebnis",IF($R1168="B",INDEX($M$4:$M$2003,$S1168),INDEX($L$4:$L$2003,$S1168))))</f>
        <v/>
      </c>
      <c r="B1168" s="4">
        <f>IF($R1168="","",IF($R1168="T",$K$3,IF($R1168="B",COUNTIFS($M$4:$M$2003,INDEX($M$4:$M$2003,$S1168),$N$4:$N$2003,1),1)))</f>
        <v/>
      </c>
      <c r="L1168">
        <f>IF($K$1="","",IFERROR(INDEX(Lines!$A:$AA,ROW()-2,$K$1),""))</f>
        <v/>
      </c>
      <c r="M1168">
        <f>IF($K$2="","",IFERROR(INDEX(Lines!$A:$AA,ROW()-2,$K$2),""))</f>
        <v/>
      </c>
      <c r="N1168">
        <f>IF(AND(L1168&lt;&gt;"",LEFT(L1168,1)="N",M1168&lt;&gt;"PICKING",M1168&lt;&gt;""),1,0)</f>
        <v/>
      </c>
      <c r="O1168">
        <f>IF(N1168=1,M1168&amp;"|"&amp;L1168,REPT("z",40))</f>
        <v/>
      </c>
      <c r="P1168">
        <f>IF(N1168=1,COUNTIF($O$4:$O$2003,"&lt;"&amp;O1168)+1,"")</f>
        <v/>
      </c>
      <c r="Q1168">
        <f>IF(OR($R1167="",$R1167="T"),"",IF($R1167="B",$Q1167,IF($Q1167+1&gt;$K$3,"",$Q1167+1)))</f>
        <v/>
      </c>
      <c r="R1168">
        <f>IF(OR($R1167="",$R1167="T"),"",IF($R1167="B","S",IF($Q1167+1&gt;$K$3,"T",IF(INDEX($M$4:$M$2003,MATCH($Q1167+1,$P$4:$P$2003,0))&lt;&gt;INDEX($M$4:$M$2003,MATCH($Q1167,$P$4:$P$2003,0)),"B","S"))))</f>
        <v/>
      </c>
      <c r="S1168">
        <f>IF(Q1168="","",IFERROR(MATCH(Q1168,$P$4:$P$2003,0),""))</f>
        <v/>
      </c>
    </row>
    <row r="1169">
      <c r="A1169" s="4">
        <f>IF($R1169="","",IF($R1169="T","Gesamtergebnis",IF($R1169="B",INDEX($M$4:$M$2003,$S1169),INDEX($L$4:$L$2003,$S1169))))</f>
        <v/>
      </c>
      <c r="B1169" s="4">
        <f>IF($R1169="","",IF($R1169="T",$K$3,IF($R1169="B",COUNTIFS($M$4:$M$2003,INDEX($M$4:$M$2003,$S1169),$N$4:$N$2003,1),1)))</f>
        <v/>
      </c>
      <c r="L1169">
        <f>IF($K$1="","",IFERROR(INDEX(Lines!$A:$AA,ROW()-2,$K$1),""))</f>
        <v/>
      </c>
      <c r="M1169">
        <f>IF($K$2="","",IFERROR(INDEX(Lines!$A:$AA,ROW()-2,$K$2),""))</f>
        <v/>
      </c>
      <c r="N1169">
        <f>IF(AND(L1169&lt;&gt;"",LEFT(L1169,1)="N",M1169&lt;&gt;"PICKING",M1169&lt;&gt;""),1,0)</f>
        <v/>
      </c>
      <c r="O1169">
        <f>IF(N1169=1,M1169&amp;"|"&amp;L1169,REPT("z",40))</f>
        <v/>
      </c>
      <c r="P1169">
        <f>IF(N1169=1,COUNTIF($O$4:$O$2003,"&lt;"&amp;O1169)+1,"")</f>
        <v/>
      </c>
      <c r="Q1169">
        <f>IF(OR($R1168="",$R1168="T"),"",IF($R1168="B",$Q1168,IF($Q1168+1&gt;$K$3,"",$Q1168+1)))</f>
        <v/>
      </c>
      <c r="R1169">
        <f>IF(OR($R1168="",$R1168="T"),"",IF($R1168="B","S",IF($Q1168+1&gt;$K$3,"T",IF(INDEX($M$4:$M$2003,MATCH($Q1168+1,$P$4:$P$2003,0))&lt;&gt;INDEX($M$4:$M$2003,MATCH($Q1168,$P$4:$P$2003,0)),"B","S"))))</f>
        <v/>
      </c>
      <c r="S1169">
        <f>IF(Q1169="","",IFERROR(MATCH(Q1169,$P$4:$P$2003,0),""))</f>
        <v/>
      </c>
    </row>
    <row r="1170">
      <c r="A1170" s="4">
        <f>IF($R1170="","",IF($R1170="T","Gesamtergebnis",IF($R1170="B",INDEX($M$4:$M$2003,$S1170),INDEX($L$4:$L$2003,$S1170))))</f>
        <v/>
      </c>
      <c r="B1170" s="4">
        <f>IF($R1170="","",IF($R1170="T",$K$3,IF($R1170="B",COUNTIFS($M$4:$M$2003,INDEX($M$4:$M$2003,$S1170),$N$4:$N$2003,1),1)))</f>
        <v/>
      </c>
      <c r="L1170">
        <f>IF($K$1="","",IFERROR(INDEX(Lines!$A:$AA,ROW()-2,$K$1),""))</f>
        <v/>
      </c>
      <c r="M1170">
        <f>IF($K$2="","",IFERROR(INDEX(Lines!$A:$AA,ROW()-2,$K$2),""))</f>
        <v/>
      </c>
      <c r="N1170">
        <f>IF(AND(L1170&lt;&gt;"",LEFT(L1170,1)="N",M1170&lt;&gt;"PICKING",M1170&lt;&gt;""),1,0)</f>
        <v/>
      </c>
      <c r="O1170">
        <f>IF(N1170=1,M1170&amp;"|"&amp;L1170,REPT("z",40))</f>
        <v/>
      </c>
      <c r="P1170">
        <f>IF(N1170=1,COUNTIF($O$4:$O$2003,"&lt;"&amp;O1170)+1,"")</f>
        <v/>
      </c>
      <c r="Q1170">
        <f>IF(OR($R1169="",$R1169="T"),"",IF($R1169="B",$Q1169,IF($Q1169+1&gt;$K$3,"",$Q1169+1)))</f>
        <v/>
      </c>
      <c r="R1170">
        <f>IF(OR($R1169="",$R1169="T"),"",IF($R1169="B","S",IF($Q1169+1&gt;$K$3,"T",IF(INDEX($M$4:$M$2003,MATCH($Q1169+1,$P$4:$P$2003,0))&lt;&gt;INDEX($M$4:$M$2003,MATCH($Q1169,$P$4:$P$2003,0)),"B","S"))))</f>
        <v/>
      </c>
      <c r="S1170">
        <f>IF(Q1170="","",IFERROR(MATCH(Q1170,$P$4:$P$2003,0),""))</f>
        <v/>
      </c>
    </row>
    <row r="1171">
      <c r="A1171" s="4">
        <f>IF($R1171="","",IF($R1171="T","Gesamtergebnis",IF($R1171="B",INDEX($M$4:$M$2003,$S1171),INDEX($L$4:$L$2003,$S1171))))</f>
        <v/>
      </c>
      <c r="B1171" s="4">
        <f>IF($R1171="","",IF($R1171="T",$K$3,IF($R1171="B",COUNTIFS($M$4:$M$2003,INDEX($M$4:$M$2003,$S1171),$N$4:$N$2003,1),1)))</f>
        <v/>
      </c>
      <c r="L1171">
        <f>IF($K$1="","",IFERROR(INDEX(Lines!$A:$AA,ROW()-2,$K$1),""))</f>
        <v/>
      </c>
      <c r="M1171">
        <f>IF($K$2="","",IFERROR(INDEX(Lines!$A:$AA,ROW()-2,$K$2),""))</f>
        <v/>
      </c>
      <c r="N1171">
        <f>IF(AND(L1171&lt;&gt;"",LEFT(L1171,1)="N",M1171&lt;&gt;"PICKING",M1171&lt;&gt;""),1,0)</f>
        <v/>
      </c>
      <c r="O1171">
        <f>IF(N1171=1,M1171&amp;"|"&amp;L1171,REPT("z",40))</f>
        <v/>
      </c>
      <c r="P1171">
        <f>IF(N1171=1,COUNTIF($O$4:$O$2003,"&lt;"&amp;O1171)+1,"")</f>
        <v/>
      </c>
      <c r="Q1171">
        <f>IF(OR($R1170="",$R1170="T"),"",IF($R1170="B",$Q1170,IF($Q1170+1&gt;$K$3,"",$Q1170+1)))</f>
        <v/>
      </c>
      <c r="R1171">
        <f>IF(OR($R1170="",$R1170="T"),"",IF($R1170="B","S",IF($Q1170+1&gt;$K$3,"T",IF(INDEX($M$4:$M$2003,MATCH($Q1170+1,$P$4:$P$2003,0))&lt;&gt;INDEX($M$4:$M$2003,MATCH($Q1170,$P$4:$P$2003,0)),"B","S"))))</f>
        <v/>
      </c>
      <c r="S1171">
        <f>IF(Q1171="","",IFERROR(MATCH(Q1171,$P$4:$P$2003,0),""))</f>
        <v/>
      </c>
    </row>
    <row r="1172">
      <c r="A1172" s="4">
        <f>IF($R1172="","",IF($R1172="T","Gesamtergebnis",IF($R1172="B",INDEX($M$4:$M$2003,$S1172),INDEX($L$4:$L$2003,$S1172))))</f>
        <v/>
      </c>
      <c r="B1172" s="4">
        <f>IF($R1172="","",IF($R1172="T",$K$3,IF($R1172="B",COUNTIFS($M$4:$M$2003,INDEX($M$4:$M$2003,$S1172),$N$4:$N$2003,1),1)))</f>
        <v/>
      </c>
      <c r="L1172">
        <f>IF($K$1="","",IFERROR(INDEX(Lines!$A:$AA,ROW()-2,$K$1),""))</f>
        <v/>
      </c>
      <c r="M1172">
        <f>IF($K$2="","",IFERROR(INDEX(Lines!$A:$AA,ROW()-2,$K$2),""))</f>
        <v/>
      </c>
      <c r="N1172">
        <f>IF(AND(L1172&lt;&gt;"",LEFT(L1172,1)="N",M1172&lt;&gt;"PICKING",M1172&lt;&gt;""),1,0)</f>
        <v/>
      </c>
      <c r="O1172">
        <f>IF(N1172=1,M1172&amp;"|"&amp;L1172,REPT("z",40))</f>
        <v/>
      </c>
      <c r="P1172">
        <f>IF(N1172=1,COUNTIF($O$4:$O$2003,"&lt;"&amp;O1172)+1,"")</f>
        <v/>
      </c>
      <c r="Q1172">
        <f>IF(OR($R1171="",$R1171="T"),"",IF($R1171="B",$Q1171,IF($Q1171+1&gt;$K$3,"",$Q1171+1)))</f>
        <v/>
      </c>
      <c r="R1172">
        <f>IF(OR($R1171="",$R1171="T"),"",IF($R1171="B","S",IF($Q1171+1&gt;$K$3,"T",IF(INDEX($M$4:$M$2003,MATCH($Q1171+1,$P$4:$P$2003,0))&lt;&gt;INDEX($M$4:$M$2003,MATCH($Q1171,$P$4:$P$2003,0)),"B","S"))))</f>
        <v/>
      </c>
      <c r="S1172">
        <f>IF(Q1172="","",IFERROR(MATCH(Q1172,$P$4:$P$2003,0),""))</f>
        <v/>
      </c>
    </row>
    <row r="1173">
      <c r="A1173" s="4">
        <f>IF($R1173="","",IF($R1173="T","Gesamtergebnis",IF($R1173="B",INDEX($M$4:$M$2003,$S1173),INDEX($L$4:$L$2003,$S1173))))</f>
        <v/>
      </c>
      <c r="B1173" s="4">
        <f>IF($R1173="","",IF($R1173="T",$K$3,IF($R1173="B",COUNTIFS($M$4:$M$2003,INDEX($M$4:$M$2003,$S1173),$N$4:$N$2003,1),1)))</f>
        <v/>
      </c>
      <c r="L1173">
        <f>IF($K$1="","",IFERROR(INDEX(Lines!$A:$AA,ROW()-2,$K$1),""))</f>
        <v/>
      </c>
      <c r="M1173">
        <f>IF($K$2="","",IFERROR(INDEX(Lines!$A:$AA,ROW()-2,$K$2),""))</f>
        <v/>
      </c>
      <c r="N1173">
        <f>IF(AND(L1173&lt;&gt;"",LEFT(L1173,1)="N",M1173&lt;&gt;"PICKING",M1173&lt;&gt;""),1,0)</f>
        <v/>
      </c>
      <c r="O1173">
        <f>IF(N1173=1,M1173&amp;"|"&amp;L1173,REPT("z",40))</f>
        <v/>
      </c>
      <c r="P1173">
        <f>IF(N1173=1,COUNTIF($O$4:$O$2003,"&lt;"&amp;O1173)+1,"")</f>
        <v/>
      </c>
      <c r="Q1173">
        <f>IF(OR($R1172="",$R1172="T"),"",IF($R1172="B",$Q1172,IF($Q1172+1&gt;$K$3,"",$Q1172+1)))</f>
        <v/>
      </c>
      <c r="R1173">
        <f>IF(OR($R1172="",$R1172="T"),"",IF($R1172="B","S",IF($Q1172+1&gt;$K$3,"T",IF(INDEX($M$4:$M$2003,MATCH($Q1172+1,$P$4:$P$2003,0))&lt;&gt;INDEX($M$4:$M$2003,MATCH($Q1172,$P$4:$P$2003,0)),"B","S"))))</f>
        <v/>
      </c>
      <c r="S1173">
        <f>IF(Q1173="","",IFERROR(MATCH(Q1173,$P$4:$P$2003,0),""))</f>
        <v/>
      </c>
    </row>
    <row r="1174">
      <c r="A1174" s="4">
        <f>IF($R1174="","",IF($R1174="T","Gesamtergebnis",IF($R1174="B",INDEX($M$4:$M$2003,$S1174),INDEX($L$4:$L$2003,$S1174))))</f>
        <v/>
      </c>
      <c r="B1174" s="4">
        <f>IF($R1174="","",IF($R1174="T",$K$3,IF($R1174="B",COUNTIFS($M$4:$M$2003,INDEX($M$4:$M$2003,$S1174),$N$4:$N$2003,1),1)))</f>
        <v/>
      </c>
      <c r="L1174">
        <f>IF($K$1="","",IFERROR(INDEX(Lines!$A:$AA,ROW()-2,$K$1),""))</f>
        <v/>
      </c>
      <c r="M1174">
        <f>IF($K$2="","",IFERROR(INDEX(Lines!$A:$AA,ROW()-2,$K$2),""))</f>
        <v/>
      </c>
      <c r="N1174">
        <f>IF(AND(L1174&lt;&gt;"",LEFT(L1174,1)="N",M1174&lt;&gt;"PICKING",M1174&lt;&gt;""),1,0)</f>
        <v/>
      </c>
      <c r="O1174">
        <f>IF(N1174=1,M1174&amp;"|"&amp;L1174,REPT("z",40))</f>
        <v/>
      </c>
      <c r="P1174">
        <f>IF(N1174=1,COUNTIF($O$4:$O$2003,"&lt;"&amp;O1174)+1,"")</f>
        <v/>
      </c>
      <c r="Q1174">
        <f>IF(OR($R1173="",$R1173="T"),"",IF($R1173="B",$Q1173,IF($Q1173+1&gt;$K$3,"",$Q1173+1)))</f>
        <v/>
      </c>
      <c r="R1174">
        <f>IF(OR($R1173="",$R1173="T"),"",IF($R1173="B","S",IF($Q1173+1&gt;$K$3,"T",IF(INDEX($M$4:$M$2003,MATCH($Q1173+1,$P$4:$P$2003,0))&lt;&gt;INDEX($M$4:$M$2003,MATCH($Q1173,$P$4:$P$2003,0)),"B","S"))))</f>
        <v/>
      </c>
      <c r="S1174">
        <f>IF(Q1174="","",IFERROR(MATCH(Q1174,$P$4:$P$2003,0),""))</f>
        <v/>
      </c>
    </row>
    <row r="1175">
      <c r="A1175" s="4">
        <f>IF($R1175="","",IF($R1175="T","Gesamtergebnis",IF($R1175="B",INDEX($M$4:$M$2003,$S1175),INDEX($L$4:$L$2003,$S1175))))</f>
        <v/>
      </c>
      <c r="B1175" s="4">
        <f>IF($R1175="","",IF($R1175="T",$K$3,IF($R1175="B",COUNTIFS($M$4:$M$2003,INDEX($M$4:$M$2003,$S1175),$N$4:$N$2003,1),1)))</f>
        <v/>
      </c>
      <c r="L1175">
        <f>IF($K$1="","",IFERROR(INDEX(Lines!$A:$AA,ROW()-2,$K$1),""))</f>
        <v/>
      </c>
      <c r="M1175">
        <f>IF($K$2="","",IFERROR(INDEX(Lines!$A:$AA,ROW()-2,$K$2),""))</f>
        <v/>
      </c>
      <c r="N1175">
        <f>IF(AND(L1175&lt;&gt;"",LEFT(L1175,1)="N",M1175&lt;&gt;"PICKING",M1175&lt;&gt;""),1,0)</f>
        <v/>
      </c>
      <c r="O1175">
        <f>IF(N1175=1,M1175&amp;"|"&amp;L1175,REPT("z",40))</f>
        <v/>
      </c>
      <c r="P1175">
        <f>IF(N1175=1,COUNTIF($O$4:$O$2003,"&lt;"&amp;O1175)+1,"")</f>
        <v/>
      </c>
      <c r="Q1175">
        <f>IF(OR($R1174="",$R1174="T"),"",IF($R1174="B",$Q1174,IF($Q1174+1&gt;$K$3,"",$Q1174+1)))</f>
        <v/>
      </c>
      <c r="R1175">
        <f>IF(OR($R1174="",$R1174="T"),"",IF($R1174="B","S",IF($Q1174+1&gt;$K$3,"T",IF(INDEX($M$4:$M$2003,MATCH($Q1174+1,$P$4:$P$2003,0))&lt;&gt;INDEX($M$4:$M$2003,MATCH($Q1174,$P$4:$P$2003,0)),"B","S"))))</f>
        <v/>
      </c>
      <c r="S1175">
        <f>IF(Q1175="","",IFERROR(MATCH(Q1175,$P$4:$P$2003,0),""))</f>
        <v/>
      </c>
    </row>
    <row r="1176">
      <c r="A1176" s="4">
        <f>IF($R1176="","",IF($R1176="T","Gesamtergebnis",IF($R1176="B",INDEX($M$4:$M$2003,$S1176),INDEX($L$4:$L$2003,$S1176))))</f>
        <v/>
      </c>
      <c r="B1176" s="4">
        <f>IF($R1176="","",IF($R1176="T",$K$3,IF($R1176="B",COUNTIFS($M$4:$M$2003,INDEX($M$4:$M$2003,$S1176),$N$4:$N$2003,1),1)))</f>
        <v/>
      </c>
      <c r="L1176">
        <f>IF($K$1="","",IFERROR(INDEX(Lines!$A:$AA,ROW()-2,$K$1),""))</f>
        <v/>
      </c>
      <c r="M1176">
        <f>IF($K$2="","",IFERROR(INDEX(Lines!$A:$AA,ROW()-2,$K$2),""))</f>
        <v/>
      </c>
      <c r="N1176">
        <f>IF(AND(L1176&lt;&gt;"",LEFT(L1176,1)="N",M1176&lt;&gt;"PICKING",M1176&lt;&gt;""),1,0)</f>
        <v/>
      </c>
      <c r="O1176">
        <f>IF(N1176=1,M1176&amp;"|"&amp;L1176,REPT("z",40))</f>
        <v/>
      </c>
      <c r="P1176">
        <f>IF(N1176=1,COUNTIF($O$4:$O$2003,"&lt;"&amp;O1176)+1,"")</f>
        <v/>
      </c>
      <c r="Q1176">
        <f>IF(OR($R1175="",$R1175="T"),"",IF($R1175="B",$Q1175,IF($Q1175+1&gt;$K$3,"",$Q1175+1)))</f>
        <v/>
      </c>
      <c r="R1176">
        <f>IF(OR($R1175="",$R1175="T"),"",IF($R1175="B","S",IF($Q1175+1&gt;$K$3,"T",IF(INDEX($M$4:$M$2003,MATCH($Q1175+1,$P$4:$P$2003,0))&lt;&gt;INDEX($M$4:$M$2003,MATCH($Q1175,$P$4:$P$2003,0)),"B","S"))))</f>
        <v/>
      </c>
      <c r="S1176">
        <f>IF(Q1176="","",IFERROR(MATCH(Q1176,$P$4:$P$2003,0),""))</f>
        <v/>
      </c>
    </row>
    <row r="1177">
      <c r="A1177" s="4">
        <f>IF($R1177="","",IF($R1177="T","Gesamtergebnis",IF($R1177="B",INDEX($M$4:$M$2003,$S1177),INDEX($L$4:$L$2003,$S1177))))</f>
        <v/>
      </c>
      <c r="B1177" s="4">
        <f>IF($R1177="","",IF($R1177="T",$K$3,IF($R1177="B",COUNTIFS($M$4:$M$2003,INDEX($M$4:$M$2003,$S1177),$N$4:$N$2003,1),1)))</f>
        <v/>
      </c>
      <c r="L1177">
        <f>IF($K$1="","",IFERROR(INDEX(Lines!$A:$AA,ROW()-2,$K$1),""))</f>
        <v/>
      </c>
      <c r="M1177">
        <f>IF($K$2="","",IFERROR(INDEX(Lines!$A:$AA,ROW()-2,$K$2),""))</f>
        <v/>
      </c>
      <c r="N1177">
        <f>IF(AND(L1177&lt;&gt;"",LEFT(L1177,1)="N",M1177&lt;&gt;"PICKING",M1177&lt;&gt;""),1,0)</f>
        <v/>
      </c>
      <c r="O1177">
        <f>IF(N1177=1,M1177&amp;"|"&amp;L1177,REPT("z",40))</f>
        <v/>
      </c>
      <c r="P1177">
        <f>IF(N1177=1,COUNTIF($O$4:$O$2003,"&lt;"&amp;O1177)+1,"")</f>
        <v/>
      </c>
      <c r="Q1177">
        <f>IF(OR($R1176="",$R1176="T"),"",IF($R1176="B",$Q1176,IF($Q1176+1&gt;$K$3,"",$Q1176+1)))</f>
        <v/>
      </c>
      <c r="R1177">
        <f>IF(OR($R1176="",$R1176="T"),"",IF($R1176="B","S",IF($Q1176+1&gt;$K$3,"T",IF(INDEX($M$4:$M$2003,MATCH($Q1176+1,$P$4:$P$2003,0))&lt;&gt;INDEX($M$4:$M$2003,MATCH($Q1176,$P$4:$P$2003,0)),"B","S"))))</f>
        <v/>
      </c>
      <c r="S1177">
        <f>IF(Q1177="","",IFERROR(MATCH(Q1177,$P$4:$P$2003,0),""))</f>
        <v/>
      </c>
    </row>
    <row r="1178">
      <c r="A1178" s="4">
        <f>IF($R1178="","",IF($R1178="T","Gesamtergebnis",IF($R1178="B",INDEX($M$4:$M$2003,$S1178),INDEX($L$4:$L$2003,$S1178))))</f>
        <v/>
      </c>
      <c r="B1178" s="4">
        <f>IF($R1178="","",IF($R1178="T",$K$3,IF($R1178="B",COUNTIFS($M$4:$M$2003,INDEX($M$4:$M$2003,$S1178),$N$4:$N$2003,1),1)))</f>
        <v/>
      </c>
      <c r="L1178">
        <f>IF($K$1="","",IFERROR(INDEX(Lines!$A:$AA,ROW()-2,$K$1),""))</f>
        <v/>
      </c>
      <c r="M1178">
        <f>IF($K$2="","",IFERROR(INDEX(Lines!$A:$AA,ROW()-2,$K$2),""))</f>
        <v/>
      </c>
      <c r="N1178">
        <f>IF(AND(L1178&lt;&gt;"",LEFT(L1178,1)="N",M1178&lt;&gt;"PICKING",M1178&lt;&gt;""),1,0)</f>
        <v/>
      </c>
      <c r="O1178">
        <f>IF(N1178=1,M1178&amp;"|"&amp;L1178,REPT("z",40))</f>
        <v/>
      </c>
      <c r="P1178">
        <f>IF(N1178=1,COUNTIF($O$4:$O$2003,"&lt;"&amp;O1178)+1,"")</f>
        <v/>
      </c>
      <c r="Q1178">
        <f>IF(OR($R1177="",$R1177="T"),"",IF($R1177="B",$Q1177,IF($Q1177+1&gt;$K$3,"",$Q1177+1)))</f>
        <v/>
      </c>
      <c r="R1178">
        <f>IF(OR($R1177="",$R1177="T"),"",IF($R1177="B","S",IF($Q1177+1&gt;$K$3,"T",IF(INDEX($M$4:$M$2003,MATCH($Q1177+1,$P$4:$P$2003,0))&lt;&gt;INDEX($M$4:$M$2003,MATCH($Q1177,$P$4:$P$2003,0)),"B","S"))))</f>
        <v/>
      </c>
      <c r="S1178">
        <f>IF(Q1178="","",IFERROR(MATCH(Q1178,$P$4:$P$2003,0),""))</f>
        <v/>
      </c>
    </row>
    <row r="1179">
      <c r="A1179" s="4">
        <f>IF($R1179="","",IF($R1179="T","Gesamtergebnis",IF($R1179="B",INDEX($M$4:$M$2003,$S1179),INDEX($L$4:$L$2003,$S1179))))</f>
        <v/>
      </c>
      <c r="B1179" s="4">
        <f>IF($R1179="","",IF($R1179="T",$K$3,IF($R1179="B",COUNTIFS($M$4:$M$2003,INDEX($M$4:$M$2003,$S1179),$N$4:$N$2003,1),1)))</f>
        <v/>
      </c>
      <c r="L1179">
        <f>IF($K$1="","",IFERROR(INDEX(Lines!$A:$AA,ROW()-2,$K$1),""))</f>
        <v/>
      </c>
      <c r="M1179">
        <f>IF($K$2="","",IFERROR(INDEX(Lines!$A:$AA,ROW()-2,$K$2),""))</f>
        <v/>
      </c>
      <c r="N1179">
        <f>IF(AND(L1179&lt;&gt;"",LEFT(L1179,1)="N",M1179&lt;&gt;"PICKING",M1179&lt;&gt;""),1,0)</f>
        <v/>
      </c>
      <c r="O1179">
        <f>IF(N1179=1,M1179&amp;"|"&amp;L1179,REPT("z",40))</f>
        <v/>
      </c>
      <c r="P1179">
        <f>IF(N1179=1,COUNTIF($O$4:$O$2003,"&lt;"&amp;O1179)+1,"")</f>
        <v/>
      </c>
      <c r="Q1179">
        <f>IF(OR($R1178="",$R1178="T"),"",IF($R1178="B",$Q1178,IF($Q1178+1&gt;$K$3,"",$Q1178+1)))</f>
        <v/>
      </c>
      <c r="R1179">
        <f>IF(OR($R1178="",$R1178="T"),"",IF($R1178="B","S",IF($Q1178+1&gt;$K$3,"T",IF(INDEX($M$4:$M$2003,MATCH($Q1178+1,$P$4:$P$2003,0))&lt;&gt;INDEX($M$4:$M$2003,MATCH($Q1178,$P$4:$P$2003,0)),"B","S"))))</f>
        <v/>
      </c>
      <c r="S1179">
        <f>IF(Q1179="","",IFERROR(MATCH(Q1179,$P$4:$P$2003,0),""))</f>
        <v/>
      </c>
    </row>
    <row r="1180">
      <c r="A1180" s="4">
        <f>IF($R1180="","",IF($R1180="T","Gesamtergebnis",IF($R1180="B",INDEX($M$4:$M$2003,$S1180),INDEX($L$4:$L$2003,$S1180))))</f>
        <v/>
      </c>
      <c r="B1180" s="4">
        <f>IF($R1180="","",IF($R1180="T",$K$3,IF($R1180="B",COUNTIFS($M$4:$M$2003,INDEX($M$4:$M$2003,$S1180),$N$4:$N$2003,1),1)))</f>
        <v/>
      </c>
      <c r="L1180">
        <f>IF($K$1="","",IFERROR(INDEX(Lines!$A:$AA,ROW()-2,$K$1),""))</f>
        <v/>
      </c>
      <c r="M1180">
        <f>IF($K$2="","",IFERROR(INDEX(Lines!$A:$AA,ROW()-2,$K$2),""))</f>
        <v/>
      </c>
      <c r="N1180">
        <f>IF(AND(L1180&lt;&gt;"",LEFT(L1180,1)="N",M1180&lt;&gt;"PICKING",M1180&lt;&gt;""),1,0)</f>
        <v/>
      </c>
      <c r="O1180">
        <f>IF(N1180=1,M1180&amp;"|"&amp;L1180,REPT("z",40))</f>
        <v/>
      </c>
      <c r="P1180">
        <f>IF(N1180=1,COUNTIF($O$4:$O$2003,"&lt;"&amp;O1180)+1,"")</f>
        <v/>
      </c>
      <c r="Q1180">
        <f>IF(OR($R1179="",$R1179="T"),"",IF($R1179="B",$Q1179,IF($Q1179+1&gt;$K$3,"",$Q1179+1)))</f>
        <v/>
      </c>
      <c r="R1180">
        <f>IF(OR($R1179="",$R1179="T"),"",IF($R1179="B","S",IF($Q1179+1&gt;$K$3,"T",IF(INDEX($M$4:$M$2003,MATCH($Q1179+1,$P$4:$P$2003,0))&lt;&gt;INDEX($M$4:$M$2003,MATCH($Q1179,$P$4:$P$2003,0)),"B","S"))))</f>
        <v/>
      </c>
      <c r="S1180">
        <f>IF(Q1180="","",IFERROR(MATCH(Q1180,$P$4:$P$2003,0),""))</f>
        <v/>
      </c>
    </row>
    <row r="1181">
      <c r="A1181" s="4">
        <f>IF($R1181="","",IF($R1181="T","Gesamtergebnis",IF($R1181="B",INDEX($M$4:$M$2003,$S1181),INDEX($L$4:$L$2003,$S1181))))</f>
        <v/>
      </c>
      <c r="B1181" s="4">
        <f>IF($R1181="","",IF($R1181="T",$K$3,IF($R1181="B",COUNTIFS($M$4:$M$2003,INDEX($M$4:$M$2003,$S1181),$N$4:$N$2003,1),1)))</f>
        <v/>
      </c>
      <c r="L1181">
        <f>IF($K$1="","",IFERROR(INDEX(Lines!$A:$AA,ROW()-2,$K$1),""))</f>
        <v/>
      </c>
      <c r="M1181">
        <f>IF($K$2="","",IFERROR(INDEX(Lines!$A:$AA,ROW()-2,$K$2),""))</f>
        <v/>
      </c>
      <c r="N1181">
        <f>IF(AND(L1181&lt;&gt;"",LEFT(L1181,1)="N",M1181&lt;&gt;"PICKING",M1181&lt;&gt;""),1,0)</f>
        <v/>
      </c>
      <c r="O1181">
        <f>IF(N1181=1,M1181&amp;"|"&amp;L1181,REPT("z",40))</f>
        <v/>
      </c>
      <c r="P1181">
        <f>IF(N1181=1,COUNTIF($O$4:$O$2003,"&lt;"&amp;O1181)+1,"")</f>
        <v/>
      </c>
      <c r="Q1181">
        <f>IF(OR($R1180="",$R1180="T"),"",IF($R1180="B",$Q1180,IF($Q1180+1&gt;$K$3,"",$Q1180+1)))</f>
        <v/>
      </c>
      <c r="R1181">
        <f>IF(OR($R1180="",$R1180="T"),"",IF($R1180="B","S",IF($Q1180+1&gt;$K$3,"T",IF(INDEX($M$4:$M$2003,MATCH($Q1180+1,$P$4:$P$2003,0))&lt;&gt;INDEX($M$4:$M$2003,MATCH($Q1180,$P$4:$P$2003,0)),"B","S"))))</f>
        <v/>
      </c>
      <c r="S1181">
        <f>IF(Q1181="","",IFERROR(MATCH(Q1181,$P$4:$P$2003,0),""))</f>
        <v/>
      </c>
    </row>
    <row r="1182">
      <c r="A1182" s="4">
        <f>IF($R1182="","",IF($R1182="T","Gesamtergebnis",IF($R1182="B",INDEX($M$4:$M$2003,$S1182),INDEX($L$4:$L$2003,$S1182))))</f>
        <v/>
      </c>
      <c r="B1182" s="4">
        <f>IF($R1182="","",IF($R1182="T",$K$3,IF($R1182="B",COUNTIFS($M$4:$M$2003,INDEX($M$4:$M$2003,$S1182),$N$4:$N$2003,1),1)))</f>
        <v/>
      </c>
      <c r="L1182">
        <f>IF($K$1="","",IFERROR(INDEX(Lines!$A:$AA,ROW()-2,$K$1),""))</f>
        <v/>
      </c>
      <c r="M1182">
        <f>IF($K$2="","",IFERROR(INDEX(Lines!$A:$AA,ROW()-2,$K$2),""))</f>
        <v/>
      </c>
      <c r="N1182">
        <f>IF(AND(L1182&lt;&gt;"",LEFT(L1182,1)="N",M1182&lt;&gt;"PICKING",M1182&lt;&gt;""),1,0)</f>
        <v/>
      </c>
      <c r="O1182">
        <f>IF(N1182=1,M1182&amp;"|"&amp;L1182,REPT("z",40))</f>
        <v/>
      </c>
      <c r="P1182">
        <f>IF(N1182=1,COUNTIF($O$4:$O$2003,"&lt;"&amp;O1182)+1,"")</f>
        <v/>
      </c>
      <c r="Q1182">
        <f>IF(OR($R1181="",$R1181="T"),"",IF($R1181="B",$Q1181,IF($Q1181+1&gt;$K$3,"",$Q1181+1)))</f>
        <v/>
      </c>
      <c r="R1182">
        <f>IF(OR($R1181="",$R1181="T"),"",IF($R1181="B","S",IF($Q1181+1&gt;$K$3,"T",IF(INDEX($M$4:$M$2003,MATCH($Q1181+1,$P$4:$P$2003,0))&lt;&gt;INDEX($M$4:$M$2003,MATCH($Q1181,$P$4:$P$2003,0)),"B","S"))))</f>
        <v/>
      </c>
      <c r="S1182">
        <f>IF(Q1182="","",IFERROR(MATCH(Q1182,$P$4:$P$2003,0),""))</f>
        <v/>
      </c>
    </row>
    <row r="1183">
      <c r="A1183" s="4">
        <f>IF($R1183="","",IF($R1183="T","Gesamtergebnis",IF($R1183="B",INDEX($M$4:$M$2003,$S1183),INDEX($L$4:$L$2003,$S1183))))</f>
        <v/>
      </c>
      <c r="B1183" s="4">
        <f>IF($R1183="","",IF($R1183="T",$K$3,IF($R1183="B",COUNTIFS($M$4:$M$2003,INDEX($M$4:$M$2003,$S1183),$N$4:$N$2003,1),1)))</f>
        <v/>
      </c>
      <c r="L1183">
        <f>IF($K$1="","",IFERROR(INDEX(Lines!$A:$AA,ROW()-2,$K$1),""))</f>
        <v/>
      </c>
      <c r="M1183">
        <f>IF($K$2="","",IFERROR(INDEX(Lines!$A:$AA,ROW()-2,$K$2),""))</f>
        <v/>
      </c>
      <c r="N1183">
        <f>IF(AND(L1183&lt;&gt;"",LEFT(L1183,1)="N",M1183&lt;&gt;"PICKING",M1183&lt;&gt;""),1,0)</f>
        <v/>
      </c>
      <c r="O1183">
        <f>IF(N1183=1,M1183&amp;"|"&amp;L1183,REPT("z",40))</f>
        <v/>
      </c>
      <c r="P1183">
        <f>IF(N1183=1,COUNTIF($O$4:$O$2003,"&lt;"&amp;O1183)+1,"")</f>
        <v/>
      </c>
      <c r="Q1183">
        <f>IF(OR($R1182="",$R1182="T"),"",IF($R1182="B",$Q1182,IF($Q1182+1&gt;$K$3,"",$Q1182+1)))</f>
        <v/>
      </c>
      <c r="R1183">
        <f>IF(OR($R1182="",$R1182="T"),"",IF($R1182="B","S",IF($Q1182+1&gt;$K$3,"T",IF(INDEX($M$4:$M$2003,MATCH($Q1182+1,$P$4:$P$2003,0))&lt;&gt;INDEX($M$4:$M$2003,MATCH($Q1182,$P$4:$P$2003,0)),"B","S"))))</f>
        <v/>
      </c>
      <c r="S1183">
        <f>IF(Q1183="","",IFERROR(MATCH(Q1183,$P$4:$P$2003,0),""))</f>
        <v/>
      </c>
    </row>
    <row r="1184">
      <c r="A1184" s="4">
        <f>IF($R1184="","",IF($R1184="T","Gesamtergebnis",IF($R1184="B",INDEX($M$4:$M$2003,$S1184),INDEX($L$4:$L$2003,$S1184))))</f>
        <v/>
      </c>
      <c r="B1184" s="4">
        <f>IF($R1184="","",IF($R1184="T",$K$3,IF($R1184="B",COUNTIFS($M$4:$M$2003,INDEX($M$4:$M$2003,$S1184),$N$4:$N$2003,1),1)))</f>
        <v/>
      </c>
      <c r="L1184">
        <f>IF($K$1="","",IFERROR(INDEX(Lines!$A:$AA,ROW()-2,$K$1),""))</f>
        <v/>
      </c>
      <c r="M1184">
        <f>IF($K$2="","",IFERROR(INDEX(Lines!$A:$AA,ROW()-2,$K$2),""))</f>
        <v/>
      </c>
      <c r="N1184">
        <f>IF(AND(L1184&lt;&gt;"",LEFT(L1184,1)="N",M1184&lt;&gt;"PICKING",M1184&lt;&gt;""),1,0)</f>
        <v/>
      </c>
      <c r="O1184">
        <f>IF(N1184=1,M1184&amp;"|"&amp;L1184,REPT("z",40))</f>
        <v/>
      </c>
      <c r="P1184">
        <f>IF(N1184=1,COUNTIF($O$4:$O$2003,"&lt;"&amp;O1184)+1,"")</f>
        <v/>
      </c>
      <c r="Q1184">
        <f>IF(OR($R1183="",$R1183="T"),"",IF($R1183="B",$Q1183,IF($Q1183+1&gt;$K$3,"",$Q1183+1)))</f>
        <v/>
      </c>
      <c r="R1184">
        <f>IF(OR($R1183="",$R1183="T"),"",IF($R1183="B","S",IF($Q1183+1&gt;$K$3,"T",IF(INDEX($M$4:$M$2003,MATCH($Q1183+1,$P$4:$P$2003,0))&lt;&gt;INDEX($M$4:$M$2003,MATCH($Q1183,$P$4:$P$2003,0)),"B","S"))))</f>
        <v/>
      </c>
      <c r="S1184">
        <f>IF(Q1184="","",IFERROR(MATCH(Q1184,$P$4:$P$2003,0),""))</f>
        <v/>
      </c>
    </row>
    <row r="1185">
      <c r="A1185" s="4">
        <f>IF($R1185="","",IF($R1185="T","Gesamtergebnis",IF($R1185="B",INDEX($M$4:$M$2003,$S1185),INDEX($L$4:$L$2003,$S1185))))</f>
        <v/>
      </c>
      <c r="B1185" s="4">
        <f>IF($R1185="","",IF($R1185="T",$K$3,IF($R1185="B",COUNTIFS($M$4:$M$2003,INDEX($M$4:$M$2003,$S1185),$N$4:$N$2003,1),1)))</f>
        <v/>
      </c>
      <c r="L1185">
        <f>IF($K$1="","",IFERROR(INDEX(Lines!$A:$AA,ROW()-2,$K$1),""))</f>
        <v/>
      </c>
      <c r="M1185">
        <f>IF($K$2="","",IFERROR(INDEX(Lines!$A:$AA,ROW()-2,$K$2),""))</f>
        <v/>
      </c>
      <c r="N1185">
        <f>IF(AND(L1185&lt;&gt;"",LEFT(L1185,1)="N",M1185&lt;&gt;"PICKING",M1185&lt;&gt;""),1,0)</f>
        <v/>
      </c>
      <c r="O1185">
        <f>IF(N1185=1,M1185&amp;"|"&amp;L1185,REPT("z",40))</f>
        <v/>
      </c>
      <c r="P1185">
        <f>IF(N1185=1,COUNTIF($O$4:$O$2003,"&lt;"&amp;O1185)+1,"")</f>
        <v/>
      </c>
      <c r="Q1185">
        <f>IF(OR($R1184="",$R1184="T"),"",IF($R1184="B",$Q1184,IF($Q1184+1&gt;$K$3,"",$Q1184+1)))</f>
        <v/>
      </c>
      <c r="R1185">
        <f>IF(OR($R1184="",$R1184="T"),"",IF($R1184="B","S",IF($Q1184+1&gt;$K$3,"T",IF(INDEX($M$4:$M$2003,MATCH($Q1184+1,$P$4:$P$2003,0))&lt;&gt;INDEX($M$4:$M$2003,MATCH($Q1184,$P$4:$P$2003,0)),"B","S"))))</f>
        <v/>
      </c>
      <c r="S1185">
        <f>IF(Q1185="","",IFERROR(MATCH(Q1185,$P$4:$P$2003,0),""))</f>
        <v/>
      </c>
    </row>
    <row r="1186">
      <c r="A1186" s="4">
        <f>IF($R1186="","",IF($R1186="T","Gesamtergebnis",IF($R1186="B",INDEX($M$4:$M$2003,$S1186),INDEX($L$4:$L$2003,$S1186))))</f>
        <v/>
      </c>
      <c r="B1186" s="4">
        <f>IF($R1186="","",IF($R1186="T",$K$3,IF($R1186="B",COUNTIFS($M$4:$M$2003,INDEX($M$4:$M$2003,$S1186),$N$4:$N$2003,1),1)))</f>
        <v/>
      </c>
      <c r="L1186">
        <f>IF($K$1="","",IFERROR(INDEX(Lines!$A:$AA,ROW()-2,$K$1),""))</f>
        <v/>
      </c>
      <c r="M1186">
        <f>IF($K$2="","",IFERROR(INDEX(Lines!$A:$AA,ROW()-2,$K$2),""))</f>
        <v/>
      </c>
      <c r="N1186">
        <f>IF(AND(L1186&lt;&gt;"",LEFT(L1186,1)="N",M1186&lt;&gt;"PICKING",M1186&lt;&gt;""),1,0)</f>
        <v/>
      </c>
      <c r="O1186">
        <f>IF(N1186=1,M1186&amp;"|"&amp;L1186,REPT("z",40))</f>
        <v/>
      </c>
      <c r="P1186">
        <f>IF(N1186=1,COUNTIF($O$4:$O$2003,"&lt;"&amp;O1186)+1,"")</f>
        <v/>
      </c>
      <c r="Q1186">
        <f>IF(OR($R1185="",$R1185="T"),"",IF($R1185="B",$Q1185,IF($Q1185+1&gt;$K$3,"",$Q1185+1)))</f>
        <v/>
      </c>
      <c r="R1186">
        <f>IF(OR($R1185="",$R1185="T"),"",IF($R1185="B","S",IF($Q1185+1&gt;$K$3,"T",IF(INDEX($M$4:$M$2003,MATCH($Q1185+1,$P$4:$P$2003,0))&lt;&gt;INDEX($M$4:$M$2003,MATCH($Q1185,$P$4:$P$2003,0)),"B","S"))))</f>
        <v/>
      </c>
      <c r="S1186">
        <f>IF(Q1186="","",IFERROR(MATCH(Q1186,$P$4:$P$2003,0),""))</f>
        <v/>
      </c>
    </row>
    <row r="1187">
      <c r="A1187" s="4">
        <f>IF($R1187="","",IF($R1187="T","Gesamtergebnis",IF($R1187="B",INDEX($M$4:$M$2003,$S1187),INDEX($L$4:$L$2003,$S1187))))</f>
        <v/>
      </c>
      <c r="B1187" s="4">
        <f>IF($R1187="","",IF($R1187="T",$K$3,IF($R1187="B",COUNTIFS($M$4:$M$2003,INDEX($M$4:$M$2003,$S1187),$N$4:$N$2003,1),1)))</f>
        <v/>
      </c>
      <c r="L1187">
        <f>IF($K$1="","",IFERROR(INDEX(Lines!$A:$AA,ROW()-2,$K$1),""))</f>
        <v/>
      </c>
      <c r="M1187">
        <f>IF($K$2="","",IFERROR(INDEX(Lines!$A:$AA,ROW()-2,$K$2),""))</f>
        <v/>
      </c>
      <c r="N1187">
        <f>IF(AND(L1187&lt;&gt;"",LEFT(L1187,1)="N",M1187&lt;&gt;"PICKING",M1187&lt;&gt;""),1,0)</f>
        <v/>
      </c>
      <c r="O1187">
        <f>IF(N1187=1,M1187&amp;"|"&amp;L1187,REPT("z",40))</f>
        <v/>
      </c>
      <c r="P1187">
        <f>IF(N1187=1,COUNTIF($O$4:$O$2003,"&lt;"&amp;O1187)+1,"")</f>
        <v/>
      </c>
      <c r="Q1187">
        <f>IF(OR($R1186="",$R1186="T"),"",IF($R1186="B",$Q1186,IF($Q1186+1&gt;$K$3,"",$Q1186+1)))</f>
        <v/>
      </c>
      <c r="R1187">
        <f>IF(OR($R1186="",$R1186="T"),"",IF($R1186="B","S",IF($Q1186+1&gt;$K$3,"T",IF(INDEX($M$4:$M$2003,MATCH($Q1186+1,$P$4:$P$2003,0))&lt;&gt;INDEX($M$4:$M$2003,MATCH($Q1186,$P$4:$P$2003,0)),"B","S"))))</f>
        <v/>
      </c>
      <c r="S1187">
        <f>IF(Q1187="","",IFERROR(MATCH(Q1187,$P$4:$P$2003,0),""))</f>
        <v/>
      </c>
    </row>
    <row r="1188">
      <c r="A1188" s="4">
        <f>IF($R1188="","",IF($R1188="T","Gesamtergebnis",IF($R1188="B",INDEX($M$4:$M$2003,$S1188),INDEX($L$4:$L$2003,$S1188))))</f>
        <v/>
      </c>
      <c r="B1188" s="4">
        <f>IF($R1188="","",IF($R1188="T",$K$3,IF($R1188="B",COUNTIFS($M$4:$M$2003,INDEX($M$4:$M$2003,$S1188),$N$4:$N$2003,1),1)))</f>
        <v/>
      </c>
      <c r="L1188">
        <f>IF($K$1="","",IFERROR(INDEX(Lines!$A:$AA,ROW()-2,$K$1),""))</f>
        <v/>
      </c>
      <c r="M1188">
        <f>IF($K$2="","",IFERROR(INDEX(Lines!$A:$AA,ROW()-2,$K$2),""))</f>
        <v/>
      </c>
      <c r="N1188">
        <f>IF(AND(L1188&lt;&gt;"",LEFT(L1188,1)="N",M1188&lt;&gt;"PICKING",M1188&lt;&gt;""),1,0)</f>
        <v/>
      </c>
      <c r="O1188">
        <f>IF(N1188=1,M1188&amp;"|"&amp;L1188,REPT("z",40))</f>
        <v/>
      </c>
      <c r="P1188">
        <f>IF(N1188=1,COUNTIF($O$4:$O$2003,"&lt;"&amp;O1188)+1,"")</f>
        <v/>
      </c>
      <c r="Q1188">
        <f>IF(OR($R1187="",$R1187="T"),"",IF($R1187="B",$Q1187,IF($Q1187+1&gt;$K$3,"",$Q1187+1)))</f>
        <v/>
      </c>
      <c r="R1188">
        <f>IF(OR($R1187="",$R1187="T"),"",IF($R1187="B","S",IF($Q1187+1&gt;$K$3,"T",IF(INDEX($M$4:$M$2003,MATCH($Q1187+1,$P$4:$P$2003,0))&lt;&gt;INDEX($M$4:$M$2003,MATCH($Q1187,$P$4:$P$2003,0)),"B","S"))))</f>
        <v/>
      </c>
      <c r="S1188">
        <f>IF(Q1188="","",IFERROR(MATCH(Q1188,$P$4:$P$2003,0),""))</f>
        <v/>
      </c>
    </row>
    <row r="1189">
      <c r="A1189" s="4">
        <f>IF($R1189="","",IF($R1189="T","Gesamtergebnis",IF($R1189="B",INDEX($M$4:$M$2003,$S1189),INDEX($L$4:$L$2003,$S1189))))</f>
        <v/>
      </c>
      <c r="B1189" s="4">
        <f>IF($R1189="","",IF($R1189="T",$K$3,IF($R1189="B",COUNTIFS($M$4:$M$2003,INDEX($M$4:$M$2003,$S1189),$N$4:$N$2003,1),1)))</f>
        <v/>
      </c>
      <c r="L1189">
        <f>IF($K$1="","",IFERROR(INDEX(Lines!$A:$AA,ROW()-2,$K$1),""))</f>
        <v/>
      </c>
      <c r="M1189">
        <f>IF($K$2="","",IFERROR(INDEX(Lines!$A:$AA,ROW()-2,$K$2),""))</f>
        <v/>
      </c>
      <c r="N1189">
        <f>IF(AND(L1189&lt;&gt;"",LEFT(L1189,1)="N",M1189&lt;&gt;"PICKING",M1189&lt;&gt;""),1,0)</f>
        <v/>
      </c>
      <c r="O1189">
        <f>IF(N1189=1,M1189&amp;"|"&amp;L1189,REPT("z",40))</f>
        <v/>
      </c>
      <c r="P1189">
        <f>IF(N1189=1,COUNTIF($O$4:$O$2003,"&lt;"&amp;O1189)+1,"")</f>
        <v/>
      </c>
      <c r="Q1189">
        <f>IF(OR($R1188="",$R1188="T"),"",IF($R1188="B",$Q1188,IF($Q1188+1&gt;$K$3,"",$Q1188+1)))</f>
        <v/>
      </c>
      <c r="R1189">
        <f>IF(OR($R1188="",$R1188="T"),"",IF($R1188="B","S",IF($Q1188+1&gt;$K$3,"T",IF(INDEX($M$4:$M$2003,MATCH($Q1188+1,$P$4:$P$2003,0))&lt;&gt;INDEX($M$4:$M$2003,MATCH($Q1188,$P$4:$P$2003,0)),"B","S"))))</f>
        <v/>
      </c>
      <c r="S1189">
        <f>IF(Q1189="","",IFERROR(MATCH(Q1189,$P$4:$P$2003,0),""))</f>
        <v/>
      </c>
    </row>
    <row r="1190">
      <c r="A1190" s="4">
        <f>IF($R1190="","",IF($R1190="T","Gesamtergebnis",IF($R1190="B",INDEX($M$4:$M$2003,$S1190),INDEX($L$4:$L$2003,$S1190))))</f>
        <v/>
      </c>
      <c r="B1190" s="4">
        <f>IF($R1190="","",IF($R1190="T",$K$3,IF($R1190="B",COUNTIFS($M$4:$M$2003,INDEX($M$4:$M$2003,$S1190),$N$4:$N$2003,1),1)))</f>
        <v/>
      </c>
      <c r="L1190">
        <f>IF($K$1="","",IFERROR(INDEX(Lines!$A:$AA,ROW()-2,$K$1),""))</f>
        <v/>
      </c>
      <c r="M1190">
        <f>IF($K$2="","",IFERROR(INDEX(Lines!$A:$AA,ROW()-2,$K$2),""))</f>
        <v/>
      </c>
      <c r="N1190">
        <f>IF(AND(L1190&lt;&gt;"",LEFT(L1190,1)="N",M1190&lt;&gt;"PICKING",M1190&lt;&gt;""),1,0)</f>
        <v/>
      </c>
      <c r="O1190">
        <f>IF(N1190=1,M1190&amp;"|"&amp;L1190,REPT("z",40))</f>
        <v/>
      </c>
      <c r="P1190">
        <f>IF(N1190=1,COUNTIF($O$4:$O$2003,"&lt;"&amp;O1190)+1,"")</f>
        <v/>
      </c>
      <c r="Q1190">
        <f>IF(OR($R1189="",$R1189="T"),"",IF($R1189="B",$Q1189,IF($Q1189+1&gt;$K$3,"",$Q1189+1)))</f>
        <v/>
      </c>
      <c r="R1190">
        <f>IF(OR($R1189="",$R1189="T"),"",IF($R1189="B","S",IF($Q1189+1&gt;$K$3,"T",IF(INDEX($M$4:$M$2003,MATCH($Q1189+1,$P$4:$P$2003,0))&lt;&gt;INDEX($M$4:$M$2003,MATCH($Q1189,$P$4:$P$2003,0)),"B","S"))))</f>
        <v/>
      </c>
      <c r="S1190">
        <f>IF(Q1190="","",IFERROR(MATCH(Q1190,$P$4:$P$2003,0),""))</f>
        <v/>
      </c>
    </row>
    <row r="1191">
      <c r="A1191" s="4">
        <f>IF($R1191="","",IF($R1191="T","Gesamtergebnis",IF($R1191="B",INDEX($M$4:$M$2003,$S1191),INDEX($L$4:$L$2003,$S1191))))</f>
        <v/>
      </c>
      <c r="B1191" s="4">
        <f>IF($R1191="","",IF($R1191="T",$K$3,IF($R1191="B",COUNTIFS($M$4:$M$2003,INDEX($M$4:$M$2003,$S1191),$N$4:$N$2003,1),1)))</f>
        <v/>
      </c>
      <c r="L1191">
        <f>IF($K$1="","",IFERROR(INDEX(Lines!$A:$AA,ROW()-2,$K$1),""))</f>
        <v/>
      </c>
      <c r="M1191">
        <f>IF($K$2="","",IFERROR(INDEX(Lines!$A:$AA,ROW()-2,$K$2),""))</f>
        <v/>
      </c>
      <c r="N1191">
        <f>IF(AND(L1191&lt;&gt;"",LEFT(L1191,1)="N",M1191&lt;&gt;"PICKING",M1191&lt;&gt;""),1,0)</f>
        <v/>
      </c>
      <c r="O1191">
        <f>IF(N1191=1,M1191&amp;"|"&amp;L1191,REPT("z",40))</f>
        <v/>
      </c>
      <c r="P1191">
        <f>IF(N1191=1,COUNTIF($O$4:$O$2003,"&lt;"&amp;O1191)+1,"")</f>
        <v/>
      </c>
      <c r="Q1191">
        <f>IF(OR($R1190="",$R1190="T"),"",IF($R1190="B",$Q1190,IF($Q1190+1&gt;$K$3,"",$Q1190+1)))</f>
        <v/>
      </c>
      <c r="R1191">
        <f>IF(OR($R1190="",$R1190="T"),"",IF($R1190="B","S",IF($Q1190+1&gt;$K$3,"T",IF(INDEX($M$4:$M$2003,MATCH($Q1190+1,$P$4:$P$2003,0))&lt;&gt;INDEX($M$4:$M$2003,MATCH($Q1190,$P$4:$P$2003,0)),"B","S"))))</f>
        <v/>
      </c>
      <c r="S1191">
        <f>IF(Q1191="","",IFERROR(MATCH(Q1191,$P$4:$P$2003,0),""))</f>
        <v/>
      </c>
    </row>
    <row r="1192">
      <c r="A1192" s="4">
        <f>IF($R1192="","",IF($R1192="T","Gesamtergebnis",IF($R1192="B",INDEX($M$4:$M$2003,$S1192),INDEX($L$4:$L$2003,$S1192))))</f>
        <v/>
      </c>
      <c r="B1192" s="4">
        <f>IF($R1192="","",IF($R1192="T",$K$3,IF($R1192="B",COUNTIFS($M$4:$M$2003,INDEX($M$4:$M$2003,$S1192),$N$4:$N$2003,1),1)))</f>
        <v/>
      </c>
      <c r="L1192">
        <f>IF($K$1="","",IFERROR(INDEX(Lines!$A:$AA,ROW()-2,$K$1),""))</f>
        <v/>
      </c>
      <c r="M1192">
        <f>IF($K$2="","",IFERROR(INDEX(Lines!$A:$AA,ROW()-2,$K$2),""))</f>
        <v/>
      </c>
      <c r="N1192">
        <f>IF(AND(L1192&lt;&gt;"",LEFT(L1192,1)="N",M1192&lt;&gt;"PICKING",M1192&lt;&gt;""),1,0)</f>
        <v/>
      </c>
      <c r="O1192">
        <f>IF(N1192=1,M1192&amp;"|"&amp;L1192,REPT("z",40))</f>
        <v/>
      </c>
      <c r="P1192">
        <f>IF(N1192=1,COUNTIF($O$4:$O$2003,"&lt;"&amp;O1192)+1,"")</f>
        <v/>
      </c>
      <c r="Q1192">
        <f>IF(OR($R1191="",$R1191="T"),"",IF($R1191="B",$Q1191,IF($Q1191+1&gt;$K$3,"",$Q1191+1)))</f>
        <v/>
      </c>
      <c r="R1192">
        <f>IF(OR($R1191="",$R1191="T"),"",IF($R1191="B","S",IF($Q1191+1&gt;$K$3,"T",IF(INDEX($M$4:$M$2003,MATCH($Q1191+1,$P$4:$P$2003,0))&lt;&gt;INDEX($M$4:$M$2003,MATCH($Q1191,$P$4:$P$2003,0)),"B","S"))))</f>
        <v/>
      </c>
      <c r="S1192">
        <f>IF(Q1192="","",IFERROR(MATCH(Q1192,$P$4:$P$2003,0),""))</f>
        <v/>
      </c>
    </row>
    <row r="1193">
      <c r="A1193" s="4">
        <f>IF($R1193="","",IF($R1193="T","Gesamtergebnis",IF($R1193="B",INDEX($M$4:$M$2003,$S1193),INDEX($L$4:$L$2003,$S1193))))</f>
        <v/>
      </c>
      <c r="B1193" s="4">
        <f>IF($R1193="","",IF($R1193="T",$K$3,IF($R1193="B",COUNTIFS($M$4:$M$2003,INDEX($M$4:$M$2003,$S1193),$N$4:$N$2003,1),1)))</f>
        <v/>
      </c>
      <c r="L1193">
        <f>IF($K$1="","",IFERROR(INDEX(Lines!$A:$AA,ROW()-2,$K$1),""))</f>
        <v/>
      </c>
      <c r="M1193">
        <f>IF($K$2="","",IFERROR(INDEX(Lines!$A:$AA,ROW()-2,$K$2),""))</f>
        <v/>
      </c>
      <c r="N1193">
        <f>IF(AND(L1193&lt;&gt;"",LEFT(L1193,1)="N",M1193&lt;&gt;"PICKING",M1193&lt;&gt;""),1,0)</f>
        <v/>
      </c>
      <c r="O1193">
        <f>IF(N1193=1,M1193&amp;"|"&amp;L1193,REPT("z",40))</f>
        <v/>
      </c>
      <c r="P1193">
        <f>IF(N1193=1,COUNTIF($O$4:$O$2003,"&lt;"&amp;O1193)+1,"")</f>
        <v/>
      </c>
      <c r="Q1193">
        <f>IF(OR($R1192="",$R1192="T"),"",IF($R1192="B",$Q1192,IF($Q1192+1&gt;$K$3,"",$Q1192+1)))</f>
        <v/>
      </c>
      <c r="R1193">
        <f>IF(OR($R1192="",$R1192="T"),"",IF($R1192="B","S",IF($Q1192+1&gt;$K$3,"T",IF(INDEX($M$4:$M$2003,MATCH($Q1192+1,$P$4:$P$2003,0))&lt;&gt;INDEX($M$4:$M$2003,MATCH($Q1192,$P$4:$P$2003,0)),"B","S"))))</f>
        <v/>
      </c>
      <c r="S1193">
        <f>IF(Q1193="","",IFERROR(MATCH(Q1193,$P$4:$P$2003,0),""))</f>
        <v/>
      </c>
    </row>
    <row r="1194">
      <c r="A1194" s="4">
        <f>IF($R1194="","",IF($R1194="T","Gesamtergebnis",IF($R1194="B",INDEX($M$4:$M$2003,$S1194),INDEX($L$4:$L$2003,$S1194))))</f>
        <v/>
      </c>
      <c r="B1194" s="4">
        <f>IF($R1194="","",IF($R1194="T",$K$3,IF($R1194="B",COUNTIFS($M$4:$M$2003,INDEX($M$4:$M$2003,$S1194),$N$4:$N$2003,1),1)))</f>
        <v/>
      </c>
      <c r="L1194">
        <f>IF($K$1="","",IFERROR(INDEX(Lines!$A:$AA,ROW()-2,$K$1),""))</f>
        <v/>
      </c>
      <c r="M1194">
        <f>IF($K$2="","",IFERROR(INDEX(Lines!$A:$AA,ROW()-2,$K$2),""))</f>
        <v/>
      </c>
      <c r="N1194">
        <f>IF(AND(L1194&lt;&gt;"",LEFT(L1194,1)="N",M1194&lt;&gt;"PICKING",M1194&lt;&gt;""),1,0)</f>
        <v/>
      </c>
      <c r="O1194">
        <f>IF(N1194=1,M1194&amp;"|"&amp;L1194,REPT("z",40))</f>
        <v/>
      </c>
      <c r="P1194">
        <f>IF(N1194=1,COUNTIF($O$4:$O$2003,"&lt;"&amp;O1194)+1,"")</f>
        <v/>
      </c>
      <c r="Q1194">
        <f>IF(OR($R1193="",$R1193="T"),"",IF($R1193="B",$Q1193,IF($Q1193+1&gt;$K$3,"",$Q1193+1)))</f>
        <v/>
      </c>
      <c r="R1194">
        <f>IF(OR($R1193="",$R1193="T"),"",IF($R1193="B","S",IF($Q1193+1&gt;$K$3,"T",IF(INDEX($M$4:$M$2003,MATCH($Q1193+1,$P$4:$P$2003,0))&lt;&gt;INDEX($M$4:$M$2003,MATCH($Q1193,$P$4:$P$2003,0)),"B","S"))))</f>
        <v/>
      </c>
      <c r="S1194">
        <f>IF(Q1194="","",IFERROR(MATCH(Q1194,$P$4:$P$2003,0),""))</f>
        <v/>
      </c>
    </row>
    <row r="1195">
      <c r="A1195" s="4">
        <f>IF($R1195="","",IF($R1195="T","Gesamtergebnis",IF($R1195="B",INDEX($M$4:$M$2003,$S1195),INDEX($L$4:$L$2003,$S1195))))</f>
        <v/>
      </c>
      <c r="B1195" s="4">
        <f>IF($R1195="","",IF($R1195="T",$K$3,IF($R1195="B",COUNTIFS($M$4:$M$2003,INDEX($M$4:$M$2003,$S1195),$N$4:$N$2003,1),1)))</f>
        <v/>
      </c>
      <c r="L1195">
        <f>IF($K$1="","",IFERROR(INDEX(Lines!$A:$AA,ROW()-2,$K$1),""))</f>
        <v/>
      </c>
      <c r="M1195">
        <f>IF($K$2="","",IFERROR(INDEX(Lines!$A:$AA,ROW()-2,$K$2),""))</f>
        <v/>
      </c>
      <c r="N1195">
        <f>IF(AND(L1195&lt;&gt;"",LEFT(L1195,1)="N",M1195&lt;&gt;"PICKING",M1195&lt;&gt;""),1,0)</f>
        <v/>
      </c>
      <c r="O1195">
        <f>IF(N1195=1,M1195&amp;"|"&amp;L1195,REPT("z",40))</f>
        <v/>
      </c>
      <c r="P1195">
        <f>IF(N1195=1,COUNTIF($O$4:$O$2003,"&lt;"&amp;O1195)+1,"")</f>
        <v/>
      </c>
      <c r="Q1195">
        <f>IF(OR($R1194="",$R1194="T"),"",IF($R1194="B",$Q1194,IF($Q1194+1&gt;$K$3,"",$Q1194+1)))</f>
        <v/>
      </c>
      <c r="R1195">
        <f>IF(OR($R1194="",$R1194="T"),"",IF($R1194="B","S",IF($Q1194+1&gt;$K$3,"T",IF(INDEX($M$4:$M$2003,MATCH($Q1194+1,$P$4:$P$2003,0))&lt;&gt;INDEX($M$4:$M$2003,MATCH($Q1194,$P$4:$P$2003,0)),"B","S"))))</f>
        <v/>
      </c>
      <c r="S1195">
        <f>IF(Q1195="","",IFERROR(MATCH(Q1195,$P$4:$P$2003,0),""))</f>
        <v/>
      </c>
    </row>
    <row r="1196">
      <c r="A1196" s="4">
        <f>IF($R1196="","",IF($R1196="T","Gesamtergebnis",IF($R1196="B",INDEX($M$4:$M$2003,$S1196),INDEX($L$4:$L$2003,$S1196))))</f>
        <v/>
      </c>
      <c r="B1196" s="4">
        <f>IF($R1196="","",IF($R1196="T",$K$3,IF($R1196="B",COUNTIFS($M$4:$M$2003,INDEX($M$4:$M$2003,$S1196),$N$4:$N$2003,1),1)))</f>
        <v/>
      </c>
      <c r="L1196">
        <f>IF($K$1="","",IFERROR(INDEX(Lines!$A:$AA,ROW()-2,$K$1),""))</f>
        <v/>
      </c>
      <c r="M1196">
        <f>IF($K$2="","",IFERROR(INDEX(Lines!$A:$AA,ROW()-2,$K$2),""))</f>
        <v/>
      </c>
      <c r="N1196">
        <f>IF(AND(L1196&lt;&gt;"",LEFT(L1196,1)="N",M1196&lt;&gt;"PICKING",M1196&lt;&gt;""),1,0)</f>
        <v/>
      </c>
      <c r="O1196">
        <f>IF(N1196=1,M1196&amp;"|"&amp;L1196,REPT("z",40))</f>
        <v/>
      </c>
      <c r="P1196">
        <f>IF(N1196=1,COUNTIF($O$4:$O$2003,"&lt;"&amp;O1196)+1,"")</f>
        <v/>
      </c>
      <c r="Q1196">
        <f>IF(OR($R1195="",$R1195="T"),"",IF($R1195="B",$Q1195,IF($Q1195+1&gt;$K$3,"",$Q1195+1)))</f>
        <v/>
      </c>
      <c r="R1196">
        <f>IF(OR($R1195="",$R1195="T"),"",IF($R1195="B","S",IF($Q1195+1&gt;$K$3,"T",IF(INDEX($M$4:$M$2003,MATCH($Q1195+1,$P$4:$P$2003,0))&lt;&gt;INDEX($M$4:$M$2003,MATCH($Q1195,$P$4:$P$2003,0)),"B","S"))))</f>
        <v/>
      </c>
      <c r="S1196">
        <f>IF(Q1196="","",IFERROR(MATCH(Q1196,$P$4:$P$2003,0),""))</f>
        <v/>
      </c>
    </row>
    <row r="1197">
      <c r="A1197" s="4">
        <f>IF($R1197="","",IF($R1197="T","Gesamtergebnis",IF($R1197="B",INDEX($M$4:$M$2003,$S1197),INDEX($L$4:$L$2003,$S1197))))</f>
        <v/>
      </c>
      <c r="B1197" s="4">
        <f>IF($R1197="","",IF($R1197="T",$K$3,IF($R1197="B",COUNTIFS($M$4:$M$2003,INDEX($M$4:$M$2003,$S1197),$N$4:$N$2003,1),1)))</f>
        <v/>
      </c>
      <c r="L1197">
        <f>IF($K$1="","",IFERROR(INDEX(Lines!$A:$AA,ROW()-2,$K$1),""))</f>
        <v/>
      </c>
      <c r="M1197">
        <f>IF($K$2="","",IFERROR(INDEX(Lines!$A:$AA,ROW()-2,$K$2),""))</f>
        <v/>
      </c>
      <c r="N1197">
        <f>IF(AND(L1197&lt;&gt;"",LEFT(L1197,1)="N",M1197&lt;&gt;"PICKING",M1197&lt;&gt;""),1,0)</f>
        <v/>
      </c>
      <c r="O1197">
        <f>IF(N1197=1,M1197&amp;"|"&amp;L1197,REPT("z",40))</f>
        <v/>
      </c>
      <c r="P1197">
        <f>IF(N1197=1,COUNTIF($O$4:$O$2003,"&lt;"&amp;O1197)+1,"")</f>
        <v/>
      </c>
      <c r="Q1197">
        <f>IF(OR($R1196="",$R1196="T"),"",IF($R1196="B",$Q1196,IF($Q1196+1&gt;$K$3,"",$Q1196+1)))</f>
        <v/>
      </c>
      <c r="R1197">
        <f>IF(OR($R1196="",$R1196="T"),"",IF($R1196="B","S",IF($Q1196+1&gt;$K$3,"T",IF(INDEX($M$4:$M$2003,MATCH($Q1196+1,$P$4:$P$2003,0))&lt;&gt;INDEX($M$4:$M$2003,MATCH($Q1196,$P$4:$P$2003,0)),"B","S"))))</f>
        <v/>
      </c>
      <c r="S1197">
        <f>IF(Q1197="","",IFERROR(MATCH(Q1197,$P$4:$P$2003,0),""))</f>
        <v/>
      </c>
    </row>
    <row r="1198">
      <c r="A1198" s="4">
        <f>IF($R1198="","",IF($R1198="T","Gesamtergebnis",IF($R1198="B",INDEX($M$4:$M$2003,$S1198),INDEX($L$4:$L$2003,$S1198))))</f>
        <v/>
      </c>
      <c r="B1198" s="4">
        <f>IF($R1198="","",IF($R1198="T",$K$3,IF($R1198="B",COUNTIFS($M$4:$M$2003,INDEX($M$4:$M$2003,$S1198),$N$4:$N$2003,1),1)))</f>
        <v/>
      </c>
      <c r="L1198">
        <f>IF($K$1="","",IFERROR(INDEX(Lines!$A:$AA,ROW()-2,$K$1),""))</f>
        <v/>
      </c>
      <c r="M1198">
        <f>IF($K$2="","",IFERROR(INDEX(Lines!$A:$AA,ROW()-2,$K$2),""))</f>
        <v/>
      </c>
      <c r="N1198">
        <f>IF(AND(L1198&lt;&gt;"",LEFT(L1198,1)="N",M1198&lt;&gt;"PICKING",M1198&lt;&gt;""),1,0)</f>
        <v/>
      </c>
      <c r="O1198">
        <f>IF(N1198=1,M1198&amp;"|"&amp;L1198,REPT("z",40))</f>
        <v/>
      </c>
      <c r="P1198">
        <f>IF(N1198=1,COUNTIF($O$4:$O$2003,"&lt;"&amp;O1198)+1,"")</f>
        <v/>
      </c>
      <c r="Q1198">
        <f>IF(OR($R1197="",$R1197="T"),"",IF($R1197="B",$Q1197,IF($Q1197+1&gt;$K$3,"",$Q1197+1)))</f>
        <v/>
      </c>
      <c r="R1198">
        <f>IF(OR($R1197="",$R1197="T"),"",IF($R1197="B","S",IF($Q1197+1&gt;$K$3,"T",IF(INDEX($M$4:$M$2003,MATCH($Q1197+1,$P$4:$P$2003,0))&lt;&gt;INDEX($M$4:$M$2003,MATCH($Q1197,$P$4:$P$2003,0)),"B","S"))))</f>
        <v/>
      </c>
      <c r="S1198">
        <f>IF(Q1198="","",IFERROR(MATCH(Q1198,$P$4:$P$2003,0),""))</f>
        <v/>
      </c>
    </row>
    <row r="1199">
      <c r="A1199" s="4">
        <f>IF($R1199="","",IF($R1199="T","Gesamtergebnis",IF($R1199="B",INDEX($M$4:$M$2003,$S1199),INDEX($L$4:$L$2003,$S1199))))</f>
        <v/>
      </c>
      <c r="B1199" s="4">
        <f>IF($R1199="","",IF($R1199="T",$K$3,IF($R1199="B",COUNTIFS($M$4:$M$2003,INDEX($M$4:$M$2003,$S1199),$N$4:$N$2003,1),1)))</f>
        <v/>
      </c>
      <c r="L1199">
        <f>IF($K$1="","",IFERROR(INDEX(Lines!$A:$AA,ROW()-2,$K$1),""))</f>
        <v/>
      </c>
      <c r="M1199">
        <f>IF($K$2="","",IFERROR(INDEX(Lines!$A:$AA,ROW()-2,$K$2),""))</f>
        <v/>
      </c>
      <c r="N1199">
        <f>IF(AND(L1199&lt;&gt;"",LEFT(L1199,1)="N",M1199&lt;&gt;"PICKING",M1199&lt;&gt;""),1,0)</f>
        <v/>
      </c>
      <c r="O1199">
        <f>IF(N1199=1,M1199&amp;"|"&amp;L1199,REPT("z",40))</f>
        <v/>
      </c>
      <c r="P1199">
        <f>IF(N1199=1,COUNTIF($O$4:$O$2003,"&lt;"&amp;O1199)+1,"")</f>
        <v/>
      </c>
      <c r="Q1199">
        <f>IF(OR($R1198="",$R1198="T"),"",IF($R1198="B",$Q1198,IF($Q1198+1&gt;$K$3,"",$Q1198+1)))</f>
        <v/>
      </c>
      <c r="R1199">
        <f>IF(OR($R1198="",$R1198="T"),"",IF($R1198="B","S",IF($Q1198+1&gt;$K$3,"T",IF(INDEX($M$4:$M$2003,MATCH($Q1198+1,$P$4:$P$2003,0))&lt;&gt;INDEX($M$4:$M$2003,MATCH($Q1198,$P$4:$P$2003,0)),"B","S"))))</f>
        <v/>
      </c>
      <c r="S1199">
        <f>IF(Q1199="","",IFERROR(MATCH(Q1199,$P$4:$P$2003,0),""))</f>
        <v/>
      </c>
    </row>
    <row r="1200">
      <c r="A1200" s="4">
        <f>IF($R1200="","",IF($R1200="T","Gesamtergebnis",IF($R1200="B",INDEX($M$4:$M$2003,$S1200),INDEX($L$4:$L$2003,$S1200))))</f>
        <v/>
      </c>
      <c r="B1200" s="4">
        <f>IF($R1200="","",IF($R1200="T",$K$3,IF($R1200="B",COUNTIFS($M$4:$M$2003,INDEX($M$4:$M$2003,$S1200),$N$4:$N$2003,1),1)))</f>
        <v/>
      </c>
      <c r="L1200">
        <f>IF($K$1="","",IFERROR(INDEX(Lines!$A:$AA,ROW()-2,$K$1),""))</f>
        <v/>
      </c>
      <c r="M1200">
        <f>IF($K$2="","",IFERROR(INDEX(Lines!$A:$AA,ROW()-2,$K$2),""))</f>
        <v/>
      </c>
      <c r="N1200">
        <f>IF(AND(L1200&lt;&gt;"",LEFT(L1200,1)="N",M1200&lt;&gt;"PICKING",M1200&lt;&gt;""),1,0)</f>
        <v/>
      </c>
      <c r="O1200">
        <f>IF(N1200=1,M1200&amp;"|"&amp;L1200,REPT("z",40))</f>
        <v/>
      </c>
      <c r="P1200">
        <f>IF(N1200=1,COUNTIF($O$4:$O$2003,"&lt;"&amp;O1200)+1,"")</f>
        <v/>
      </c>
      <c r="Q1200">
        <f>IF(OR($R1199="",$R1199="T"),"",IF($R1199="B",$Q1199,IF($Q1199+1&gt;$K$3,"",$Q1199+1)))</f>
        <v/>
      </c>
      <c r="R1200">
        <f>IF(OR($R1199="",$R1199="T"),"",IF($R1199="B","S",IF($Q1199+1&gt;$K$3,"T",IF(INDEX($M$4:$M$2003,MATCH($Q1199+1,$P$4:$P$2003,0))&lt;&gt;INDEX($M$4:$M$2003,MATCH($Q1199,$P$4:$P$2003,0)),"B","S"))))</f>
        <v/>
      </c>
      <c r="S1200">
        <f>IF(Q1200="","",IFERROR(MATCH(Q1200,$P$4:$P$2003,0),""))</f>
        <v/>
      </c>
    </row>
    <row r="1201">
      <c r="A1201" s="4">
        <f>IF($R1201="","",IF($R1201="T","Gesamtergebnis",IF($R1201="B",INDEX($M$4:$M$2003,$S1201),INDEX($L$4:$L$2003,$S1201))))</f>
        <v/>
      </c>
      <c r="B1201" s="4">
        <f>IF($R1201="","",IF($R1201="T",$K$3,IF($R1201="B",COUNTIFS($M$4:$M$2003,INDEX($M$4:$M$2003,$S1201),$N$4:$N$2003,1),1)))</f>
        <v/>
      </c>
      <c r="L1201">
        <f>IF($K$1="","",IFERROR(INDEX(Lines!$A:$AA,ROW()-2,$K$1),""))</f>
        <v/>
      </c>
      <c r="M1201">
        <f>IF($K$2="","",IFERROR(INDEX(Lines!$A:$AA,ROW()-2,$K$2),""))</f>
        <v/>
      </c>
      <c r="N1201">
        <f>IF(AND(L1201&lt;&gt;"",LEFT(L1201,1)="N",M1201&lt;&gt;"PICKING",M1201&lt;&gt;""),1,0)</f>
        <v/>
      </c>
      <c r="O1201">
        <f>IF(N1201=1,M1201&amp;"|"&amp;L1201,REPT("z",40))</f>
        <v/>
      </c>
      <c r="P1201">
        <f>IF(N1201=1,COUNTIF($O$4:$O$2003,"&lt;"&amp;O1201)+1,"")</f>
        <v/>
      </c>
      <c r="Q1201">
        <f>IF(OR($R1200="",$R1200="T"),"",IF($R1200="B",$Q1200,IF($Q1200+1&gt;$K$3,"",$Q1200+1)))</f>
        <v/>
      </c>
      <c r="R1201">
        <f>IF(OR($R1200="",$R1200="T"),"",IF($R1200="B","S",IF($Q1200+1&gt;$K$3,"T",IF(INDEX($M$4:$M$2003,MATCH($Q1200+1,$P$4:$P$2003,0))&lt;&gt;INDEX($M$4:$M$2003,MATCH($Q1200,$P$4:$P$2003,0)),"B","S"))))</f>
        <v/>
      </c>
      <c r="S1201">
        <f>IF(Q1201="","",IFERROR(MATCH(Q1201,$P$4:$P$2003,0),""))</f>
        <v/>
      </c>
    </row>
    <row r="1202">
      <c r="A1202" s="4">
        <f>IF($R1202="","",IF($R1202="T","Gesamtergebnis",IF($R1202="B",INDEX($M$4:$M$2003,$S1202),INDEX($L$4:$L$2003,$S1202))))</f>
        <v/>
      </c>
      <c r="B1202" s="4">
        <f>IF($R1202="","",IF($R1202="T",$K$3,IF($R1202="B",COUNTIFS($M$4:$M$2003,INDEX($M$4:$M$2003,$S1202),$N$4:$N$2003,1),1)))</f>
        <v/>
      </c>
      <c r="L1202">
        <f>IF($K$1="","",IFERROR(INDEX(Lines!$A:$AA,ROW()-2,$K$1),""))</f>
        <v/>
      </c>
      <c r="M1202">
        <f>IF($K$2="","",IFERROR(INDEX(Lines!$A:$AA,ROW()-2,$K$2),""))</f>
        <v/>
      </c>
      <c r="N1202">
        <f>IF(AND(L1202&lt;&gt;"",LEFT(L1202,1)="N",M1202&lt;&gt;"PICKING",M1202&lt;&gt;""),1,0)</f>
        <v/>
      </c>
      <c r="O1202">
        <f>IF(N1202=1,M1202&amp;"|"&amp;L1202,REPT("z",40))</f>
        <v/>
      </c>
      <c r="P1202">
        <f>IF(N1202=1,COUNTIF($O$4:$O$2003,"&lt;"&amp;O1202)+1,"")</f>
        <v/>
      </c>
      <c r="Q1202">
        <f>IF(OR($R1201="",$R1201="T"),"",IF($R1201="B",$Q1201,IF($Q1201+1&gt;$K$3,"",$Q1201+1)))</f>
        <v/>
      </c>
      <c r="R1202">
        <f>IF(OR($R1201="",$R1201="T"),"",IF($R1201="B","S",IF($Q1201+1&gt;$K$3,"T",IF(INDEX($M$4:$M$2003,MATCH($Q1201+1,$P$4:$P$2003,0))&lt;&gt;INDEX($M$4:$M$2003,MATCH($Q1201,$P$4:$P$2003,0)),"B","S"))))</f>
        <v/>
      </c>
      <c r="S1202">
        <f>IF(Q1202="","",IFERROR(MATCH(Q1202,$P$4:$P$2003,0),""))</f>
        <v/>
      </c>
    </row>
    <row r="1203">
      <c r="A1203" s="4">
        <f>IF($R1203="","",IF($R1203="T","Gesamtergebnis",IF($R1203="B",INDEX($M$4:$M$2003,$S1203),INDEX($L$4:$L$2003,$S1203))))</f>
        <v/>
      </c>
      <c r="B1203" s="4">
        <f>IF($R1203="","",IF($R1203="T",$K$3,IF($R1203="B",COUNTIFS($M$4:$M$2003,INDEX($M$4:$M$2003,$S1203),$N$4:$N$2003,1),1)))</f>
        <v/>
      </c>
      <c r="L1203">
        <f>IF($K$1="","",IFERROR(INDEX(Lines!$A:$AA,ROW()-2,$K$1),""))</f>
        <v/>
      </c>
      <c r="M1203">
        <f>IF($K$2="","",IFERROR(INDEX(Lines!$A:$AA,ROW()-2,$K$2),""))</f>
        <v/>
      </c>
      <c r="N1203">
        <f>IF(AND(L1203&lt;&gt;"",LEFT(L1203,1)="N",M1203&lt;&gt;"PICKING",M1203&lt;&gt;""),1,0)</f>
        <v/>
      </c>
      <c r="O1203">
        <f>IF(N1203=1,M1203&amp;"|"&amp;L1203,REPT("z",40))</f>
        <v/>
      </c>
      <c r="P1203">
        <f>IF(N1203=1,COUNTIF($O$4:$O$2003,"&lt;"&amp;O1203)+1,"")</f>
        <v/>
      </c>
      <c r="Q1203">
        <f>IF(OR($R1202="",$R1202="T"),"",IF($R1202="B",$Q1202,IF($Q1202+1&gt;$K$3,"",$Q1202+1)))</f>
        <v/>
      </c>
      <c r="R1203">
        <f>IF(OR($R1202="",$R1202="T"),"",IF($R1202="B","S",IF($Q1202+1&gt;$K$3,"T",IF(INDEX($M$4:$M$2003,MATCH($Q1202+1,$P$4:$P$2003,0))&lt;&gt;INDEX($M$4:$M$2003,MATCH($Q1202,$P$4:$P$2003,0)),"B","S"))))</f>
        <v/>
      </c>
      <c r="S1203">
        <f>IF(Q1203="","",IFERROR(MATCH(Q1203,$P$4:$P$2003,0),""))</f>
        <v/>
      </c>
    </row>
    <row r="1204">
      <c r="A1204" s="4">
        <f>IF($R1204="","",IF($R1204="T","Gesamtergebnis",IF($R1204="B",INDEX($M$4:$M$2003,$S1204),INDEX($L$4:$L$2003,$S1204))))</f>
        <v/>
      </c>
      <c r="B1204" s="4">
        <f>IF($R1204="","",IF($R1204="T",$K$3,IF($R1204="B",COUNTIFS($M$4:$M$2003,INDEX($M$4:$M$2003,$S1204),$N$4:$N$2003,1),1)))</f>
        <v/>
      </c>
      <c r="L1204">
        <f>IF($K$1="","",IFERROR(INDEX(Lines!$A:$AA,ROW()-2,$K$1),""))</f>
        <v/>
      </c>
      <c r="M1204">
        <f>IF($K$2="","",IFERROR(INDEX(Lines!$A:$AA,ROW()-2,$K$2),""))</f>
        <v/>
      </c>
      <c r="N1204">
        <f>IF(AND(L1204&lt;&gt;"",LEFT(L1204,1)="N",M1204&lt;&gt;"PICKING",M1204&lt;&gt;""),1,0)</f>
        <v/>
      </c>
      <c r="O1204">
        <f>IF(N1204=1,M1204&amp;"|"&amp;L1204,REPT("z",40))</f>
        <v/>
      </c>
      <c r="P1204">
        <f>IF(N1204=1,COUNTIF($O$4:$O$2003,"&lt;"&amp;O1204)+1,"")</f>
        <v/>
      </c>
      <c r="Q1204">
        <f>IF(OR($R1203="",$R1203="T"),"",IF($R1203="B",$Q1203,IF($Q1203+1&gt;$K$3,"",$Q1203+1)))</f>
        <v/>
      </c>
      <c r="R1204">
        <f>IF(OR($R1203="",$R1203="T"),"",IF($R1203="B","S",IF($Q1203+1&gt;$K$3,"T",IF(INDEX($M$4:$M$2003,MATCH($Q1203+1,$P$4:$P$2003,0))&lt;&gt;INDEX($M$4:$M$2003,MATCH($Q1203,$P$4:$P$2003,0)),"B","S"))))</f>
        <v/>
      </c>
      <c r="S1204">
        <f>IF(Q1204="","",IFERROR(MATCH(Q1204,$P$4:$P$2003,0),""))</f>
        <v/>
      </c>
    </row>
    <row r="1205">
      <c r="A1205" s="4">
        <f>IF($R1205="","",IF($R1205="T","Gesamtergebnis",IF($R1205="B",INDEX($M$4:$M$2003,$S1205),INDEX($L$4:$L$2003,$S1205))))</f>
        <v/>
      </c>
      <c r="B1205" s="4">
        <f>IF($R1205="","",IF($R1205="T",$K$3,IF($R1205="B",COUNTIFS($M$4:$M$2003,INDEX($M$4:$M$2003,$S1205),$N$4:$N$2003,1),1)))</f>
        <v/>
      </c>
      <c r="L1205">
        <f>IF($K$1="","",IFERROR(INDEX(Lines!$A:$AA,ROW()-2,$K$1),""))</f>
        <v/>
      </c>
      <c r="M1205">
        <f>IF($K$2="","",IFERROR(INDEX(Lines!$A:$AA,ROW()-2,$K$2),""))</f>
        <v/>
      </c>
      <c r="N1205">
        <f>IF(AND(L1205&lt;&gt;"",LEFT(L1205,1)="N",M1205&lt;&gt;"PICKING",M1205&lt;&gt;""),1,0)</f>
        <v/>
      </c>
      <c r="O1205">
        <f>IF(N1205=1,M1205&amp;"|"&amp;L1205,REPT("z",40))</f>
        <v/>
      </c>
      <c r="P1205">
        <f>IF(N1205=1,COUNTIF($O$4:$O$2003,"&lt;"&amp;O1205)+1,"")</f>
        <v/>
      </c>
      <c r="Q1205">
        <f>IF(OR($R1204="",$R1204="T"),"",IF($R1204="B",$Q1204,IF($Q1204+1&gt;$K$3,"",$Q1204+1)))</f>
        <v/>
      </c>
      <c r="R1205">
        <f>IF(OR($R1204="",$R1204="T"),"",IF($R1204="B","S",IF($Q1204+1&gt;$K$3,"T",IF(INDEX($M$4:$M$2003,MATCH($Q1204+1,$P$4:$P$2003,0))&lt;&gt;INDEX($M$4:$M$2003,MATCH($Q1204,$P$4:$P$2003,0)),"B","S"))))</f>
        <v/>
      </c>
      <c r="S1205">
        <f>IF(Q1205="","",IFERROR(MATCH(Q1205,$P$4:$P$2003,0),""))</f>
        <v/>
      </c>
    </row>
    <row r="1206">
      <c r="A1206" s="4">
        <f>IF($R1206="","",IF($R1206="T","Gesamtergebnis",IF($R1206="B",INDEX($M$4:$M$2003,$S1206),INDEX($L$4:$L$2003,$S1206))))</f>
        <v/>
      </c>
      <c r="B1206" s="4">
        <f>IF($R1206="","",IF($R1206="T",$K$3,IF($R1206="B",COUNTIFS($M$4:$M$2003,INDEX($M$4:$M$2003,$S1206),$N$4:$N$2003,1),1)))</f>
        <v/>
      </c>
      <c r="L1206">
        <f>IF($K$1="","",IFERROR(INDEX(Lines!$A:$AA,ROW()-2,$K$1),""))</f>
        <v/>
      </c>
      <c r="M1206">
        <f>IF($K$2="","",IFERROR(INDEX(Lines!$A:$AA,ROW()-2,$K$2),""))</f>
        <v/>
      </c>
      <c r="N1206">
        <f>IF(AND(L1206&lt;&gt;"",LEFT(L1206,1)="N",M1206&lt;&gt;"PICKING",M1206&lt;&gt;""),1,0)</f>
        <v/>
      </c>
      <c r="O1206">
        <f>IF(N1206=1,M1206&amp;"|"&amp;L1206,REPT("z",40))</f>
        <v/>
      </c>
      <c r="P1206">
        <f>IF(N1206=1,COUNTIF($O$4:$O$2003,"&lt;"&amp;O1206)+1,"")</f>
        <v/>
      </c>
      <c r="Q1206">
        <f>IF(OR($R1205="",$R1205="T"),"",IF($R1205="B",$Q1205,IF($Q1205+1&gt;$K$3,"",$Q1205+1)))</f>
        <v/>
      </c>
      <c r="R1206">
        <f>IF(OR($R1205="",$R1205="T"),"",IF($R1205="B","S",IF($Q1205+1&gt;$K$3,"T",IF(INDEX($M$4:$M$2003,MATCH($Q1205+1,$P$4:$P$2003,0))&lt;&gt;INDEX($M$4:$M$2003,MATCH($Q1205,$P$4:$P$2003,0)),"B","S"))))</f>
        <v/>
      </c>
      <c r="S1206">
        <f>IF(Q1206="","",IFERROR(MATCH(Q1206,$P$4:$P$2003,0),""))</f>
        <v/>
      </c>
    </row>
    <row r="1207">
      <c r="A1207" s="4">
        <f>IF($R1207="","",IF($R1207="T","Gesamtergebnis",IF($R1207="B",INDEX($M$4:$M$2003,$S1207),INDEX($L$4:$L$2003,$S1207))))</f>
        <v/>
      </c>
      <c r="B1207" s="4">
        <f>IF($R1207="","",IF($R1207="T",$K$3,IF($R1207="B",COUNTIFS($M$4:$M$2003,INDEX($M$4:$M$2003,$S1207),$N$4:$N$2003,1),1)))</f>
        <v/>
      </c>
      <c r="L1207">
        <f>IF($K$1="","",IFERROR(INDEX(Lines!$A:$AA,ROW()-2,$K$1),""))</f>
        <v/>
      </c>
      <c r="M1207">
        <f>IF($K$2="","",IFERROR(INDEX(Lines!$A:$AA,ROW()-2,$K$2),""))</f>
        <v/>
      </c>
      <c r="N1207">
        <f>IF(AND(L1207&lt;&gt;"",LEFT(L1207,1)="N",M1207&lt;&gt;"PICKING",M1207&lt;&gt;""),1,0)</f>
        <v/>
      </c>
      <c r="O1207">
        <f>IF(N1207=1,M1207&amp;"|"&amp;L1207,REPT("z",40))</f>
        <v/>
      </c>
      <c r="P1207">
        <f>IF(N1207=1,COUNTIF($O$4:$O$2003,"&lt;"&amp;O1207)+1,"")</f>
        <v/>
      </c>
      <c r="Q1207">
        <f>IF(OR($R1206="",$R1206="T"),"",IF($R1206="B",$Q1206,IF($Q1206+1&gt;$K$3,"",$Q1206+1)))</f>
        <v/>
      </c>
      <c r="R1207">
        <f>IF(OR($R1206="",$R1206="T"),"",IF($R1206="B","S",IF($Q1206+1&gt;$K$3,"T",IF(INDEX($M$4:$M$2003,MATCH($Q1206+1,$P$4:$P$2003,0))&lt;&gt;INDEX($M$4:$M$2003,MATCH($Q1206,$P$4:$P$2003,0)),"B","S"))))</f>
        <v/>
      </c>
      <c r="S1207">
        <f>IF(Q1207="","",IFERROR(MATCH(Q1207,$P$4:$P$2003,0),""))</f>
        <v/>
      </c>
    </row>
    <row r="1208">
      <c r="A1208" s="4">
        <f>IF($R1208="","",IF($R1208="T","Gesamtergebnis",IF($R1208="B",INDEX($M$4:$M$2003,$S1208),INDEX($L$4:$L$2003,$S1208))))</f>
        <v/>
      </c>
      <c r="B1208" s="4">
        <f>IF($R1208="","",IF($R1208="T",$K$3,IF($R1208="B",COUNTIFS($M$4:$M$2003,INDEX($M$4:$M$2003,$S1208),$N$4:$N$2003,1),1)))</f>
        <v/>
      </c>
      <c r="L1208">
        <f>IF($K$1="","",IFERROR(INDEX(Lines!$A:$AA,ROW()-2,$K$1),""))</f>
        <v/>
      </c>
      <c r="M1208">
        <f>IF($K$2="","",IFERROR(INDEX(Lines!$A:$AA,ROW()-2,$K$2),""))</f>
        <v/>
      </c>
      <c r="N1208">
        <f>IF(AND(L1208&lt;&gt;"",LEFT(L1208,1)="N",M1208&lt;&gt;"PICKING",M1208&lt;&gt;""),1,0)</f>
        <v/>
      </c>
      <c r="O1208">
        <f>IF(N1208=1,M1208&amp;"|"&amp;L1208,REPT("z",40))</f>
        <v/>
      </c>
      <c r="P1208">
        <f>IF(N1208=1,COUNTIF($O$4:$O$2003,"&lt;"&amp;O1208)+1,"")</f>
        <v/>
      </c>
      <c r="Q1208">
        <f>IF(OR($R1207="",$R1207="T"),"",IF($R1207="B",$Q1207,IF($Q1207+1&gt;$K$3,"",$Q1207+1)))</f>
        <v/>
      </c>
      <c r="R1208">
        <f>IF(OR($R1207="",$R1207="T"),"",IF($R1207="B","S",IF($Q1207+1&gt;$K$3,"T",IF(INDEX($M$4:$M$2003,MATCH($Q1207+1,$P$4:$P$2003,0))&lt;&gt;INDEX($M$4:$M$2003,MATCH($Q1207,$P$4:$P$2003,0)),"B","S"))))</f>
        <v/>
      </c>
      <c r="S1208">
        <f>IF(Q1208="","",IFERROR(MATCH(Q1208,$P$4:$P$2003,0),""))</f>
        <v/>
      </c>
    </row>
    <row r="1209">
      <c r="A1209" s="4">
        <f>IF($R1209="","",IF($R1209="T","Gesamtergebnis",IF($R1209="B",INDEX($M$4:$M$2003,$S1209),INDEX($L$4:$L$2003,$S1209))))</f>
        <v/>
      </c>
      <c r="B1209" s="4">
        <f>IF($R1209="","",IF($R1209="T",$K$3,IF($R1209="B",COUNTIFS($M$4:$M$2003,INDEX($M$4:$M$2003,$S1209),$N$4:$N$2003,1),1)))</f>
        <v/>
      </c>
      <c r="L1209">
        <f>IF($K$1="","",IFERROR(INDEX(Lines!$A:$AA,ROW()-2,$K$1),""))</f>
        <v/>
      </c>
      <c r="M1209">
        <f>IF($K$2="","",IFERROR(INDEX(Lines!$A:$AA,ROW()-2,$K$2),""))</f>
        <v/>
      </c>
      <c r="N1209">
        <f>IF(AND(L1209&lt;&gt;"",LEFT(L1209,1)="N",M1209&lt;&gt;"PICKING",M1209&lt;&gt;""),1,0)</f>
        <v/>
      </c>
      <c r="O1209">
        <f>IF(N1209=1,M1209&amp;"|"&amp;L1209,REPT("z",40))</f>
        <v/>
      </c>
      <c r="P1209">
        <f>IF(N1209=1,COUNTIF($O$4:$O$2003,"&lt;"&amp;O1209)+1,"")</f>
        <v/>
      </c>
      <c r="Q1209">
        <f>IF(OR($R1208="",$R1208="T"),"",IF($R1208="B",$Q1208,IF($Q1208+1&gt;$K$3,"",$Q1208+1)))</f>
        <v/>
      </c>
      <c r="R1209">
        <f>IF(OR($R1208="",$R1208="T"),"",IF($R1208="B","S",IF($Q1208+1&gt;$K$3,"T",IF(INDEX($M$4:$M$2003,MATCH($Q1208+1,$P$4:$P$2003,0))&lt;&gt;INDEX($M$4:$M$2003,MATCH($Q1208,$P$4:$P$2003,0)),"B","S"))))</f>
        <v/>
      </c>
      <c r="S1209">
        <f>IF(Q1209="","",IFERROR(MATCH(Q1209,$P$4:$P$2003,0),""))</f>
        <v/>
      </c>
    </row>
    <row r="1210">
      <c r="A1210" s="4">
        <f>IF($R1210="","",IF($R1210="T","Gesamtergebnis",IF($R1210="B",INDEX($M$4:$M$2003,$S1210),INDEX($L$4:$L$2003,$S1210))))</f>
        <v/>
      </c>
      <c r="B1210" s="4">
        <f>IF($R1210="","",IF($R1210="T",$K$3,IF($R1210="B",COUNTIFS($M$4:$M$2003,INDEX($M$4:$M$2003,$S1210),$N$4:$N$2003,1),1)))</f>
        <v/>
      </c>
      <c r="L1210">
        <f>IF($K$1="","",IFERROR(INDEX(Lines!$A:$AA,ROW()-2,$K$1),""))</f>
        <v/>
      </c>
      <c r="M1210">
        <f>IF($K$2="","",IFERROR(INDEX(Lines!$A:$AA,ROW()-2,$K$2),""))</f>
        <v/>
      </c>
      <c r="N1210">
        <f>IF(AND(L1210&lt;&gt;"",LEFT(L1210,1)="N",M1210&lt;&gt;"PICKING",M1210&lt;&gt;""),1,0)</f>
        <v/>
      </c>
      <c r="O1210">
        <f>IF(N1210=1,M1210&amp;"|"&amp;L1210,REPT("z",40))</f>
        <v/>
      </c>
      <c r="P1210">
        <f>IF(N1210=1,COUNTIF($O$4:$O$2003,"&lt;"&amp;O1210)+1,"")</f>
        <v/>
      </c>
      <c r="Q1210">
        <f>IF(OR($R1209="",$R1209="T"),"",IF($R1209="B",$Q1209,IF($Q1209+1&gt;$K$3,"",$Q1209+1)))</f>
        <v/>
      </c>
      <c r="R1210">
        <f>IF(OR($R1209="",$R1209="T"),"",IF($R1209="B","S",IF($Q1209+1&gt;$K$3,"T",IF(INDEX($M$4:$M$2003,MATCH($Q1209+1,$P$4:$P$2003,0))&lt;&gt;INDEX($M$4:$M$2003,MATCH($Q1209,$P$4:$P$2003,0)),"B","S"))))</f>
        <v/>
      </c>
      <c r="S1210">
        <f>IF(Q1210="","",IFERROR(MATCH(Q1210,$P$4:$P$2003,0),""))</f>
        <v/>
      </c>
    </row>
    <row r="1211">
      <c r="A1211" s="4">
        <f>IF($R1211="","",IF($R1211="T","Gesamtergebnis",IF($R1211="B",INDEX($M$4:$M$2003,$S1211),INDEX($L$4:$L$2003,$S1211))))</f>
        <v/>
      </c>
      <c r="B1211" s="4">
        <f>IF($R1211="","",IF($R1211="T",$K$3,IF($R1211="B",COUNTIFS($M$4:$M$2003,INDEX($M$4:$M$2003,$S1211),$N$4:$N$2003,1),1)))</f>
        <v/>
      </c>
      <c r="L1211">
        <f>IF($K$1="","",IFERROR(INDEX(Lines!$A:$AA,ROW()-2,$K$1),""))</f>
        <v/>
      </c>
      <c r="M1211">
        <f>IF($K$2="","",IFERROR(INDEX(Lines!$A:$AA,ROW()-2,$K$2),""))</f>
        <v/>
      </c>
      <c r="N1211">
        <f>IF(AND(L1211&lt;&gt;"",LEFT(L1211,1)="N",M1211&lt;&gt;"PICKING",M1211&lt;&gt;""),1,0)</f>
        <v/>
      </c>
      <c r="O1211">
        <f>IF(N1211=1,M1211&amp;"|"&amp;L1211,REPT("z",40))</f>
        <v/>
      </c>
      <c r="P1211">
        <f>IF(N1211=1,COUNTIF($O$4:$O$2003,"&lt;"&amp;O1211)+1,"")</f>
        <v/>
      </c>
      <c r="Q1211">
        <f>IF(OR($R1210="",$R1210="T"),"",IF($R1210="B",$Q1210,IF($Q1210+1&gt;$K$3,"",$Q1210+1)))</f>
        <v/>
      </c>
      <c r="R1211">
        <f>IF(OR($R1210="",$R1210="T"),"",IF($R1210="B","S",IF($Q1210+1&gt;$K$3,"T",IF(INDEX($M$4:$M$2003,MATCH($Q1210+1,$P$4:$P$2003,0))&lt;&gt;INDEX($M$4:$M$2003,MATCH($Q1210,$P$4:$P$2003,0)),"B","S"))))</f>
        <v/>
      </c>
      <c r="S1211">
        <f>IF(Q1211="","",IFERROR(MATCH(Q1211,$P$4:$P$2003,0),""))</f>
        <v/>
      </c>
    </row>
    <row r="1212">
      <c r="A1212" s="4">
        <f>IF($R1212="","",IF($R1212="T","Gesamtergebnis",IF($R1212="B",INDEX($M$4:$M$2003,$S1212),INDEX($L$4:$L$2003,$S1212))))</f>
        <v/>
      </c>
      <c r="B1212" s="4">
        <f>IF($R1212="","",IF($R1212="T",$K$3,IF($R1212="B",COUNTIFS($M$4:$M$2003,INDEX($M$4:$M$2003,$S1212),$N$4:$N$2003,1),1)))</f>
        <v/>
      </c>
      <c r="L1212">
        <f>IF($K$1="","",IFERROR(INDEX(Lines!$A:$AA,ROW()-2,$K$1),""))</f>
        <v/>
      </c>
      <c r="M1212">
        <f>IF($K$2="","",IFERROR(INDEX(Lines!$A:$AA,ROW()-2,$K$2),""))</f>
        <v/>
      </c>
      <c r="N1212">
        <f>IF(AND(L1212&lt;&gt;"",LEFT(L1212,1)="N",M1212&lt;&gt;"PICKING",M1212&lt;&gt;""),1,0)</f>
        <v/>
      </c>
      <c r="O1212">
        <f>IF(N1212=1,M1212&amp;"|"&amp;L1212,REPT("z",40))</f>
        <v/>
      </c>
      <c r="P1212">
        <f>IF(N1212=1,COUNTIF($O$4:$O$2003,"&lt;"&amp;O1212)+1,"")</f>
        <v/>
      </c>
      <c r="Q1212">
        <f>IF(OR($R1211="",$R1211="T"),"",IF($R1211="B",$Q1211,IF($Q1211+1&gt;$K$3,"",$Q1211+1)))</f>
        <v/>
      </c>
      <c r="R1212">
        <f>IF(OR($R1211="",$R1211="T"),"",IF($R1211="B","S",IF($Q1211+1&gt;$K$3,"T",IF(INDEX($M$4:$M$2003,MATCH($Q1211+1,$P$4:$P$2003,0))&lt;&gt;INDEX($M$4:$M$2003,MATCH($Q1211,$P$4:$P$2003,0)),"B","S"))))</f>
        <v/>
      </c>
      <c r="S1212">
        <f>IF(Q1212="","",IFERROR(MATCH(Q1212,$P$4:$P$2003,0),""))</f>
        <v/>
      </c>
    </row>
    <row r="1213">
      <c r="A1213" s="4">
        <f>IF($R1213="","",IF($R1213="T","Gesamtergebnis",IF($R1213="B",INDEX($M$4:$M$2003,$S1213),INDEX($L$4:$L$2003,$S1213))))</f>
        <v/>
      </c>
      <c r="B1213" s="4">
        <f>IF($R1213="","",IF($R1213="T",$K$3,IF($R1213="B",COUNTIFS($M$4:$M$2003,INDEX($M$4:$M$2003,$S1213),$N$4:$N$2003,1),1)))</f>
        <v/>
      </c>
      <c r="L1213">
        <f>IF($K$1="","",IFERROR(INDEX(Lines!$A:$AA,ROW()-2,$K$1),""))</f>
        <v/>
      </c>
      <c r="M1213">
        <f>IF($K$2="","",IFERROR(INDEX(Lines!$A:$AA,ROW()-2,$K$2),""))</f>
        <v/>
      </c>
      <c r="N1213">
        <f>IF(AND(L1213&lt;&gt;"",LEFT(L1213,1)="N",M1213&lt;&gt;"PICKING",M1213&lt;&gt;""),1,0)</f>
        <v/>
      </c>
      <c r="O1213">
        <f>IF(N1213=1,M1213&amp;"|"&amp;L1213,REPT("z",40))</f>
        <v/>
      </c>
      <c r="P1213">
        <f>IF(N1213=1,COUNTIF($O$4:$O$2003,"&lt;"&amp;O1213)+1,"")</f>
        <v/>
      </c>
      <c r="Q1213">
        <f>IF(OR($R1212="",$R1212="T"),"",IF($R1212="B",$Q1212,IF($Q1212+1&gt;$K$3,"",$Q1212+1)))</f>
        <v/>
      </c>
      <c r="R1213">
        <f>IF(OR($R1212="",$R1212="T"),"",IF($R1212="B","S",IF($Q1212+1&gt;$K$3,"T",IF(INDEX($M$4:$M$2003,MATCH($Q1212+1,$P$4:$P$2003,0))&lt;&gt;INDEX($M$4:$M$2003,MATCH($Q1212,$P$4:$P$2003,0)),"B","S"))))</f>
        <v/>
      </c>
      <c r="S1213">
        <f>IF(Q1213="","",IFERROR(MATCH(Q1213,$P$4:$P$2003,0),""))</f>
        <v/>
      </c>
    </row>
    <row r="1214">
      <c r="A1214" s="4">
        <f>IF($R1214="","",IF($R1214="T","Gesamtergebnis",IF($R1214="B",INDEX($M$4:$M$2003,$S1214),INDEX($L$4:$L$2003,$S1214))))</f>
        <v/>
      </c>
      <c r="B1214" s="4">
        <f>IF($R1214="","",IF($R1214="T",$K$3,IF($R1214="B",COUNTIFS($M$4:$M$2003,INDEX($M$4:$M$2003,$S1214),$N$4:$N$2003,1),1)))</f>
        <v/>
      </c>
      <c r="L1214">
        <f>IF($K$1="","",IFERROR(INDEX(Lines!$A:$AA,ROW()-2,$K$1),""))</f>
        <v/>
      </c>
      <c r="M1214">
        <f>IF($K$2="","",IFERROR(INDEX(Lines!$A:$AA,ROW()-2,$K$2),""))</f>
        <v/>
      </c>
      <c r="N1214">
        <f>IF(AND(L1214&lt;&gt;"",LEFT(L1214,1)="N",M1214&lt;&gt;"PICKING",M1214&lt;&gt;""),1,0)</f>
        <v/>
      </c>
      <c r="O1214">
        <f>IF(N1214=1,M1214&amp;"|"&amp;L1214,REPT("z",40))</f>
        <v/>
      </c>
      <c r="P1214">
        <f>IF(N1214=1,COUNTIF($O$4:$O$2003,"&lt;"&amp;O1214)+1,"")</f>
        <v/>
      </c>
      <c r="Q1214">
        <f>IF(OR($R1213="",$R1213="T"),"",IF($R1213="B",$Q1213,IF($Q1213+1&gt;$K$3,"",$Q1213+1)))</f>
        <v/>
      </c>
      <c r="R1214">
        <f>IF(OR($R1213="",$R1213="T"),"",IF($R1213="B","S",IF($Q1213+1&gt;$K$3,"T",IF(INDEX($M$4:$M$2003,MATCH($Q1213+1,$P$4:$P$2003,0))&lt;&gt;INDEX($M$4:$M$2003,MATCH($Q1213,$P$4:$P$2003,0)),"B","S"))))</f>
        <v/>
      </c>
      <c r="S1214">
        <f>IF(Q1214="","",IFERROR(MATCH(Q1214,$P$4:$P$2003,0),""))</f>
        <v/>
      </c>
    </row>
    <row r="1215">
      <c r="A1215" s="4">
        <f>IF($R1215="","",IF($R1215="T","Gesamtergebnis",IF($R1215="B",INDEX($M$4:$M$2003,$S1215),INDEX($L$4:$L$2003,$S1215))))</f>
        <v/>
      </c>
      <c r="B1215" s="4">
        <f>IF($R1215="","",IF($R1215="T",$K$3,IF($R1215="B",COUNTIFS($M$4:$M$2003,INDEX($M$4:$M$2003,$S1215),$N$4:$N$2003,1),1)))</f>
        <v/>
      </c>
      <c r="L1215">
        <f>IF($K$1="","",IFERROR(INDEX(Lines!$A:$AA,ROW()-2,$K$1),""))</f>
        <v/>
      </c>
      <c r="M1215">
        <f>IF($K$2="","",IFERROR(INDEX(Lines!$A:$AA,ROW()-2,$K$2),""))</f>
        <v/>
      </c>
      <c r="N1215">
        <f>IF(AND(L1215&lt;&gt;"",LEFT(L1215,1)="N",M1215&lt;&gt;"PICKING",M1215&lt;&gt;""),1,0)</f>
        <v/>
      </c>
      <c r="O1215">
        <f>IF(N1215=1,M1215&amp;"|"&amp;L1215,REPT("z",40))</f>
        <v/>
      </c>
      <c r="P1215">
        <f>IF(N1215=1,COUNTIF($O$4:$O$2003,"&lt;"&amp;O1215)+1,"")</f>
        <v/>
      </c>
      <c r="Q1215">
        <f>IF(OR($R1214="",$R1214="T"),"",IF($R1214="B",$Q1214,IF($Q1214+1&gt;$K$3,"",$Q1214+1)))</f>
        <v/>
      </c>
      <c r="R1215">
        <f>IF(OR($R1214="",$R1214="T"),"",IF($R1214="B","S",IF($Q1214+1&gt;$K$3,"T",IF(INDEX($M$4:$M$2003,MATCH($Q1214+1,$P$4:$P$2003,0))&lt;&gt;INDEX($M$4:$M$2003,MATCH($Q1214,$P$4:$P$2003,0)),"B","S"))))</f>
        <v/>
      </c>
      <c r="S1215">
        <f>IF(Q1215="","",IFERROR(MATCH(Q1215,$P$4:$P$2003,0),""))</f>
        <v/>
      </c>
    </row>
    <row r="1216">
      <c r="A1216" s="4">
        <f>IF($R1216="","",IF($R1216="T","Gesamtergebnis",IF($R1216="B",INDEX($M$4:$M$2003,$S1216),INDEX($L$4:$L$2003,$S1216))))</f>
        <v/>
      </c>
      <c r="B1216" s="4">
        <f>IF($R1216="","",IF($R1216="T",$K$3,IF($R1216="B",COUNTIFS($M$4:$M$2003,INDEX($M$4:$M$2003,$S1216),$N$4:$N$2003,1),1)))</f>
        <v/>
      </c>
      <c r="L1216">
        <f>IF($K$1="","",IFERROR(INDEX(Lines!$A:$AA,ROW()-2,$K$1),""))</f>
        <v/>
      </c>
      <c r="M1216">
        <f>IF($K$2="","",IFERROR(INDEX(Lines!$A:$AA,ROW()-2,$K$2),""))</f>
        <v/>
      </c>
      <c r="N1216">
        <f>IF(AND(L1216&lt;&gt;"",LEFT(L1216,1)="N",M1216&lt;&gt;"PICKING",M1216&lt;&gt;""),1,0)</f>
        <v/>
      </c>
      <c r="O1216">
        <f>IF(N1216=1,M1216&amp;"|"&amp;L1216,REPT("z",40))</f>
        <v/>
      </c>
      <c r="P1216">
        <f>IF(N1216=1,COUNTIF($O$4:$O$2003,"&lt;"&amp;O1216)+1,"")</f>
        <v/>
      </c>
      <c r="Q1216">
        <f>IF(OR($R1215="",$R1215="T"),"",IF($R1215="B",$Q1215,IF($Q1215+1&gt;$K$3,"",$Q1215+1)))</f>
        <v/>
      </c>
      <c r="R1216">
        <f>IF(OR($R1215="",$R1215="T"),"",IF($R1215="B","S",IF($Q1215+1&gt;$K$3,"T",IF(INDEX($M$4:$M$2003,MATCH($Q1215+1,$P$4:$P$2003,0))&lt;&gt;INDEX($M$4:$M$2003,MATCH($Q1215,$P$4:$P$2003,0)),"B","S"))))</f>
        <v/>
      </c>
      <c r="S1216">
        <f>IF(Q1216="","",IFERROR(MATCH(Q1216,$P$4:$P$2003,0),""))</f>
        <v/>
      </c>
    </row>
    <row r="1217">
      <c r="A1217" s="4">
        <f>IF($R1217="","",IF($R1217="T","Gesamtergebnis",IF($R1217="B",INDEX($M$4:$M$2003,$S1217),INDEX($L$4:$L$2003,$S1217))))</f>
        <v/>
      </c>
      <c r="B1217" s="4">
        <f>IF($R1217="","",IF($R1217="T",$K$3,IF($R1217="B",COUNTIFS($M$4:$M$2003,INDEX($M$4:$M$2003,$S1217),$N$4:$N$2003,1),1)))</f>
        <v/>
      </c>
      <c r="L1217">
        <f>IF($K$1="","",IFERROR(INDEX(Lines!$A:$AA,ROW()-2,$K$1),""))</f>
        <v/>
      </c>
      <c r="M1217">
        <f>IF($K$2="","",IFERROR(INDEX(Lines!$A:$AA,ROW()-2,$K$2),""))</f>
        <v/>
      </c>
      <c r="N1217">
        <f>IF(AND(L1217&lt;&gt;"",LEFT(L1217,1)="N",M1217&lt;&gt;"PICKING",M1217&lt;&gt;""),1,0)</f>
        <v/>
      </c>
      <c r="O1217">
        <f>IF(N1217=1,M1217&amp;"|"&amp;L1217,REPT("z",40))</f>
        <v/>
      </c>
      <c r="P1217">
        <f>IF(N1217=1,COUNTIF($O$4:$O$2003,"&lt;"&amp;O1217)+1,"")</f>
        <v/>
      </c>
      <c r="Q1217">
        <f>IF(OR($R1216="",$R1216="T"),"",IF($R1216="B",$Q1216,IF($Q1216+1&gt;$K$3,"",$Q1216+1)))</f>
        <v/>
      </c>
      <c r="R1217">
        <f>IF(OR($R1216="",$R1216="T"),"",IF($R1216="B","S",IF($Q1216+1&gt;$K$3,"T",IF(INDEX($M$4:$M$2003,MATCH($Q1216+1,$P$4:$P$2003,0))&lt;&gt;INDEX($M$4:$M$2003,MATCH($Q1216,$P$4:$P$2003,0)),"B","S"))))</f>
        <v/>
      </c>
      <c r="S1217">
        <f>IF(Q1217="","",IFERROR(MATCH(Q1217,$P$4:$P$2003,0),""))</f>
        <v/>
      </c>
    </row>
    <row r="1218">
      <c r="A1218" s="4">
        <f>IF($R1218="","",IF($R1218="T","Gesamtergebnis",IF($R1218="B",INDEX($M$4:$M$2003,$S1218),INDEX($L$4:$L$2003,$S1218))))</f>
        <v/>
      </c>
      <c r="B1218" s="4">
        <f>IF($R1218="","",IF($R1218="T",$K$3,IF($R1218="B",COUNTIFS($M$4:$M$2003,INDEX($M$4:$M$2003,$S1218),$N$4:$N$2003,1),1)))</f>
        <v/>
      </c>
      <c r="L1218">
        <f>IF($K$1="","",IFERROR(INDEX(Lines!$A:$AA,ROW()-2,$K$1),""))</f>
        <v/>
      </c>
      <c r="M1218">
        <f>IF($K$2="","",IFERROR(INDEX(Lines!$A:$AA,ROW()-2,$K$2),""))</f>
        <v/>
      </c>
      <c r="N1218">
        <f>IF(AND(L1218&lt;&gt;"",LEFT(L1218,1)="N",M1218&lt;&gt;"PICKING",M1218&lt;&gt;""),1,0)</f>
        <v/>
      </c>
      <c r="O1218">
        <f>IF(N1218=1,M1218&amp;"|"&amp;L1218,REPT("z",40))</f>
        <v/>
      </c>
      <c r="P1218">
        <f>IF(N1218=1,COUNTIF($O$4:$O$2003,"&lt;"&amp;O1218)+1,"")</f>
        <v/>
      </c>
      <c r="Q1218">
        <f>IF(OR($R1217="",$R1217="T"),"",IF($R1217="B",$Q1217,IF($Q1217+1&gt;$K$3,"",$Q1217+1)))</f>
        <v/>
      </c>
      <c r="R1218">
        <f>IF(OR($R1217="",$R1217="T"),"",IF($R1217="B","S",IF($Q1217+1&gt;$K$3,"T",IF(INDEX($M$4:$M$2003,MATCH($Q1217+1,$P$4:$P$2003,0))&lt;&gt;INDEX($M$4:$M$2003,MATCH($Q1217,$P$4:$P$2003,0)),"B","S"))))</f>
        <v/>
      </c>
      <c r="S1218">
        <f>IF(Q1218="","",IFERROR(MATCH(Q1218,$P$4:$P$2003,0),""))</f>
        <v/>
      </c>
    </row>
    <row r="1219">
      <c r="A1219" s="4">
        <f>IF($R1219="","",IF($R1219="T","Gesamtergebnis",IF($R1219="B",INDEX($M$4:$M$2003,$S1219),INDEX($L$4:$L$2003,$S1219))))</f>
        <v/>
      </c>
      <c r="B1219" s="4">
        <f>IF($R1219="","",IF($R1219="T",$K$3,IF($R1219="B",COUNTIFS($M$4:$M$2003,INDEX($M$4:$M$2003,$S1219),$N$4:$N$2003,1),1)))</f>
        <v/>
      </c>
      <c r="L1219">
        <f>IF($K$1="","",IFERROR(INDEX(Lines!$A:$AA,ROW()-2,$K$1),""))</f>
        <v/>
      </c>
      <c r="M1219">
        <f>IF($K$2="","",IFERROR(INDEX(Lines!$A:$AA,ROW()-2,$K$2),""))</f>
        <v/>
      </c>
      <c r="N1219">
        <f>IF(AND(L1219&lt;&gt;"",LEFT(L1219,1)="N",M1219&lt;&gt;"PICKING",M1219&lt;&gt;""),1,0)</f>
        <v/>
      </c>
      <c r="O1219">
        <f>IF(N1219=1,M1219&amp;"|"&amp;L1219,REPT("z",40))</f>
        <v/>
      </c>
      <c r="P1219">
        <f>IF(N1219=1,COUNTIF($O$4:$O$2003,"&lt;"&amp;O1219)+1,"")</f>
        <v/>
      </c>
      <c r="Q1219">
        <f>IF(OR($R1218="",$R1218="T"),"",IF($R1218="B",$Q1218,IF($Q1218+1&gt;$K$3,"",$Q1218+1)))</f>
        <v/>
      </c>
      <c r="R1219">
        <f>IF(OR($R1218="",$R1218="T"),"",IF($R1218="B","S",IF($Q1218+1&gt;$K$3,"T",IF(INDEX($M$4:$M$2003,MATCH($Q1218+1,$P$4:$P$2003,0))&lt;&gt;INDEX($M$4:$M$2003,MATCH($Q1218,$P$4:$P$2003,0)),"B","S"))))</f>
        <v/>
      </c>
      <c r="S1219">
        <f>IF(Q1219="","",IFERROR(MATCH(Q1219,$P$4:$P$2003,0),""))</f>
        <v/>
      </c>
    </row>
    <row r="1220">
      <c r="A1220" s="4">
        <f>IF($R1220="","",IF($R1220="T","Gesamtergebnis",IF($R1220="B",INDEX($M$4:$M$2003,$S1220),INDEX($L$4:$L$2003,$S1220))))</f>
        <v/>
      </c>
      <c r="B1220" s="4">
        <f>IF($R1220="","",IF($R1220="T",$K$3,IF($R1220="B",COUNTIFS($M$4:$M$2003,INDEX($M$4:$M$2003,$S1220),$N$4:$N$2003,1),1)))</f>
        <v/>
      </c>
      <c r="L1220">
        <f>IF($K$1="","",IFERROR(INDEX(Lines!$A:$AA,ROW()-2,$K$1),""))</f>
        <v/>
      </c>
      <c r="M1220">
        <f>IF($K$2="","",IFERROR(INDEX(Lines!$A:$AA,ROW()-2,$K$2),""))</f>
        <v/>
      </c>
      <c r="N1220">
        <f>IF(AND(L1220&lt;&gt;"",LEFT(L1220,1)="N",M1220&lt;&gt;"PICKING",M1220&lt;&gt;""),1,0)</f>
        <v/>
      </c>
      <c r="O1220">
        <f>IF(N1220=1,M1220&amp;"|"&amp;L1220,REPT("z",40))</f>
        <v/>
      </c>
      <c r="P1220">
        <f>IF(N1220=1,COUNTIF($O$4:$O$2003,"&lt;"&amp;O1220)+1,"")</f>
        <v/>
      </c>
      <c r="Q1220">
        <f>IF(OR($R1219="",$R1219="T"),"",IF($R1219="B",$Q1219,IF($Q1219+1&gt;$K$3,"",$Q1219+1)))</f>
        <v/>
      </c>
      <c r="R1220">
        <f>IF(OR($R1219="",$R1219="T"),"",IF($R1219="B","S",IF($Q1219+1&gt;$K$3,"T",IF(INDEX($M$4:$M$2003,MATCH($Q1219+1,$P$4:$P$2003,0))&lt;&gt;INDEX($M$4:$M$2003,MATCH($Q1219,$P$4:$P$2003,0)),"B","S"))))</f>
        <v/>
      </c>
      <c r="S1220">
        <f>IF(Q1220="","",IFERROR(MATCH(Q1220,$P$4:$P$2003,0),""))</f>
        <v/>
      </c>
    </row>
    <row r="1221">
      <c r="A1221" s="4">
        <f>IF($R1221="","",IF($R1221="T","Gesamtergebnis",IF($R1221="B",INDEX($M$4:$M$2003,$S1221),INDEX($L$4:$L$2003,$S1221))))</f>
        <v/>
      </c>
      <c r="B1221" s="4">
        <f>IF($R1221="","",IF($R1221="T",$K$3,IF($R1221="B",COUNTIFS($M$4:$M$2003,INDEX($M$4:$M$2003,$S1221),$N$4:$N$2003,1),1)))</f>
        <v/>
      </c>
      <c r="L1221">
        <f>IF($K$1="","",IFERROR(INDEX(Lines!$A:$AA,ROW()-2,$K$1),""))</f>
        <v/>
      </c>
      <c r="M1221">
        <f>IF($K$2="","",IFERROR(INDEX(Lines!$A:$AA,ROW()-2,$K$2),""))</f>
        <v/>
      </c>
      <c r="N1221">
        <f>IF(AND(L1221&lt;&gt;"",LEFT(L1221,1)="N",M1221&lt;&gt;"PICKING",M1221&lt;&gt;""),1,0)</f>
        <v/>
      </c>
      <c r="O1221">
        <f>IF(N1221=1,M1221&amp;"|"&amp;L1221,REPT("z",40))</f>
        <v/>
      </c>
      <c r="P1221">
        <f>IF(N1221=1,COUNTIF($O$4:$O$2003,"&lt;"&amp;O1221)+1,"")</f>
        <v/>
      </c>
      <c r="Q1221">
        <f>IF(OR($R1220="",$R1220="T"),"",IF($R1220="B",$Q1220,IF($Q1220+1&gt;$K$3,"",$Q1220+1)))</f>
        <v/>
      </c>
      <c r="R1221">
        <f>IF(OR($R1220="",$R1220="T"),"",IF($R1220="B","S",IF($Q1220+1&gt;$K$3,"T",IF(INDEX($M$4:$M$2003,MATCH($Q1220+1,$P$4:$P$2003,0))&lt;&gt;INDEX($M$4:$M$2003,MATCH($Q1220,$P$4:$P$2003,0)),"B","S"))))</f>
        <v/>
      </c>
      <c r="S1221">
        <f>IF(Q1221="","",IFERROR(MATCH(Q1221,$P$4:$P$2003,0),""))</f>
        <v/>
      </c>
    </row>
    <row r="1222">
      <c r="A1222" s="4">
        <f>IF($R1222="","",IF($R1222="T","Gesamtergebnis",IF($R1222="B",INDEX($M$4:$M$2003,$S1222),INDEX($L$4:$L$2003,$S1222))))</f>
        <v/>
      </c>
      <c r="B1222" s="4">
        <f>IF($R1222="","",IF($R1222="T",$K$3,IF($R1222="B",COUNTIFS($M$4:$M$2003,INDEX($M$4:$M$2003,$S1222),$N$4:$N$2003,1),1)))</f>
        <v/>
      </c>
      <c r="L1222">
        <f>IF($K$1="","",IFERROR(INDEX(Lines!$A:$AA,ROW()-2,$K$1),""))</f>
        <v/>
      </c>
      <c r="M1222">
        <f>IF($K$2="","",IFERROR(INDEX(Lines!$A:$AA,ROW()-2,$K$2),""))</f>
        <v/>
      </c>
      <c r="N1222">
        <f>IF(AND(L1222&lt;&gt;"",LEFT(L1222,1)="N",M1222&lt;&gt;"PICKING",M1222&lt;&gt;""),1,0)</f>
        <v/>
      </c>
      <c r="O1222">
        <f>IF(N1222=1,M1222&amp;"|"&amp;L1222,REPT("z",40))</f>
        <v/>
      </c>
      <c r="P1222">
        <f>IF(N1222=1,COUNTIF($O$4:$O$2003,"&lt;"&amp;O1222)+1,"")</f>
        <v/>
      </c>
      <c r="Q1222">
        <f>IF(OR($R1221="",$R1221="T"),"",IF($R1221="B",$Q1221,IF($Q1221+1&gt;$K$3,"",$Q1221+1)))</f>
        <v/>
      </c>
      <c r="R1222">
        <f>IF(OR($R1221="",$R1221="T"),"",IF($R1221="B","S",IF($Q1221+1&gt;$K$3,"T",IF(INDEX($M$4:$M$2003,MATCH($Q1221+1,$P$4:$P$2003,0))&lt;&gt;INDEX($M$4:$M$2003,MATCH($Q1221,$P$4:$P$2003,0)),"B","S"))))</f>
        <v/>
      </c>
      <c r="S1222">
        <f>IF(Q1222="","",IFERROR(MATCH(Q1222,$P$4:$P$2003,0),""))</f>
        <v/>
      </c>
    </row>
    <row r="1223">
      <c r="A1223" s="4">
        <f>IF($R1223="","",IF($R1223="T","Gesamtergebnis",IF($R1223="B",INDEX($M$4:$M$2003,$S1223),INDEX($L$4:$L$2003,$S1223))))</f>
        <v/>
      </c>
      <c r="B1223" s="4">
        <f>IF($R1223="","",IF($R1223="T",$K$3,IF($R1223="B",COUNTIFS($M$4:$M$2003,INDEX($M$4:$M$2003,$S1223),$N$4:$N$2003,1),1)))</f>
        <v/>
      </c>
      <c r="L1223">
        <f>IF($K$1="","",IFERROR(INDEX(Lines!$A:$AA,ROW()-2,$K$1),""))</f>
        <v/>
      </c>
      <c r="M1223">
        <f>IF($K$2="","",IFERROR(INDEX(Lines!$A:$AA,ROW()-2,$K$2),""))</f>
        <v/>
      </c>
      <c r="N1223">
        <f>IF(AND(L1223&lt;&gt;"",LEFT(L1223,1)="N",M1223&lt;&gt;"PICKING",M1223&lt;&gt;""),1,0)</f>
        <v/>
      </c>
      <c r="O1223">
        <f>IF(N1223=1,M1223&amp;"|"&amp;L1223,REPT("z",40))</f>
        <v/>
      </c>
      <c r="P1223">
        <f>IF(N1223=1,COUNTIF($O$4:$O$2003,"&lt;"&amp;O1223)+1,"")</f>
        <v/>
      </c>
      <c r="Q1223">
        <f>IF(OR($R1222="",$R1222="T"),"",IF($R1222="B",$Q1222,IF($Q1222+1&gt;$K$3,"",$Q1222+1)))</f>
        <v/>
      </c>
      <c r="R1223">
        <f>IF(OR($R1222="",$R1222="T"),"",IF($R1222="B","S",IF($Q1222+1&gt;$K$3,"T",IF(INDEX($M$4:$M$2003,MATCH($Q1222+1,$P$4:$P$2003,0))&lt;&gt;INDEX($M$4:$M$2003,MATCH($Q1222,$P$4:$P$2003,0)),"B","S"))))</f>
        <v/>
      </c>
      <c r="S1223">
        <f>IF(Q1223="","",IFERROR(MATCH(Q1223,$P$4:$P$2003,0),""))</f>
        <v/>
      </c>
    </row>
    <row r="1224">
      <c r="A1224" s="4">
        <f>IF($R1224="","",IF($R1224="T","Gesamtergebnis",IF($R1224="B",INDEX($M$4:$M$2003,$S1224),INDEX($L$4:$L$2003,$S1224))))</f>
        <v/>
      </c>
      <c r="B1224" s="4">
        <f>IF($R1224="","",IF($R1224="T",$K$3,IF($R1224="B",COUNTIFS($M$4:$M$2003,INDEX($M$4:$M$2003,$S1224),$N$4:$N$2003,1),1)))</f>
        <v/>
      </c>
      <c r="L1224">
        <f>IF($K$1="","",IFERROR(INDEX(Lines!$A:$AA,ROW()-2,$K$1),""))</f>
        <v/>
      </c>
      <c r="M1224">
        <f>IF($K$2="","",IFERROR(INDEX(Lines!$A:$AA,ROW()-2,$K$2),""))</f>
        <v/>
      </c>
      <c r="N1224">
        <f>IF(AND(L1224&lt;&gt;"",LEFT(L1224,1)="N",M1224&lt;&gt;"PICKING",M1224&lt;&gt;""),1,0)</f>
        <v/>
      </c>
      <c r="O1224">
        <f>IF(N1224=1,M1224&amp;"|"&amp;L1224,REPT("z",40))</f>
        <v/>
      </c>
      <c r="P1224">
        <f>IF(N1224=1,COUNTIF($O$4:$O$2003,"&lt;"&amp;O1224)+1,"")</f>
        <v/>
      </c>
      <c r="Q1224">
        <f>IF(OR($R1223="",$R1223="T"),"",IF($R1223="B",$Q1223,IF($Q1223+1&gt;$K$3,"",$Q1223+1)))</f>
        <v/>
      </c>
      <c r="R1224">
        <f>IF(OR($R1223="",$R1223="T"),"",IF($R1223="B","S",IF($Q1223+1&gt;$K$3,"T",IF(INDEX($M$4:$M$2003,MATCH($Q1223+1,$P$4:$P$2003,0))&lt;&gt;INDEX($M$4:$M$2003,MATCH($Q1223,$P$4:$P$2003,0)),"B","S"))))</f>
        <v/>
      </c>
      <c r="S1224">
        <f>IF(Q1224="","",IFERROR(MATCH(Q1224,$P$4:$P$2003,0),""))</f>
        <v/>
      </c>
    </row>
    <row r="1225">
      <c r="A1225" s="4">
        <f>IF($R1225="","",IF($R1225="T","Gesamtergebnis",IF($R1225="B",INDEX($M$4:$M$2003,$S1225),INDEX($L$4:$L$2003,$S1225))))</f>
        <v/>
      </c>
      <c r="B1225" s="4">
        <f>IF($R1225="","",IF($R1225="T",$K$3,IF($R1225="B",COUNTIFS($M$4:$M$2003,INDEX($M$4:$M$2003,$S1225),$N$4:$N$2003,1),1)))</f>
        <v/>
      </c>
      <c r="L1225">
        <f>IF($K$1="","",IFERROR(INDEX(Lines!$A:$AA,ROW()-2,$K$1),""))</f>
        <v/>
      </c>
      <c r="M1225">
        <f>IF($K$2="","",IFERROR(INDEX(Lines!$A:$AA,ROW()-2,$K$2),""))</f>
        <v/>
      </c>
      <c r="N1225">
        <f>IF(AND(L1225&lt;&gt;"",LEFT(L1225,1)="N",M1225&lt;&gt;"PICKING",M1225&lt;&gt;""),1,0)</f>
        <v/>
      </c>
      <c r="O1225">
        <f>IF(N1225=1,M1225&amp;"|"&amp;L1225,REPT("z",40))</f>
        <v/>
      </c>
      <c r="P1225">
        <f>IF(N1225=1,COUNTIF($O$4:$O$2003,"&lt;"&amp;O1225)+1,"")</f>
        <v/>
      </c>
      <c r="Q1225">
        <f>IF(OR($R1224="",$R1224="T"),"",IF($R1224="B",$Q1224,IF($Q1224+1&gt;$K$3,"",$Q1224+1)))</f>
        <v/>
      </c>
      <c r="R1225">
        <f>IF(OR($R1224="",$R1224="T"),"",IF($R1224="B","S",IF($Q1224+1&gt;$K$3,"T",IF(INDEX($M$4:$M$2003,MATCH($Q1224+1,$P$4:$P$2003,0))&lt;&gt;INDEX($M$4:$M$2003,MATCH($Q1224,$P$4:$P$2003,0)),"B","S"))))</f>
        <v/>
      </c>
      <c r="S1225">
        <f>IF(Q1225="","",IFERROR(MATCH(Q1225,$P$4:$P$2003,0),""))</f>
        <v/>
      </c>
    </row>
    <row r="1226">
      <c r="A1226" s="4">
        <f>IF($R1226="","",IF($R1226="T","Gesamtergebnis",IF($R1226="B",INDEX($M$4:$M$2003,$S1226),INDEX($L$4:$L$2003,$S1226))))</f>
        <v/>
      </c>
      <c r="B1226" s="4">
        <f>IF($R1226="","",IF($R1226="T",$K$3,IF($R1226="B",COUNTIFS($M$4:$M$2003,INDEX($M$4:$M$2003,$S1226),$N$4:$N$2003,1),1)))</f>
        <v/>
      </c>
      <c r="L1226">
        <f>IF($K$1="","",IFERROR(INDEX(Lines!$A:$AA,ROW()-2,$K$1),""))</f>
        <v/>
      </c>
      <c r="M1226">
        <f>IF($K$2="","",IFERROR(INDEX(Lines!$A:$AA,ROW()-2,$K$2),""))</f>
        <v/>
      </c>
      <c r="N1226">
        <f>IF(AND(L1226&lt;&gt;"",LEFT(L1226,1)="N",M1226&lt;&gt;"PICKING",M1226&lt;&gt;""),1,0)</f>
        <v/>
      </c>
      <c r="O1226">
        <f>IF(N1226=1,M1226&amp;"|"&amp;L1226,REPT("z",40))</f>
        <v/>
      </c>
      <c r="P1226">
        <f>IF(N1226=1,COUNTIF($O$4:$O$2003,"&lt;"&amp;O1226)+1,"")</f>
        <v/>
      </c>
      <c r="Q1226">
        <f>IF(OR($R1225="",$R1225="T"),"",IF($R1225="B",$Q1225,IF($Q1225+1&gt;$K$3,"",$Q1225+1)))</f>
        <v/>
      </c>
      <c r="R1226">
        <f>IF(OR($R1225="",$R1225="T"),"",IF($R1225="B","S",IF($Q1225+1&gt;$K$3,"T",IF(INDEX($M$4:$M$2003,MATCH($Q1225+1,$P$4:$P$2003,0))&lt;&gt;INDEX($M$4:$M$2003,MATCH($Q1225,$P$4:$P$2003,0)),"B","S"))))</f>
        <v/>
      </c>
      <c r="S1226">
        <f>IF(Q1226="","",IFERROR(MATCH(Q1226,$P$4:$P$2003,0),""))</f>
        <v/>
      </c>
    </row>
    <row r="1227">
      <c r="A1227" s="4">
        <f>IF($R1227="","",IF($R1227="T","Gesamtergebnis",IF($R1227="B",INDEX($M$4:$M$2003,$S1227),INDEX($L$4:$L$2003,$S1227))))</f>
        <v/>
      </c>
      <c r="B1227" s="4">
        <f>IF($R1227="","",IF($R1227="T",$K$3,IF($R1227="B",COUNTIFS($M$4:$M$2003,INDEX($M$4:$M$2003,$S1227),$N$4:$N$2003,1),1)))</f>
        <v/>
      </c>
      <c r="L1227">
        <f>IF($K$1="","",IFERROR(INDEX(Lines!$A:$AA,ROW()-2,$K$1),""))</f>
        <v/>
      </c>
      <c r="M1227">
        <f>IF($K$2="","",IFERROR(INDEX(Lines!$A:$AA,ROW()-2,$K$2),""))</f>
        <v/>
      </c>
      <c r="N1227">
        <f>IF(AND(L1227&lt;&gt;"",LEFT(L1227,1)="N",M1227&lt;&gt;"PICKING",M1227&lt;&gt;""),1,0)</f>
        <v/>
      </c>
      <c r="O1227">
        <f>IF(N1227=1,M1227&amp;"|"&amp;L1227,REPT("z",40))</f>
        <v/>
      </c>
      <c r="P1227">
        <f>IF(N1227=1,COUNTIF($O$4:$O$2003,"&lt;"&amp;O1227)+1,"")</f>
        <v/>
      </c>
      <c r="Q1227">
        <f>IF(OR($R1226="",$R1226="T"),"",IF($R1226="B",$Q1226,IF($Q1226+1&gt;$K$3,"",$Q1226+1)))</f>
        <v/>
      </c>
      <c r="R1227">
        <f>IF(OR($R1226="",$R1226="T"),"",IF($R1226="B","S",IF($Q1226+1&gt;$K$3,"T",IF(INDEX($M$4:$M$2003,MATCH($Q1226+1,$P$4:$P$2003,0))&lt;&gt;INDEX($M$4:$M$2003,MATCH($Q1226,$P$4:$P$2003,0)),"B","S"))))</f>
        <v/>
      </c>
      <c r="S1227">
        <f>IF(Q1227="","",IFERROR(MATCH(Q1227,$P$4:$P$2003,0),""))</f>
        <v/>
      </c>
    </row>
    <row r="1228">
      <c r="A1228" s="4">
        <f>IF($R1228="","",IF($R1228="T","Gesamtergebnis",IF($R1228="B",INDEX($M$4:$M$2003,$S1228),INDEX($L$4:$L$2003,$S1228))))</f>
        <v/>
      </c>
      <c r="B1228" s="4">
        <f>IF($R1228="","",IF($R1228="T",$K$3,IF($R1228="B",COUNTIFS($M$4:$M$2003,INDEX($M$4:$M$2003,$S1228),$N$4:$N$2003,1),1)))</f>
        <v/>
      </c>
      <c r="L1228">
        <f>IF($K$1="","",IFERROR(INDEX(Lines!$A:$AA,ROW()-2,$K$1),""))</f>
        <v/>
      </c>
      <c r="M1228">
        <f>IF($K$2="","",IFERROR(INDEX(Lines!$A:$AA,ROW()-2,$K$2),""))</f>
        <v/>
      </c>
      <c r="N1228">
        <f>IF(AND(L1228&lt;&gt;"",LEFT(L1228,1)="N",M1228&lt;&gt;"PICKING",M1228&lt;&gt;""),1,0)</f>
        <v/>
      </c>
      <c r="O1228">
        <f>IF(N1228=1,M1228&amp;"|"&amp;L1228,REPT("z",40))</f>
        <v/>
      </c>
      <c r="P1228">
        <f>IF(N1228=1,COUNTIF($O$4:$O$2003,"&lt;"&amp;O1228)+1,"")</f>
        <v/>
      </c>
      <c r="Q1228">
        <f>IF(OR($R1227="",$R1227="T"),"",IF($R1227="B",$Q1227,IF($Q1227+1&gt;$K$3,"",$Q1227+1)))</f>
        <v/>
      </c>
      <c r="R1228">
        <f>IF(OR($R1227="",$R1227="T"),"",IF($R1227="B","S",IF($Q1227+1&gt;$K$3,"T",IF(INDEX($M$4:$M$2003,MATCH($Q1227+1,$P$4:$P$2003,0))&lt;&gt;INDEX($M$4:$M$2003,MATCH($Q1227,$P$4:$P$2003,0)),"B","S"))))</f>
        <v/>
      </c>
      <c r="S1228">
        <f>IF(Q1228="","",IFERROR(MATCH(Q1228,$P$4:$P$2003,0),""))</f>
        <v/>
      </c>
    </row>
    <row r="1229">
      <c r="A1229" s="4">
        <f>IF($R1229="","",IF($R1229="T","Gesamtergebnis",IF($R1229="B",INDEX($M$4:$M$2003,$S1229),INDEX($L$4:$L$2003,$S1229))))</f>
        <v/>
      </c>
      <c r="B1229" s="4">
        <f>IF($R1229="","",IF($R1229="T",$K$3,IF($R1229="B",COUNTIFS($M$4:$M$2003,INDEX($M$4:$M$2003,$S1229),$N$4:$N$2003,1),1)))</f>
        <v/>
      </c>
      <c r="L1229">
        <f>IF($K$1="","",IFERROR(INDEX(Lines!$A:$AA,ROW()-2,$K$1),""))</f>
        <v/>
      </c>
      <c r="M1229">
        <f>IF($K$2="","",IFERROR(INDEX(Lines!$A:$AA,ROW()-2,$K$2),""))</f>
        <v/>
      </c>
      <c r="N1229">
        <f>IF(AND(L1229&lt;&gt;"",LEFT(L1229,1)="N",M1229&lt;&gt;"PICKING",M1229&lt;&gt;""),1,0)</f>
        <v/>
      </c>
      <c r="O1229">
        <f>IF(N1229=1,M1229&amp;"|"&amp;L1229,REPT("z",40))</f>
        <v/>
      </c>
      <c r="P1229">
        <f>IF(N1229=1,COUNTIF($O$4:$O$2003,"&lt;"&amp;O1229)+1,"")</f>
        <v/>
      </c>
      <c r="Q1229">
        <f>IF(OR($R1228="",$R1228="T"),"",IF($R1228="B",$Q1228,IF($Q1228+1&gt;$K$3,"",$Q1228+1)))</f>
        <v/>
      </c>
      <c r="R1229">
        <f>IF(OR($R1228="",$R1228="T"),"",IF($R1228="B","S",IF($Q1228+1&gt;$K$3,"T",IF(INDEX($M$4:$M$2003,MATCH($Q1228+1,$P$4:$P$2003,0))&lt;&gt;INDEX($M$4:$M$2003,MATCH($Q1228,$P$4:$P$2003,0)),"B","S"))))</f>
        <v/>
      </c>
      <c r="S1229">
        <f>IF(Q1229="","",IFERROR(MATCH(Q1229,$P$4:$P$2003,0),""))</f>
        <v/>
      </c>
    </row>
    <row r="1230">
      <c r="A1230" s="4">
        <f>IF($R1230="","",IF($R1230="T","Gesamtergebnis",IF($R1230="B",INDEX($M$4:$M$2003,$S1230),INDEX($L$4:$L$2003,$S1230))))</f>
        <v/>
      </c>
      <c r="B1230" s="4">
        <f>IF($R1230="","",IF($R1230="T",$K$3,IF($R1230="B",COUNTIFS($M$4:$M$2003,INDEX($M$4:$M$2003,$S1230),$N$4:$N$2003,1),1)))</f>
        <v/>
      </c>
      <c r="L1230">
        <f>IF($K$1="","",IFERROR(INDEX(Lines!$A:$AA,ROW()-2,$K$1),""))</f>
        <v/>
      </c>
      <c r="M1230">
        <f>IF($K$2="","",IFERROR(INDEX(Lines!$A:$AA,ROW()-2,$K$2),""))</f>
        <v/>
      </c>
      <c r="N1230">
        <f>IF(AND(L1230&lt;&gt;"",LEFT(L1230,1)="N",M1230&lt;&gt;"PICKING",M1230&lt;&gt;""),1,0)</f>
        <v/>
      </c>
      <c r="O1230">
        <f>IF(N1230=1,M1230&amp;"|"&amp;L1230,REPT("z",40))</f>
        <v/>
      </c>
      <c r="P1230">
        <f>IF(N1230=1,COUNTIF($O$4:$O$2003,"&lt;"&amp;O1230)+1,"")</f>
        <v/>
      </c>
      <c r="Q1230">
        <f>IF(OR($R1229="",$R1229="T"),"",IF($R1229="B",$Q1229,IF($Q1229+1&gt;$K$3,"",$Q1229+1)))</f>
        <v/>
      </c>
      <c r="R1230">
        <f>IF(OR($R1229="",$R1229="T"),"",IF($R1229="B","S",IF($Q1229+1&gt;$K$3,"T",IF(INDEX($M$4:$M$2003,MATCH($Q1229+1,$P$4:$P$2003,0))&lt;&gt;INDEX($M$4:$M$2003,MATCH($Q1229,$P$4:$P$2003,0)),"B","S"))))</f>
        <v/>
      </c>
      <c r="S1230">
        <f>IF(Q1230="","",IFERROR(MATCH(Q1230,$P$4:$P$2003,0),""))</f>
        <v/>
      </c>
    </row>
    <row r="1231">
      <c r="A1231" s="4">
        <f>IF($R1231="","",IF($R1231="T","Gesamtergebnis",IF($R1231="B",INDEX($M$4:$M$2003,$S1231),INDEX($L$4:$L$2003,$S1231))))</f>
        <v/>
      </c>
      <c r="B1231" s="4">
        <f>IF($R1231="","",IF($R1231="T",$K$3,IF($R1231="B",COUNTIFS($M$4:$M$2003,INDEX($M$4:$M$2003,$S1231),$N$4:$N$2003,1),1)))</f>
        <v/>
      </c>
      <c r="L1231">
        <f>IF($K$1="","",IFERROR(INDEX(Lines!$A:$AA,ROW()-2,$K$1),""))</f>
        <v/>
      </c>
      <c r="M1231">
        <f>IF($K$2="","",IFERROR(INDEX(Lines!$A:$AA,ROW()-2,$K$2),""))</f>
        <v/>
      </c>
      <c r="N1231">
        <f>IF(AND(L1231&lt;&gt;"",LEFT(L1231,1)="N",M1231&lt;&gt;"PICKING",M1231&lt;&gt;""),1,0)</f>
        <v/>
      </c>
      <c r="O1231">
        <f>IF(N1231=1,M1231&amp;"|"&amp;L1231,REPT("z",40))</f>
        <v/>
      </c>
      <c r="P1231">
        <f>IF(N1231=1,COUNTIF($O$4:$O$2003,"&lt;"&amp;O1231)+1,"")</f>
        <v/>
      </c>
      <c r="Q1231">
        <f>IF(OR($R1230="",$R1230="T"),"",IF($R1230="B",$Q1230,IF($Q1230+1&gt;$K$3,"",$Q1230+1)))</f>
        <v/>
      </c>
      <c r="R1231">
        <f>IF(OR($R1230="",$R1230="T"),"",IF($R1230="B","S",IF($Q1230+1&gt;$K$3,"T",IF(INDEX($M$4:$M$2003,MATCH($Q1230+1,$P$4:$P$2003,0))&lt;&gt;INDEX($M$4:$M$2003,MATCH($Q1230,$P$4:$P$2003,0)),"B","S"))))</f>
        <v/>
      </c>
      <c r="S1231">
        <f>IF(Q1231="","",IFERROR(MATCH(Q1231,$P$4:$P$2003,0),""))</f>
        <v/>
      </c>
    </row>
    <row r="1232">
      <c r="A1232" s="4">
        <f>IF($R1232="","",IF($R1232="T","Gesamtergebnis",IF($R1232="B",INDEX($M$4:$M$2003,$S1232),INDEX($L$4:$L$2003,$S1232))))</f>
        <v/>
      </c>
      <c r="B1232" s="4">
        <f>IF($R1232="","",IF($R1232="T",$K$3,IF($R1232="B",COUNTIFS($M$4:$M$2003,INDEX($M$4:$M$2003,$S1232),$N$4:$N$2003,1),1)))</f>
        <v/>
      </c>
      <c r="L1232">
        <f>IF($K$1="","",IFERROR(INDEX(Lines!$A:$AA,ROW()-2,$K$1),""))</f>
        <v/>
      </c>
      <c r="M1232">
        <f>IF($K$2="","",IFERROR(INDEX(Lines!$A:$AA,ROW()-2,$K$2),""))</f>
        <v/>
      </c>
      <c r="N1232">
        <f>IF(AND(L1232&lt;&gt;"",LEFT(L1232,1)="N",M1232&lt;&gt;"PICKING",M1232&lt;&gt;""),1,0)</f>
        <v/>
      </c>
      <c r="O1232">
        <f>IF(N1232=1,M1232&amp;"|"&amp;L1232,REPT("z",40))</f>
        <v/>
      </c>
      <c r="P1232">
        <f>IF(N1232=1,COUNTIF($O$4:$O$2003,"&lt;"&amp;O1232)+1,"")</f>
        <v/>
      </c>
      <c r="Q1232">
        <f>IF(OR($R1231="",$R1231="T"),"",IF($R1231="B",$Q1231,IF($Q1231+1&gt;$K$3,"",$Q1231+1)))</f>
        <v/>
      </c>
      <c r="R1232">
        <f>IF(OR($R1231="",$R1231="T"),"",IF($R1231="B","S",IF($Q1231+1&gt;$K$3,"T",IF(INDEX($M$4:$M$2003,MATCH($Q1231+1,$P$4:$P$2003,0))&lt;&gt;INDEX($M$4:$M$2003,MATCH($Q1231,$P$4:$P$2003,0)),"B","S"))))</f>
        <v/>
      </c>
      <c r="S1232">
        <f>IF(Q1232="","",IFERROR(MATCH(Q1232,$P$4:$P$2003,0),""))</f>
        <v/>
      </c>
    </row>
    <row r="1233">
      <c r="A1233" s="4">
        <f>IF($R1233="","",IF($R1233="T","Gesamtergebnis",IF($R1233="B",INDEX($M$4:$M$2003,$S1233),INDEX($L$4:$L$2003,$S1233))))</f>
        <v/>
      </c>
      <c r="B1233" s="4">
        <f>IF($R1233="","",IF($R1233="T",$K$3,IF($R1233="B",COUNTIFS($M$4:$M$2003,INDEX($M$4:$M$2003,$S1233),$N$4:$N$2003,1),1)))</f>
        <v/>
      </c>
      <c r="L1233">
        <f>IF($K$1="","",IFERROR(INDEX(Lines!$A:$AA,ROW()-2,$K$1),""))</f>
        <v/>
      </c>
      <c r="M1233">
        <f>IF($K$2="","",IFERROR(INDEX(Lines!$A:$AA,ROW()-2,$K$2),""))</f>
        <v/>
      </c>
      <c r="N1233">
        <f>IF(AND(L1233&lt;&gt;"",LEFT(L1233,1)="N",M1233&lt;&gt;"PICKING",M1233&lt;&gt;""),1,0)</f>
        <v/>
      </c>
      <c r="O1233">
        <f>IF(N1233=1,M1233&amp;"|"&amp;L1233,REPT("z",40))</f>
        <v/>
      </c>
      <c r="P1233">
        <f>IF(N1233=1,COUNTIF($O$4:$O$2003,"&lt;"&amp;O1233)+1,"")</f>
        <v/>
      </c>
      <c r="Q1233">
        <f>IF(OR($R1232="",$R1232="T"),"",IF($R1232="B",$Q1232,IF($Q1232+1&gt;$K$3,"",$Q1232+1)))</f>
        <v/>
      </c>
      <c r="R1233">
        <f>IF(OR($R1232="",$R1232="T"),"",IF($R1232="B","S",IF($Q1232+1&gt;$K$3,"T",IF(INDEX($M$4:$M$2003,MATCH($Q1232+1,$P$4:$P$2003,0))&lt;&gt;INDEX($M$4:$M$2003,MATCH($Q1232,$P$4:$P$2003,0)),"B","S"))))</f>
        <v/>
      </c>
      <c r="S1233">
        <f>IF(Q1233="","",IFERROR(MATCH(Q1233,$P$4:$P$2003,0),""))</f>
        <v/>
      </c>
    </row>
    <row r="1234">
      <c r="A1234" s="4">
        <f>IF($R1234="","",IF($R1234="T","Gesamtergebnis",IF($R1234="B",INDEX($M$4:$M$2003,$S1234),INDEX($L$4:$L$2003,$S1234))))</f>
        <v/>
      </c>
      <c r="B1234" s="4">
        <f>IF($R1234="","",IF($R1234="T",$K$3,IF($R1234="B",COUNTIFS($M$4:$M$2003,INDEX($M$4:$M$2003,$S1234),$N$4:$N$2003,1),1)))</f>
        <v/>
      </c>
      <c r="L1234">
        <f>IF($K$1="","",IFERROR(INDEX(Lines!$A:$AA,ROW()-2,$K$1),""))</f>
        <v/>
      </c>
      <c r="M1234">
        <f>IF($K$2="","",IFERROR(INDEX(Lines!$A:$AA,ROW()-2,$K$2),""))</f>
        <v/>
      </c>
      <c r="N1234">
        <f>IF(AND(L1234&lt;&gt;"",LEFT(L1234,1)="N",M1234&lt;&gt;"PICKING",M1234&lt;&gt;""),1,0)</f>
        <v/>
      </c>
      <c r="O1234">
        <f>IF(N1234=1,M1234&amp;"|"&amp;L1234,REPT("z",40))</f>
        <v/>
      </c>
      <c r="P1234">
        <f>IF(N1234=1,COUNTIF($O$4:$O$2003,"&lt;"&amp;O1234)+1,"")</f>
        <v/>
      </c>
      <c r="Q1234">
        <f>IF(OR($R1233="",$R1233="T"),"",IF($R1233="B",$Q1233,IF($Q1233+1&gt;$K$3,"",$Q1233+1)))</f>
        <v/>
      </c>
      <c r="R1234">
        <f>IF(OR($R1233="",$R1233="T"),"",IF($R1233="B","S",IF($Q1233+1&gt;$K$3,"T",IF(INDEX($M$4:$M$2003,MATCH($Q1233+1,$P$4:$P$2003,0))&lt;&gt;INDEX($M$4:$M$2003,MATCH($Q1233,$P$4:$P$2003,0)),"B","S"))))</f>
        <v/>
      </c>
      <c r="S1234">
        <f>IF(Q1234="","",IFERROR(MATCH(Q1234,$P$4:$P$2003,0),""))</f>
        <v/>
      </c>
    </row>
    <row r="1235">
      <c r="A1235" s="4">
        <f>IF($R1235="","",IF($R1235="T","Gesamtergebnis",IF($R1235="B",INDEX($M$4:$M$2003,$S1235),INDEX($L$4:$L$2003,$S1235))))</f>
        <v/>
      </c>
      <c r="B1235" s="4">
        <f>IF($R1235="","",IF($R1235="T",$K$3,IF($R1235="B",COUNTIFS($M$4:$M$2003,INDEX($M$4:$M$2003,$S1235),$N$4:$N$2003,1),1)))</f>
        <v/>
      </c>
      <c r="L1235">
        <f>IF($K$1="","",IFERROR(INDEX(Lines!$A:$AA,ROW()-2,$K$1),""))</f>
        <v/>
      </c>
      <c r="M1235">
        <f>IF($K$2="","",IFERROR(INDEX(Lines!$A:$AA,ROW()-2,$K$2),""))</f>
        <v/>
      </c>
      <c r="N1235">
        <f>IF(AND(L1235&lt;&gt;"",LEFT(L1235,1)="N",M1235&lt;&gt;"PICKING",M1235&lt;&gt;""),1,0)</f>
        <v/>
      </c>
      <c r="O1235">
        <f>IF(N1235=1,M1235&amp;"|"&amp;L1235,REPT("z",40))</f>
        <v/>
      </c>
      <c r="P1235">
        <f>IF(N1235=1,COUNTIF($O$4:$O$2003,"&lt;"&amp;O1235)+1,"")</f>
        <v/>
      </c>
      <c r="Q1235">
        <f>IF(OR($R1234="",$R1234="T"),"",IF($R1234="B",$Q1234,IF($Q1234+1&gt;$K$3,"",$Q1234+1)))</f>
        <v/>
      </c>
      <c r="R1235">
        <f>IF(OR($R1234="",$R1234="T"),"",IF($R1234="B","S",IF($Q1234+1&gt;$K$3,"T",IF(INDEX($M$4:$M$2003,MATCH($Q1234+1,$P$4:$P$2003,0))&lt;&gt;INDEX($M$4:$M$2003,MATCH($Q1234,$P$4:$P$2003,0)),"B","S"))))</f>
        <v/>
      </c>
      <c r="S1235">
        <f>IF(Q1235="","",IFERROR(MATCH(Q1235,$P$4:$P$2003,0),""))</f>
        <v/>
      </c>
    </row>
    <row r="1236">
      <c r="A1236" s="4">
        <f>IF($R1236="","",IF($R1236="T","Gesamtergebnis",IF($R1236="B",INDEX($M$4:$M$2003,$S1236),INDEX($L$4:$L$2003,$S1236))))</f>
        <v/>
      </c>
      <c r="B1236" s="4">
        <f>IF($R1236="","",IF($R1236="T",$K$3,IF($R1236="B",COUNTIFS($M$4:$M$2003,INDEX($M$4:$M$2003,$S1236),$N$4:$N$2003,1),1)))</f>
        <v/>
      </c>
      <c r="L1236">
        <f>IF($K$1="","",IFERROR(INDEX(Lines!$A:$AA,ROW()-2,$K$1),""))</f>
        <v/>
      </c>
      <c r="M1236">
        <f>IF($K$2="","",IFERROR(INDEX(Lines!$A:$AA,ROW()-2,$K$2),""))</f>
        <v/>
      </c>
      <c r="N1236">
        <f>IF(AND(L1236&lt;&gt;"",LEFT(L1236,1)="N",M1236&lt;&gt;"PICKING",M1236&lt;&gt;""),1,0)</f>
        <v/>
      </c>
      <c r="O1236">
        <f>IF(N1236=1,M1236&amp;"|"&amp;L1236,REPT("z",40))</f>
        <v/>
      </c>
      <c r="P1236">
        <f>IF(N1236=1,COUNTIF($O$4:$O$2003,"&lt;"&amp;O1236)+1,"")</f>
        <v/>
      </c>
      <c r="Q1236">
        <f>IF(OR($R1235="",$R1235="T"),"",IF($R1235="B",$Q1235,IF($Q1235+1&gt;$K$3,"",$Q1235+1)))</f>
        <v/>
      </c>
      <c r="R1236">
        <f>IF(OR($R1235="",$R1235="T"),"",IF($R1235="B","S",IF($Q1235+1&gt;$K$3,"T",IF(INDEX($M$4:$M$2003,MATCH($Q1235+1,$P$4:$P$2003,0))&lt;&gt;INDEX($M$4:$M$2003,MATCH($Q1235,$P$4:$P$2003,0)),"B","S"))))</f>
        <v/>
      </c>
      <c r="S1236">
        <f>IF(Q1236="","",IFERROR(MATCH(Q1236,$P$4:$P$2003,0),""))</f>
        <v/>
      </c>
    </row>
    <row r="1237">
      <c r="A1237" s="4">
        <f>IF($R1237="","",IF($R1237="T","Gesamtergebnis",IF($R1237="B",INDEX($M$4:$M$2003,$S1237),INDEX($L$4:$L$2003,$S1237))))</f>
        <v/>
      </c>
      <c r="B1237" s="4">
        <f>IF($R1237="","",IF($R1237="T",$K$3,IF($R1237="B",COUNTIFS($M$4:$M$2003,INDEX($M$4:$M$2003,$S1237),$N$4:$N$2003,1),1)))</f>
        <v/>
      </c>
      <c r="L1237">
        <f>IF($K$1="","",IFERROR(INDEX(Lines!$A:$AA,ROW()-2,$K$1),""))</f>
        <v/>
      </c>
      <c r="M1237">
        <f>IF($K$2="","",IFERROR(INDEX(Lines!$A:$AA,ROW()-2,$K$2),""))</f>
        <v/>
      </c>
      <c r="N1237">
        <f>IF(AND(L1237&lt;&gt;"",LEFT(L1237,1)="N",M1237&lt;&gt;"PICKING",M1237&lt;&gt;""),1,0)</f>
        <v/>
      </c>
      <c r="O1237">
        <f>IF(N1237=1,M1237&amp;"|"&amp;L1237,REPT("z",40))</f>
        <v/>
      </c>
      <c r="P1237">
        <f>IF(N1237=1,COUNTIF($O$4:$O$2003,"&lt;"&amp;O1237)+1,"")</f>
        <v/>
      </c>
      <c r="Q1237">
        <f>IF(OR($R1236="",$R1236="T"),"",IF($R1236="B",$Q1236,IF($Q1236+1&gt;$K$3,"",$Q1236+1)))</f>
        <v/>
      </c>
      <c r="R1237">
        <f>IF(OR($R1236="",$R1236="T"),"",IF($R1236="B","S",IF($Q1236+1&gt;$K$3,"T",IF(INDEX($M$4:$M$2003,MATCH($Q1236+1,$P$4:$P$2003,0))&lt;&gt;INDEX($M$4:$M$2003,MATCH($Q1236,$P$4:$P$2003,0)),"B","S"))))</f>
        <v/>
      </c>
      <c r="S1237">
        <f>IF(Q1237="","",IFERROR(MATCH(Q1237,$P$4:$P$2003,0),""))</f>
        <v/>
      </c>
    </row>
    <row r="1238">
      <c r="A1238" s="4">
        <f>IF($R1238="","",IF($R1238="T","Gesamtergebnis",IF($R1238="B",INDEX($M$4:$M$2003,$S1238),INDEX($L$4:$L$2003,$S1238))))</f>
        <v/>
      </c>
      <c r="B1238" s="4">
        <f>IF($R1238="","",IF($R1238="T",$K$3,IF($R1238="B",COUNTIFS($M$4:$M$2003,INDEX($M$4:$M$2003,$S1238),$N$4:$N$2003,1),1)))</f>
        <v/>
      </c>
      <c r="L1238">
        <f>IF($K$1="","",IFERROR(INDEX(Lines!$A:$AA,ROW()-2,$K$1),""))</f>
        <v/>
      </c>
      <c r="M1238">
        <f>IF($K$2="","",IFERROR(INDEX(Lines!$A:$AA,ROW()-2,$K$2),""))</f>
        <v/>
      </c>
      <c r="N1238">
        <f>IF(AND(L1238&lt;&gt;"",LEFT(L1238,1)="N",M1238&lt;&gt;"PICKING",M1238&lt;&gt;""),1,0)</f>
        <v/>
      </c>
      <c r="O1238">
        <f>IF(N1238=1,M1238&amp;"|"&amp;L1238,REPT("z",40))</f>
        <v/>
      </c>
      <c r="P1238">
        <f>IF(N1238=1,COUNTIF($O$4:$O$2003,"&lt;"&amp;O1238)+1,"")</f>
        <v/>
      </c>
      <c r="Q1238">
        <f>IF(OR($R1237="",$R1237="T"),"",IF($R1237="B",$Q1237,IF($Q1237+1&gt;$K$3,"",$Q1237+1)))</f>
        <v/>
      </c>
      <c r="R1238">
        <f>IF(OR($R1237="",$R1237="T"),"",IF($R1237="B","S",IF($Q1237+1&gt;$K$3,"T",IF(INDEX($M$4:$M$2003,MATCH($Q1237+1,$P$4:$P$2003,0))&lt;&gt;INDEX($M$4:$M$2003,MATCH($Q1237,$P$4:$P$2003,0)),"B","S"))))</f>
        <v/>
      </c>
      <c r="S1238">
        <f>IF(Q1238="","",IFERROR(MATCH(Q1238,$P$4:$P$2003,0),""))</f>
        <v/>
      </c>
    </row>
    <row r="1239">
      <c r="A1239" s="4">
        <f>IF($R1239="","",IF($R1239="T","Gesamtergebnis",IF($R1239="B",INDEX($M$4:$M$2003,$S1239),INDEX($L$4:$L$2003,$S1239))))</f>
        <v/>
      </c>
      <c r="B1239" s="4">
        <f>IF($R1239="","",IF($R1239="T",$K$3,IF($R1239="B",COUNTIFS($M$4:$M$2003,INDEX($M$4:$M$2003,$S1239),$N$4:$N$2003,1),1)))</f>
        <v/>
      </c>
      <c r="L1239">
        <f>IF($K$1="","",IFERROR(INDEX(Lines!$A:$AA,ROW()-2,$K$1),""))</f>
        <v/>
      </c>
      <c r="M1239">
        <f>IF($K$2="","",IFERROR(INDEX(Lines!$A:$AA,ROW()-2,$K$2),""))</f>
        <v/>
      </c>
      <c r="N1239">
        <f>IF(AND(L1239&lt;&gt;"",LEFT(L1239,1)="N",M1239&lt;&gt;"PICKING",M1239&lt;&gt;""),1,0)</f>
        <v/>
      </c>
      <c r="O1239">
        <f>IF(N1239=1,M1239&amp;"|"&amp;L1239,REPT("z",40))</f>
        <v/>
      </c>
      <c r="P1239">
        <f>IF(N1239=1,COUNTIF($O$4:$O$2003,"&lt;"&amp;O1239)+1,"")</f>
        <v/>
      </c>
      <c r="Q1239">
        <f>IF(OR($R1238="",$R1238="T"),"",IF($R1238="B",$Q1238,IF($Q1238+1&gt;$K$3,"",$Q1238+1)))</f>
        <v/>
      </c>
      <c r="R1239">
        <f>IF(OR($R1238="",$R1238="T"),"",IF($R1238="B","S",IF($Q1238+1&gt;$K$3,"T",IF(INDEX($M$4:$M$2003,MATCH($Q1238+1,$P$4:$P$2003,0))&lt;&gt;INDEX($M$4:$M$2003,MATCH($Q1238,$P$4:$P$2003,0)),"B","S"))))</f>
        <v/>
      </c>
      <c r="S1239">
        <f>IF(Q1239="","",IFERROR(MATCH(Q1239,$P$4:$P$2003,0),""))</f>
        <v/>
      </c>
    </row>
    <row r="1240">
      <c r="A1240" s="4">
        <f>IF($R1240="","",IF($R1240="T","Gesamtergebnis",IF($R1240="B",INDEX($M$4:$M$2003,$S1240),INDEX($L$4:$L$2003,$S1240))))</f>
        <v/>
      </c>
      <c r="B1240" s="4">
        <f>IF($R1240="","",IF($R1240="T",$K$3,IF($R1240="B",COUNTIFS($M$4:$M$2003,INDEX($M$4:$M$2003,$S1240),$N$4:$N$2003,1),1)))</f>
        <v/>
      </c>
      <c r="L1240">
        <f>IF($K$1="","",IFERROR(INDEX(Lines!$A:$AA,ROW()-2,$K$1),""))</f>
        <v/>
      </c>
      <c r="M1240">
        <f>IF($K$2="","",IFERROR(INDEX(Lines!$A:$AA,ROW()-2,$K$2),""))</f>
        <v/>
      </c>
      <c r="N1240">
        <f>IF(AND(L1240&lt;&gt;"",LEFT(L1240,1)="N",M1240&lt;&gt;"PICKING",M1240&lt;&gt;""),1,0)</f>
        <v/>
      </c>
      <c r="O1240">
        <f>IF(N1240=1,M1240&amp;"|"&amp;L1240,REPT("z",40))</f>
        <v/>
      </c>
      <c r="P1240">
        <f>IF(N1240=1,COUNTIF($O$4:$O$2003,"&lt;"&amp;O1240)+1,"")</f>
        <v/>
      </c>
      <c r="Q1240">
        <f>IF(OR($R1239="",$R1239="T"),"",IF($R1239="B",$Q1239,IF($Q1239+1&gt;$K$3,"",$Q1239+1)))</f>
        <v/>
      </c>
      <c r="R1240">
        <f>IF(OR($R1239="",$R1239="T"),"",IF($R1239="B","S",IF($Q1239+1&gt;$K$3,"T",IF(INDEX($M$4:$M$2003,MATCH($Q1239+1,$P$4:$P$2003,0))&lt;&gt;INDEX($M$4:$M$2003,MATCH($Q1239,$P$4:$P$2003,0)),"B","S"))))</f>
        <v/>
      </c>
      <c r="S1240">
        <f>IF(Q1240="","",IFERROR(MATCH(Q1240,$P$4:$P$2003,0),""))</f>
        <v/>
      </c>
    </row>
    <row r="1241">
      <c r="A1241" s="4">
        <f>IF($R1241="","",IF($R1241="T","Gesamtergebnis",IF($R1241="B",INDEX($M$4:$M$2003,$S1241),INDEX($L$4:$L$2003,$S1241))))</f>
        <v/>
      </c>
      <c r="B1241" s="4">
        <f>IF($R1241="","",IF($R1241="T",$K$3,IF($R1241="B",COUNTIFS($M$4:$M$2003,INDEX($M$4:$M$2003,$S1241),$N$4:$N$2003,1),1)))</f>
        <v/>
      </c>
      <c r="L1241">
        <f>IF($K$1="","",IFERROR(INDEX(Lines!$A:$AA,ROW()-2,$K$1),""))</f>
        <v/>
      </c>
      <c r="M1241">
        <f>IF($K$2="","",IFERROR(INDEX(Lines!$A:$AA,ROW()-2,$K$2),""))</f>
        <v/>
      </c>
      <c r="N1241">
        <f>IF(AND(L1241&lt;&gt;"",LEFT(L1241,1)="N",M1241&lt;&gt;"PICKING",M1241&lt;&gt;""),1,0)</f>
        <v/>
      </c>
      <c r="O1241">
        <f>IF(N1241=1,M1241&amp;"|"&amp;L1241,REPT("z",40))</f>
        <v/>
      </c>
      <c r="P1241">
        <f>IF(N1241=1,COUNTIF($O$4:$O$2003,"&lt;"&amp;O1241)+1,"")</f>
        <v/>
      </c>
      <c r="Q1241">
        <f>IF(OR($R1240="",$R1240="T"),"",IF($R1240="B",$Q1240,IF($Q1240+1&gt;$K$3,"",$Q1240+1)))</f>
        <v/>
      </c>
      <c r="R1241">
        <f>IF(OR($R1240="",$R1240="T"),"",IF($R1240="B","S",IF($Q1240+1&gt;$K$3,"T",IF(INDEX($M$4:$M$2003,MATCH($Q1240+1,$P$4:$P$2003,0))&lt;&gt;INDEX($M$4:$M$2003,MATCH($Q1240,$P$4:$P$2003,0)),"B","S"))))</f>
        <v/>
      </c>
      <c r="S1241">
        <f>IF(Q1241="","",IFERROR(MATCH(Q1241,$P$4:$P$2003,0),""))</f>
        <v/>
      </c>
    </row>
    <row r="1242">
      <c r="A1242" s="4">
        <f>IF($R1242="","",IF($R1242="T","Gesamtergebnis",IF($R1242="B",INDEX($M$4:$M$2003,$S1242),INDEX($L$4:$L$2003,$S1242))))</f>
        <v/>
      </c>
      <c r="B1242" s="4">
        <f>IF($R1242="","",IF($R1242="T",$K$3,IF($R1242="B",COUNTIFS($M$4:$M$2003,INDEX($M$4:$M$2003,$S1242),$N$4:$N$2003,1),1)))</f>
        <v/>
      </c>
      <c r="L1242">
        <f>IF($K$1="","",IFERROR(INDEX(Lines!$A:$AA,ROW()-2,$K$1),""))</f>
        <v/>
      </c>
      <c r="M1242">
        <f>IF($K$2="","",IFERROR(INDEX(Lines!$A:$AA,ROW()-2,$K$2),""))</f>
        <v/>
      </c>
      <c r="N1242">
        <f>IF(AND(L1242&lt;&gt;"",LEFT(L1242,1)="N",M1242&lt;&gt;"PICKING",M1242&lt;&gt;""),1,0)</f>
        <v/>
      </c>
      <c r="O1242">
        <f>IF(N1242=1,M1242&amp;"|"&amp;L1242,REPT("z",40))</f>
        <v/>
      </c>
      <c r="P1242">
        <f>IF(N1242=1,COUNTIF($O$4:$O$2003,"&lt;"&amp;O1242)+1,"")</f>
        <v/>
      </c>
      <c r="Q1242">
        <f>IF(OR($R1241="",$R1241="T"),"",IF($R1241="B",$Q1241,IF($Q1241+1&gt;$K$3,"",$Q1241+1)))</f>
        <v/>
      </c>
      <c r="R1242">
        <f>IF(OR($R1241="",$R1241="T"),"",IF($R1241="B","S",IF($Q1241+1&gt;$K$3,"T",IF(INDEX($M$4:$M$2003,MATCH($Q1241+1,$P$4:$P$2003,0))&lt;&gt;INDEX($M$4:$M$2003,MATCH($Q1241,$P$4:$P$2003,0)),"B","S"))))</f>
        <v/>
      </c>
      <c r="S1242">
        <f>IF(Q1242="","",IFERROR(MATCH(Q1242,$P$4:$P$2003,0),""))</f>
        <v/>
      </c>
    </row>
    <row r="1243">
      <c r="A1243" s="4">
        <f>IF($R1243="","",IF($R1243="T","Gesamtergebnis",IF($R1243="B",INDEX($M$4:$M$2003,$S1243),INDEX($L$4:$L$2003,$S1243))))</f>
        <v/>
      </c>
      <c r="B1243" s="4">
        <f>IF($R1243="","",IF($R1243="T",$K$3,IF($R1243="B",COUNTIFS($M$4:$M$2003,INDEX($M$4:$M$2003,$S1243),$N$4:$N$2003,1),1)))</f>
        <v/>
      </c>
      <c r="L1243">
        <f>IF($K$1="","",IFERROR(INDEX(Lines!$A:$AA,ROW()-2,$K$1),""))</f>
        <v/>
      </c>
      <c r="M1243">
        <f>IF($K$2="","",IFERROR(INDEX(Lines!$A:$AA,ROW()-2,$K$2),""))</f>
        <v/>
      </c>
      <c r="N1243">
        <f>IF(AND(L1243&lt;&gt;"",LEFT(L1243,1)="N",M1243&lt;&gt;"PICKING",M1243&lt;&gt;""),1,0)</f>
        <v/>
      </c>
      <c r="O1243">
        <f>IF(N1243=1,M1243&amp;"|"&amp;L1243,REPT("z",40))</f>
        <v/>
      </c>
      <c r="P1243">
        <f>IF(N1243=1,COUNTIF($O$4:$O$2003,"&lt;"&amp;O1243)+1,"")</f>
        <v/>
      </c>
      <c r="Q1243">
        <f>IF(OR($R1242="",$R1242="T"),"",IF($R1242="B",$Q1242,IF($Q1242+1&gt;$K$3,"",$Q1242+1)))</f>
        <v/>
      </c>
      <c r="R1243">
        <f>IF(OR($R1242="",$R1242="T"),"",IF($R1242="B","S",IF($Q1242+1&gt;$K$3,"T",IF(INDEX($M$4:$M$2003,MATCH($Q1242+1,$P$4:$P$2003,0))&lt;&gt;INDEX($M$4:$M$2003,MATCH($Q1242,$P$4:$P$2003,0)),"B","S"))))</f>
        <v/>
      </c>
      <c r="S1243">
        <f>IF(Q1243="","",IFERROR(MATCH(Q1243,$P$4:$P$2003,0),""))</f>
        <v/>
      </c>
    </row>
    <row r="1244">
      <c r="A1244" s="4">
        <f>IF($R1244="","",IF($R1244="T","Gesamtergebnis",IF($R1244="B",INDEX($M$4:$M$2003,$S1244),INDEX($L$4:$L$2003,$S1244))))</f>
        <v/>
      </c>
      <c r="B1244" s="4">
        <f>IF($R1244="","",IF($R1244="T",$K$3,IF($R1244="B",COUNTIFS($M$4:$M$2003,INDEX($M$4:$M$2003,$S1244),$N$4:$N$2003,1),1)))</f>
        <v/>
      </c>
      <c r="L1244">
        <f>IF($K$1="","",IFERROR(INDEX(Lines!$A:$AA,ROW()-2,$K$1),""))</f>
        <v/>
      </c>
      <c r="M1244">
        <f>IF($K$2="","",IFERROR(INDEX(Lines!$A:$AA,ROW()-2,$K$2),""))</f>
        <v/>
      </c>
      <c r="N1244">
        <f>IF(AND(L1244&lt;&gt;"",LEFT(L1244,1)="N",M1244&lt;&gt;"PICKING",M1244&lt;&gt;""),1,0)</f>
        <v/>
      </c>
      <c r="O1244">
        <f>IF(N1244=1,M1244&amp;"|"&amp;L1244,REPT("z",40))</f>
        <v/>
      </c>
      <c r="P1244">
        <f>IF(N1244=1,COUNTIF($O$4:$O$2003,"&lt;"&amp;O1244)+1,"")</f>
        <v/>
      </c>
      <c r="Q1244">
        <f>IF(OR($R1243="",$R1243="T"),"",IF($R1243="B",$Q1243,IF($Q1243+1&gt;$K$3,"",$Q1243+1)))</f>
        <v/>
      </c>
      <c r="R1244">
        <f>IF(OR($R1243="",$R1243="T"),"",IF($R1243="B","S",IF($Q1243+1&gt;$K$3,"T",IF(INDEX($M$4:$M$2003,MATCH($Q1243+1,$P$4:$P$2003,0))&lt;&gt;INDEX($M$4:$M$2003,MATCH($Q1243,$P$4:$P$2003,0)),"B","S"))))</f>
        <v/>
      </c>
      <c r="S1244">
        <f>IF(Q1244="","",IFERROR(MATCH(Q1244,$P$4:$P$2003,0),""))</f>
        <v/>
      </c>
    </row>
    <row r="1245">
      <c r="A1245" s="4">
        <f>IF($R1245="","",IF($R1245="T","Gesamtergebnis",IF($R1245="B",INDEX($M$4:$M$2003,$S1245),INDEX($L$4:$L$2003,$S1245))))</f>
        <v/>
      </c>
      <c r="B1245" s="4">
        <f>IF($R1245="","",IF($R1245="T",$K$3,IF($R1245="B",COUNTIFS($M$4:$M$2003,INDEX($M$4:$M$2003,$S1245),$N$4:$N$2003,1),1)))</f>
        <v/>
      </c>
      <c r="L1245">
        <f>IF($K$1="","",IFERROR(INDEX(Lines!$A:$AA,ROW()-2,$K$1),""))</f>
        <v/>
      </c>
      <c r="M1245">
        <f>IF($K$2="","",IFERROR(INDEX(Lines!$A:$AA,ROW()-2,$K$2),""))</f>
        <v/>
      </c>
      <c r="N1245">
        <f>IF(AND(L1245&lt;&gt;"",LEFT(L1245,1)="N",M1245&lt;&gt;"PICKING",M1245&lt;&gt;""),1,0)</f>
        <v/>
      </c>
      <c r="O1245">
        <f>IF(N1245=1,M1245&amp;"|"&amp;L1245,REPT("z",40))</f>
        <v/>
      </c>
      <c r="P1245">
        <f>IF(N1245=1,COUNTIF($O$4:$O$2003,"&lt;"&amp;O1245)+1,"")</f>
        <v/>
      </c>
      <c r="Q1245">
        <f>IF(OR($R1244="",$R1244="T"),"",IF($R1244="B",$Q1244,IF($Q1244+1&gt;$K$3,"",$Q1244+1)))</f>
        <v/>
      </c>
      <c r="R1245">
        <f>IF(OR($R1244="",$R1244="T"),"",IF($R1244="B","S",IF($Q1244+1&gt;$K$3,"T",IF(INDEX($M$4:$M$2003,MATCH($Q1244+1,$P$4:$P$2003,0))&lt;&gt;INDEX($M$4:$M$2003,MATCH($Q1244,$P$4:$P$2003,0)),"B","S"))))</f>
        <v/>
      </c>
      <c r="S1245">
        <f>IF(Q1245="","",IFERROR(MATCH(Q1245,$P$4:$P$2003,0),""))</f>
        <v/>
      </c>
    </row>
    <row r="1246">
      <c r="A1246" s="4">
        <f>IF($R1246="","",IF($R1246="T","Gesamtergebnis",IF($R1246="B",INDEX($M$4:$M$2003,$S1246),INDEX($L$4:$L$2003,$S1246))))</f>
        <v/>
      </c>
      <c r="B1246" s="4">
        <f>IF($R1246="","",IF($R1246="T",$K$3,IF($R1246="B",COUNTIFS($M$4:$M$2003,INDEX($M$4:$M$2003,$S1246),$N$4:$N$2003,1),1)))</f>
        <v/>
      </c>
      <c r="L1246">
        <f>IF($K$1="","",IFERROR(INDEX(Lines!$A:$AA,ROW()-2,$K$1),""))</f>
        <v/>
      </c>
      <c r="M1246">
        <f>IF($K$2="","",IFERROR(INDEX(Lines!$A:$AA,ROW()-2,$K$2),""))</f>
        <v/>
      </c>
      <c r="N1246">
        <f>IF(AND(L1246&lt;&gt;"",LEFT(L1246,1)="N",M1246&lt;&gt;"PICKING",M1246&lt;&gt;""),1,0)</f>
        <v/>
      </c>
      <c r="O1246">
        <f>IF(N1246=1,M1246&amp;"|"&amp;L1246,REPT("z",40))</f>
        <v/>
      </c>
      <c r="P1246">
        <f>IF(N1246=1,COUNTIF($O$4:$O$2003,"&lt;"&amp;O1246)+1,"")</f>
        <v/>
      </c>
      <c r="Q1246">
        <f>IF(OR($R1245="",$R1245="T"),"",IF($R1245="B",$Q1245,IF($Q1245+1&gt;$K$3,"",$Q1245+1)))</f>
        <v/>
      </c>
      <c r="R1246">
        <f>IF(OR($R1245="",$R1245="T"),"",IF($R1245="B","S",IF($Q1245+1&gt;$K$3,"T",IF(INDEX($M$4:$M$2003,MATCH($Q1245+1,$P$4:$P$2003,0))&lt;&gt;INDEX($M$4:$M$2003,MATCH($Q1245,$P$4:$P$2003,0)),"B","S"))))</f>
        <v/>
      </c>
      <c r="S1246">
        <f>IF(Q1246="","",IFERROR(MATCH(Q1246,$P$4:$P$2003,0),""))</f>
        <v/>
      </c>
    </row>
    <row r="1247">
      <c r="A1247" s="4">
        <f>IF($R1247="","",IF($R1247="T","Gesamtergebnis",IF($R1247="B",INDEX($M$4:$M$2003,$S1247),INDEX($L$4:$L$2003,$S1247))))</f>
        <v/>
      </c>
      <c r="B1247" s="4">
        <f>IF($R1247="","",IF($R1247="T",$K$3,IF($R1247="B",COUNTIFS($M$4:$M$2003,INDEX($M$4:$M$2003,$S1247),$N$4:$N$2003,1),1)))</f>
        <v/>
      </c>
      <c r="L1247">
        <f>IF($K$1="","",IFERROR(INDEX(Lines!$A:$AA,ROW()-2,$K$1),""))</f>
        <v/>
      </c>
      <c r="M1247">
        <f>IF($K$2="","",IFERROR(INDEX(Lines!$A:$AA,ROW()-2,$K$2),""))</f>
        <v/>
      </c>
      <c r="N1247">
        <f>IF(AND(L1247&lt;&gt;"",LEFT(L1247,1)="N",M1247&lt;&gt;"PICKING",M1247&lt;&gt;""),1,0)</f>
        <v/>
      </c>
      <c r="O1247">
        <f>IF(N1247=1,M1247&amp;"|"&amp;L1247,REPT("z",40))</f>
        <v/>
      </c>
      <c r="P1247">
        <f>IF(N1247=1,COUNTIF($O$4:$O$2003,"&lt;"&amp;O1247)+1,"")</f>
        <v/>
      </c>
      <c r="Q1247">
        <f>IF(OR($R1246="",$R1246="T"),"",IF($R1246="B",$Q1246,IF($Q1246+1&gt;$K$3,"",$Q1246+1)))</f>
        <v/>
      </c>
      <c r="R1247">
        <f>IF(OR($R1246="",$R1246="T"),"",IF($R1246="B","S",IF($Q1246+1&gt;$K$3,"T",IF(INDEX($M$4:$M$2003,MATCH($Q1246+1,$P$4:$P$2003,0))&lt;&gt;INDEX($M$4:$M$2003,MATCH($Q1246,$P$4:$P$2003,0)),"B","S"))))</f>
        <v/>
      </c>
      <c r="S1247">
        <f>IF(Q1247="","",IFERROR(MATCH(Q1247,$P$4:$P$2003,0),""))</f>
        <v/>
      </c>
    </row>
    <row r="1248">
      <c r="A1248" s="4">
        <f>IF($R1248="","",IF($R1248="T","Gesamtergebnis",IF($R1248="B",INDEX($M$4:$M$2003,$S1248),INDEX($L$4:$L$2003,$S1248))))</f>
        <v/>
      </c>
      <c r="B1248" s="4">
        <f>IF($R1248="","",IF($R1248="T",$K$3,IF($R1248="B",COUNTIFS($M$4:$M$2003,INDEX($M$4:$M$2003,$S1248),$N$4:$N$2003,1),1)))</f>
        <v/>
      </c>
      <c r="L1248">
        <f>IF($K$1="","",IFERROR(INDEX(Lines!$A:$AA,ROW()-2,$K$1),""))</f>
        <v/>
      </c>
      <c r="M1248">
        <f>IF($K$2="","",IFERROR(INDEX(Lines!$A:$AA,ROW()-2,$K$2),""))</f>
        <v/>
      </c>
      <c r="N1248">
        <f>IF(AND(L1248&lt;&gt;"",LEFT(L1248,1)="N",M1248&lt;&gt;"PICKING",M1248&lt;&gt;""),1,0)</f>
        <v/>
      </c>
      <c r="O1248">
        <f>IF(N1248=1,M1248&amp;"|"&amp;L1248,REPT("z",40))</f>
        <v/>
      </c>
      <c r="P1248">
        <f>IF(N1248=1,COUNTIF($O$4:$O$2003,"&lt;"&amp;O1248)+1,"")</f>
        <v/>
      </c>
      <c r="Q1248">
        <f>IF(OR($R1247="",$R1247="T"),"",IF($R1247="B",$Q1247,IF($Q1247+1&gt;$K$3,"",$Q1247+1)))</f>
        <v/>
      </c>
      <c r="R1248">
        <f>IF(OR($R1247="",$R1247="T"),"",IF($R1247="B","S",IF($Q1247+1&gt;$K$3,"T",IF(INDEX($M$4:$M$2003,MATCH($Q1247+1,$P$4:$P$2003,0))&lt;&gt;INDEX($M$4:$M$2003,MATCH($Q1247,$P$4:$P$2003,0)),"B","S"))))</f>
        <v/>
      </c>
      <c r="S1248">
        <f>IF(Q1248="","",IFERROR(MATCH(Q1248,$P$4:$P$2003,0),""))</f>
        <v/>
      </c>
    </row>
    <row r="1249">
      <c r="A1249" s="4">
        <f>IF($R1249="","",IF($R1249="T","Gesamtergebnis",IF($R1249="B",INDEX($M$4:$M$2003,$S1249),INDEX($L$4:$L$2003,$S1249))))</f>
        <v/>
      </c>
      <c r="B1249" s="4">
        <f>IF($R1249="","",IF($R1249="T",$K$3,IF($R1249="B",COUNTIFS($M$4:$M$2003,INDEX($M$4:$M$2003,$S1249),$N$4:$N$2003,1),1)))</f>
        <v/>
      </c>
      <c r="L1249">
        <f>IF($K$1="","",IFERROR(INDEX(Lines!$A:$AA,ROW()-2,$K$1),""))</f>
        <v/>
      </c>
      <c r="M1249">
        <f>IF($K$2="","",IFERROR(INDEX(Lines!$A:$AA,ROW()-2,$K$2),""))</f>
        <v/>
      </c>
      <c r="N1249">
        <f>IF(AND(L1249&lt;&gt;"",LEFT(L1249,1)="N",M1249&lt;&gt;"PICKING",M1249&lt;&gt;""),1,0)</f>
        <v/>
      </c>
      <c r="O1249">
        <f>IF(N1249=1,M1249&amp;"|"&amp;L1249,REPT("z",40))</f>
        <v/>
      </c>
      <c r="P1249">
        <f>IF(N1249=1,COUNTIF($O$4:$O$2003,"&lt;"&amp;O1249)+1,"")</f>
        <v/>
      </c>
      <c r="Q1249">
        <f>IF(OR($R1248="",$R1248="T"),"",IF($R1248="B",$Q1248,IF($Q1248+1&gt;$K$3,"",$Q1248+1)))</f>
        <v/>
      </c>
      <c r="R1249">
        <f>IF(OR($R1248="",$R1248="T"),"",IF($R1248="B","S",IF($Q1248+1&gt;$K$3,"T",IF(INDEX($M$4:$M$2003,MATCH($Q1248+1,$P$4:$P$2003,0))&lt;&gt;INDEX($M$4:$M$2003,MATCH($Q1248,$P$4:$P$2003,0)),"B","S"))))</f>
        <v/>
      </c>
      <c r="S1249">
        <f>IF(Q1249="","",IFERROR(MATCH(Q1249,$P$4:$P$2003,0),""))</f>
        <v/>
      </c>
    </row>
    <row r="1250">
      <c r="A1250" s="4">
        <f>IF($R1250="","",IF($R1250="T","Gesamtergebnis",IF($R1250="B",INDEX($M$4:$M$2003,$S1250),INDEX($L$4:$L$2003,$S1250))))</f>
        <v/>
      </c>
      <c r="B1250" s="4">
        <f>IF($R1250="","",IF($R1250="T",$K$3,IF($R1250="B",COUNTIFS($M$4:$M$2003,INDEX($M$4:$M$2003,$S1250),$N$4:$N$2003,1),1)))</f>
        <v/>
      </c>
      <c r="L1250">
        <f>IF($K$1="","",IFERROR(INDEX(Lines!$A:$AA,ROW()-2,$K$1),""))</f>
        <v/>
      </c>
      <c r="M1250">
        <f>IF($K$2="","",IFERROR(INDEX(Lines!$A:$AA,ROW()-2,$K$2),""))</f>
        <v/>
      </c>
      <c r="N1250">
        <f>IF(AND(L1250&lt;&gt;"",LEFT(L1250,1)="N",M1250&lt;&gt;"PICKING",M1250&lt;&gt;""),1,0)</f>
        <v/>
      </c>
      <c r="O1250">
        <f>IF(N1250=1,M1250&amp;"|"&amp;L1250,REPT("z",40))</f>
        <v/>
      </c>
      <c r="P1250">
        <f>IF(N1250=1,COUNTIF($O$4:$O$2003,"&lt;"&amp;O1250)+1,"")</f>
        <v/>
      </c>
      <c r="Q1250">
        <f>IF(OR($R1249="",$R1249="T"),"",IF($R1249="B",$Q1249,IF($Q1249+1&gt;$K$3,"",$Q1249+1)))</f>
        <v/>
      </c>
      <c r="R1250">
        <f>IF(OR($R1249="",$R1249="T"),"",IF($R1249="B","S",IF($Q1249+1&gt;$K$3,"T",IF(INDEX($M$4:$M$2003,MATCH($Q1249+1,$P$4:$P$2003,0))&lt;&gt;INDEX($M$4:$M$2003,MATCH($Q1249,$P$4:$P$2003,0)),"B","S"))))</f>
        <v/>
      </c>
      <c r="S1250">
        <f>IF(Q1250="","",IFERROR(MATCH(Q1250,$P$4:$P$2003,0),""))</f>
        <v/>
      </c>
    </row>
    <row r="1251">
      <c r="A1251" s="4">
        <f>IF($R1251="","",IF($R1251="T","Gesamtergebnis",IF($R1251="B",INDEX($M$4:$M$2003,$S1251),INDEX($L$4:$L$2003,$S1251))))</f>
        <v/>
      </c>
      <c r="B1251" s="4">
        <f>IF($R1251="","",IF($R1251="T",$K$3,IF($R1251="B",COUNTIFS($M$4:$M$2003,INDEX($M$4:$M$2003,$S1251),$N$4:$N$2003,1),1)))</f>
        <v/>
      </c>
      <c r="L1251">
        <f>IF($K$1="","",IFERROR(INDEX(Lines!$A:$AA,ROW()-2,$K$1),""))</f>
        <v/>
      </c>
      <c r="M1251">
        <f>IF($K$2="","",IFERROR(INDEX(Lines!$A:$AA,ROW()-2,$K$2),""))</f>
        <v/>
      </c>
      <c r="N1251">
        <f>IF(AND(L1251&lt;&gt;"",LEFT(L1251,1)="N",M1251&lt;&gt;"PICKING",M1251&lt;&gt;""),1,0)</f>
        <v/>
      </c>
      <c r="O1251">
        <f>IF(N1251=1,M1251&amp;"|"&amp;L1251,REPT("z",40))</f>
        <v/>
      </c>
      <c r="P1251">
        <f>IF(N1251=1,COUNTIF($O$4:$O$2003,"&lt;"&amp;O1251)+1,"")</f>
        <v/>
      </c>
      <c r="Q1251">
        <f>IF(OR($R1250="",$R1250="T"),"",IF($R1250="B",$Q1250,IF($Q1250+1&gt;$K$3,"",$Q1250+1)))</f>
        <v/>
      </c>
      <c r="R1251">
        <f>IF(OR($R1250="",$R1250="T"),"",IF($R1250="B","S",IF($Q1250+1&gt;$K$3,"T",IF(INDEX($M$4:$M$2003,MATCH($Q1250+1,$P$4:$P$2003,0))&lt;&gt;INDEX($M$4:$M$2003,MATCH($Q1250,$P$4:$P$2003,0)),"B","S"))))</f>
        <v/>
      </c>
      <c r="S1251">
        <f>IF(Q1251="","",IFERROR(MATCH(Q1251,$P$4:$P$2003,0),""))</f>
        <v/>
      </c>
    </row>
    <row r="1252">
      <c r="A1252" s="4">
        <f>IF($R1252="","",IF($R1252="T","Gesamtergebnis",IF($R1252="B",INDEX($M$4:$M$2003,$S1252),INDEX($L$4:$L$2003,$S1252))))</f>
        <v/>
      </c>
      <c r="B1252" s="4">
        <f>IF($R1252="","",IF($R1252="T",$K$3,IF($R1252="B",COUNTIFS($M$4:$M$2003,INDEX($M$4:$M$2003,$S1252),$N$4:$N$2003,1),1)))</f>
        <v/>
      </c>
      <c r="L1252">
        <f>IF($K$1="","",IFERROR(INDEX(Lines!$A:$AA,ROW()-2,$K$1),""))</f>
        <v/>
      </c>
      <c r="M1252">
        <f>IF($K$2="","",IFERROR(INDEX(Lines!$A:$AA,ROW()-2,$K$2),""))</f>
        <v/>
      </c>
      <c r="N1252">
        <f>IF(AND(L1252&lt;&gt;"",LEFT(L1252,1)="N",M1252&lt;&gt;"PICKING",M1252&lt;&gt;""),1,0)</f>
        <v/>
      </c>
      <c r="O1252">
        <f>IF(N1252=1,M1252&amp;"|"&amp;L1252,REPT("z",40))</f>
        <v/>
      </c>
      <c r="P1252">
        <f>IF(N1252=1,COUNTIF($O$4:$O$2003,"&lt;"&amp;O1252)+1,"")</f>
        <v/>
      </c>
      <c r="Q1252">
        <f>IF(OR($R1251="",$R1251="T"),"",IF($R1251="B",$Q1251,IF($Q1251+1&gt;$K$3,"",$Q1251+1)))</f>
        <v/>
      </c>
      <c r="R1252">
        <f>IF(OR($R1251="",$R1251="T"),"",IF($R1251="B","S",IF($Q1251+1&gt;$K$3,"T",IF(INDEX($M$4:$M$2003,MATCH($Q1251+1,$P$4:$P$2003,0))&lt;&gt;INDEX($M$4:$M$2003,MATCH($Q1251,$P$4:$P$2003,0)),"B","S"))))</f>
        <v/>
      </c>
      <c r="S1252">
        <f>IF(Q1252="","",IFERROR(MATCH(Q1252,$P$4:$P$2003,0),""))</f>
        <v/>
      </c>
    </row>
    <row r="1253">
      <c r="A1253" s="4">
        <f>IF($R1253="","",IF($R1253="T","Gesamtergebnis",IF($R1253="B",INDEX($M$4:$M$2003,$S1253),INDEX($L$4:$L$2003,$S1253))))</f>
        <v/>
      </c>
      <c r="B1253" s="4">
        <f>IF($R1253="","",IF($R1253="T",$K$3,IF($R1253="B",COUNTIFS($M$4:$M$2003,INDEX($M$4:$M$2003,$S1253),$N$4:$N$2003,1),1)))</f>
        <v/>
      </c>
      <c r="L1253">
        <f>IF($K$1="","",IFERROR(INDEX(Lines!$A:$AA,ROW()-2,$K$1),""))</f>
        <v/>
      </c>
      <c r="M1253">
        <f>IF($K$2="","",IFERROR(INDEX(Lines!$A:$AA,ROW()-2,$K$2),""))</f>
        <v/>
      </c>
      <c r="N1253">
        <f>IF(AND(L1253&lt;&gt;"",LEFT(L1253,1)="N",M1253&lt;&gt;"PICKING",M1253&lt;&gt;""),1,0)</f>
        <v/>
      </c>
      <c r="O1253">
        <f>IF(N1253=1,M1253&amp;"|"&amp;L1253,REPT("z",40))</f>
        <v/>
      </c>
      <c r="P1253">
        <f>IF(N1253=1,COUNTIF($O$4:$O$2003,"&lt;"&amp;O1253)+1,"")</f>
        <v/>
      </c>
      <c r="Q1253">
        <f>IF(OR($R1252="",$R1252="T"),"",IF($R1252="B",$Q1252,IF($Q1252+1&gt;$K$3,"",$Q1252+1)))</f>
        <v/>
      </c>
      <c r="R1253">
        <f>IF(OR($R1252="",$R1252="T"),"",IF($R1252="B","S",IF($Q1252+1&gt;$K$3,"T",IF(INDEX($M$4:$M$2003,MATCH($Q1252+1,$P$4:$P$2003,0))&lt;&gt;INDEX($M$4:$M$2003,MATCH($Q1252,$P$4:$P$2003,0)),"B","S"))))</f>
        <v/>
      </c>
      <c r="S1253">
        <f>IF(Q1253="","",IFERROR(MATCH(Q1253,$P$4:$P$2003,0),""))</f>
        <v/>
      </c>
    </row>
    <row r="1254">
      <c r="A1254" s="4">
        <f>IF($R1254="","",IF($R1254="T","Gesamtergebnis",IF($R1254="B",INDEX($M$4:$M$2003,$S1254),INDEX($L$4:$L$2003,$S1254))))</f>
        <v/>
      </c>
      <c r="B1254" s="4">
        <f>IF($R1254="","",IF($R1254="T",$K$3,IF($R1254="B",COUNTIFS($M$4:$M$2003,INDEX($M$4:$M$2003,$S1254),$N$4:$N$2003,1),1)))</f>
        <v/>
      </c>
      <c r="L1254">
        <f>IF($K$1="","",IFERROR(INDEX(Lines!$A:$AA,ROW()-2,$K$1),""))</f>
        <v/>
      </c>
      <c r="M1254">
        <f>IF($K$2="","",IFERROR(INDEX(Lines!$A:$AA,ROW()-2,$K$2),""))</f>
        <v/>
      </c>
      <c r="N1254">
        <f>IF(AND(L1254&lt;&gt;"",LEFT(L1254,1)="N",M1254&lt;&gt;"PICKING",M1254&lt;&gt;""),1,0)</f>
        <v/>
      </c>
      <c r="O1254">
        <f>IF(N1254=1,M1254&amp;"|"&amp;L1254,REPT("z",40))</f>
        <v/>
      </c>
      <c r="P1254">
        <f>IF(N1254=1,COUNTIF($O$4:$O$2003,"&lt;"&amp;O1254)+1,"")</f>
        <v/>
      </c>
      <c r="Q1254">
        <f>IF(OR($R1253="",$R1253="T"),"",IF($R1253="B",$Q1253,IF($Q1253+1&gt;$K$3,"",$Q1253+1)))</f>
        <v/>
      </c>
      <c r="R1254">
        <f>IF(OR($R1253="",$R1253="T"),"",IF($R1253="B","S",IF($Q1253+1&gt;$K$3,"T",IF(INDEX($M$4:$M$2003,MATCH($Q1253+1,$P$4:$P$2003,0))&lt;&gt;INDEX($M$4:$M$2003,MATCH($Q1253,$P$4:$P$2003,0)),"B","S"))))</f>
        <v/>
      </c>
      <c r="S1254">
        <f>IF(Q1254="","",IFERROR(MATCH(Q1254,$P$4:$P$2003,0),""))</f>
        <v/>
      </c>
    </row>
    <row r="1255">
      <c r="A1255" s="4">
        <f>IF($R1255="","",IF($R1255="T","Gesamtergebnis",IF($R1255="B",INDEX($M$4:$M$2003,$S1255),INDEX($L$4:$L$2003,$S1255))))</f>
        <v/>
      </c>
      <c r="B1255" s="4">
        <f>IF($R1255="","",IF($R1255="T",$K$3,IF($R1255="B",COUNTIFS($M$4:$M$2003,INDEX($M$4:$M$2003,$S1255),$N$4:$N$2003,1),1)))</f>
        <v/>
      </c>
      <c r="L1255">
        <f>IF($K$1="","",IFERROR(INDEX(Lines!$A:$AA,ROW()-2,$K$1),""))</f>
        <v/>
      </c>
      <c r="M1255">
        <f>IF($K$2="","",IFERROR(INDEX(Lines!$A:$AA,ROW()-2,$K$2),""))</f>
        <v/>
      </c>
      <c r="N1255">
        <f>IF(AND(L1255&lt;&gt;"",LEFT(L1255,1)="N",M1255&lt;&gt;"PICKING",M1255&lt;&gt;""),1,0)</f>
        <v/>
      </c>
      <c r="O1255">
        <f>IF(N1255=1,M1255&amp;"|"&amp;L1255,REPT("z",40))</f>
        <v/>
      </c>
      <c r="P1255">
        <f>IF(N1255=1,COUNTIF($O$4:$O$2003,"&lt;"&amp;O1255)+1,"")</f>
        <v/>
      </c>
      <c r="Q1255">
        <f>IF(OR($R1254="",$R1254="T"),"",IF($R1254="B",$Q1254,IF($Q1254+1&gt;$K$3,"",$Q1254+1)))</f>
        <v/>
      </c>
      <c r="R1255">
        <f>IF(OR($R1254="",$R1254="T"),"",IF($R1254="B","S",IF($Q1254+1&gt;$K$3,"T",IF(INDEX($M$4:$M$2003,MATCH($Q1254+1,$P$4:$P$2003,0))&lt;&gt;INDEX($M$4:$M$2003,MATCH($Q1254,$P$4:$P$2003,0)),"B","S"))))</f>
        <v/>
      </c>
      <c r="S1255">
        <f>IF(Q1255="","",IFERROR(MATCH(Q1255,$P$4:$P$2003,0),""))</f>
        <v/>
      </c>
    </row>
    <row r="1256">
      <c r="A1256" s="4">
        <f>IF($R1256="","",IF($R1256="T","Gesamtergebnis",IF($R1256="B",INDEX($M$4:$M$2003,$S1256),INDEX($L$4:$L$2003,$S1256))))</f>
        <v/>
      </c>
      <c r="B1256" s="4">
        <f>IF($R1256="","",IF($R1256="T",$K$3,IF($R1256="B",COUNTIFS($M$4:$M$2003,INDEX($M$4:$M$2003,$S1256),$N$4:$N$2003,1),1)))</f>
        <v/>
      </c>
      <c r="L1256">
        <f>IF($K$1="","",IFERROR(INDEX(Lines!$A:$AA,ROW()-2,$K$1),""))</f>
        <v/>
      </c>
      <c r="M1256">
        <f>IF($K$2="","",IFERROR(INDEX(Lines!$A:$AA,ROW()-2,$K$2),""))</f>
        <v/>
      </c>
      <c r="N1256">
        <f>IF(AND(L1256&lt;&gt;"",LEFT(L1256,1)="N",M1256&lt;&gt;"PICKING",M1256&lt;&gt;""),1,0)</f>
        <v/>
      </c>
      <c r="O1256">
        <f>IF(N1256=1,M1256&amp;"|"&amp;L1256,REPT("z",40))</f>
        <v/>
      </c>
      <c r="P1256">
        <f>IF(N1256=1,COUNTIF($O$4:$O$2003,"&lt;"&amp;O1256)+1,"")</f>
        <v/>
      </c>
      <c r="Q1256">
        <f>IF(OR($R1255="",$R1255="T"),"",IF($R1255="B",$Q1255,IF($Q1255+1&gt;$K$3,"",$Q1255+1)))</f>
        <v/>
      </c>
      <c r="R1256">
        <f>IF(OR($R1255="",$R1255="T"),"",IF($R1255="B","S",IF($Q1255+1&gt;$K$3,"T",IF(INDEX($M$4:$M$2003,MATCH($Q1255+1,$P$4:$P$2003,0))&lt;&gt;INDEX($M$4:$M$2003,MATCH($Q1255,$P$4:$P$2003,0)),"B","S"))))</f>
        <v/>
      </c>
      <c r="S1256">
        <f>IF(Q1256="","",IFERROR(MATCH(Q1256,$P$4:$P$2003,0),""))</f>
        <v/>
      </c>
    </row>
    <row r="1257">
      <c r="A1257" s="4">
        <f>IF($R1257="","",IF($R1257="T","Gesamtergebnis",IF($R1257="B",INDEX($M$4:$M$2003,$S1257),INDEX($L$4:$L$2003,$S1257))))</f>
        <v/>
      </c>
      <c r="B1257" s="4">
        <f>IF($R1257="","",IF($R1257="T",$K$3,IF($R1257="B",COUNTIFS($M$4:$M$2003,INDEX($M$4:$M$2003,$S1257),$N$4:$N$2003,1),1)))</f>
        <v/>
      </c>
      <c r="L1257">
        <f>IF($K$1="","",IFERROR(INDEX(Lines!$A:$AA,ROW()-2,$K$1),""))</f>
        <v/>
      </c>
      <c r="M1257">
        <f>IF($K$2="","",IFERROR(INDEX(Lines!$A:$AA,ROW()-2,$K$2),""))</f>
        <v/>
      </c>
      <c r="N1257">
        <f>IF(AND(L1257&lt;&gt;"",LEFT(L1257,1)="N",M1257&lt;&gt;"PICKING",M1257&lt;&gt;""),1,0)</f>
        <v/>
      </c>
      <c r="O1257">
        <f>IF(N1257=1,M1257&amp;"|"&amp;L1257,REPT("z",40))</f>
        <v/>
      </c>
      <c r="P1257">
        <f>IF(N1257=1,COUNTIF($O$4:$O$2003,"&lt;"&amp;O1257)+1,"")</f>
        <v/>
      </c>
      <c r="Q1257">
        <f>IF(OR($R1256="",$R1256="T"),"",IF($R1256="B",$Q1256,IF($Q1256+1&gt;$K$3,"",$Q1256+1)))</f>
        <v/>
      </c>
      <c r="R1257">
        <f>IF(OR($R1256="",$R1256="T"),"",IF($R1256="B","S",IF($Q1256+1&gt;$K$3,"T",IF(INDEX($M$4:$M$2003,MATCH($Q1256+1,$P$4:$P$2003,0))&lt;&gt;INDEX($M$4:$M$2003,MATCH($Q1256,$P$4:$P$2003,0)),"B","S"))))</f>
        <v/>
      </c>
      <c r="S1257">
        <f>IF(Q1257="","",IFERROR(MATCH(Q1257,$P$4:$P$2003,0),""))</f>
        <v/>
      </c>
    </row>
    <row r="1258">
      <c r="A1258" s="4">
        <f>IF($R1258="","",IF($R1258="T","Gesamtergebnis",IF($R1258="B",INDEX($M$4:$M$2003,$S1258),INDEX($L$4:$L$2003,$S1258))))</f>
        <v/>
      </c>
      <c r="B1258" s="4">
        <f>IF($R1258="","",IF($R1258="T",$K$3,IF($R1258="B",COUNTIFS($M$4:$M$2003,INDEX($M$4:$M$2003,$S1258),$N$4:$N$2003,1),1)))</f>
        <v/>
      </c>
      <c r="L1258">
        <f>IF($K$1="","",IFERROR(INDEX(Lines!$A:$AA,ROW()-2,$K$1),""))</f>
        <v/>
      </c>
      <c r="M1258">
        <f>IF($K$2="","",IFERROR(INDEX(Lines!$A:$AA,ROW()-2,$K$2),""))</f>
        <v/>
      </c>
      <c r="N1258">
        <f>IF(AND(L1258&lt;&gt;"",LEFT(L1258,1)="N",M1258&lt;&gt;"PICKING",M1258&lt;&gt;""),1,0)</f>
        <v/>
      </c>
      <c r="O1258">
        <f>IF(N1258=1,M1258&amp;"|"&amp;L1258,REPT("z",40))</f>
        <v/>
      </c>
      <c r="P1258">
        <f>IF(N1258=1,COUNTIF($O$4:$O$2003,"&lt;"&amp;O1258)+1,"")</f>
        <v/>
      </c>
      <c r="Q1258">
        <f>IF(OR($R1257="",$R1257="T"),"",IF($R1257="B",$Q1257,IF($Q1257+1&gt;$K$3,"",$Q1257+1)))</f>
        <v/>
      </c>
      <c r="R1258">
        <f>IF(OR($R1257="",$R1257="T"),"",IF($R1257="B","S",IF($Q1257+1&gt;$K$3,"T",IF(INDEX($M$4:$M$2003,MATCH($Q1257+1,$P$4:$P$2003,0))&lt;&gt;INDEX($M$4:$M$2003,MATCH($Q1257,$P$4:$P$2003,0)),"B","S"))))</f>
        <v/>
      </c>
      <c r="S1258">
        <f>IF(Q1258="","",IFERROR(MATCH(Q1258,$P$4:$P$2003,0),""))</f>
        <v/>
      </c>
    </row>
    <row r="1259">
      <c r="A1259" s="4">
        <f>IF($R1259="","",IF($R1259="T","Gesamtergebnis",IF($R1259="B",INDEX($M$4:$M$2003,$S1259),INDEX($L$4:$L$2003,$S1259))))</f>
        <v/>
      </c>
      <c r="B1259" s="4">
        <f>IF($R1259="","",IF($R1259="T",$K$3,IF($R1259="B",COUNTIFS($M$4:$M$2003,INDEX($M$4:$M$2003,$S1259),$N$4:$N$2003,1),1)))</f>
        <v/>
      </c>
      <c r="L1259">
        <f>IF($K$1="","",IFERROR(INDEX(Lines!$A:$AA,ROW()-2,$K$1),""))</f>
        <v/>
      </c>
      <c r="M1259">
        <f>IF($K$2="","",IFERROR(INDEX(Lines!$A:$AA,ROW()-2,$K$2),""))</f>
        <v/>
      </c>
      <c r="N1259">
        <f>IF(AND(L1259&lt;&gt;"",LEFT(L1259,1)="N",M1259&lt;&gt;"PICKING",M1259&lt;&gt;""),1,0)</f>
        <v/>
      </c>
      <c r="O1259">
        <f>IF(N1259=1,M1259&amp;"|"&amp;L1259,REPT("z",40))</f>
        <v/>
      </c>
      <c r="P1259">
        <f>IF(N1259=1,COUNTIF($O$4:$O$2003,"&lt;"&amp;O1259)+1,"")</f>
        <v/>
      </c>
      <c r="Q1259">
        <f>IF(OR($R1258="",$R1258="T"),"",IF($R1258="B",$Q1258,IF($Q1258+1&gt;$K$3,"",$Q1258+1)))</f>
        <v/>
      </c>
      <c r="R1259">
        <f>IF(OR($R1258="",$R1258="T"),"",IF($R1258="B","S",IF($Q1258+1&gt;$K$3,"T",IF(INDEX($M$4:$M$2003,MATCH($Q1258+1,$P$4:$P$2003,0))&lt;&gt;INDEX($M$4:$M$2003,MATCH($Q1258,$P$4:$P$2003,0)),"B","S"))))</f>
        <v/>
      </c>
      <c r="S1259">
        <f>IF(Q1259="","",IFERROR(MATCH(Q1259,$P$4:$P$2003,0),""))</f>
        <v/>
      </c>
    </row>
    <row r="1260">
      <c r="A1260" s="4">
        <f>IF($R1260="","",IF($R1260="T","Gesamtergebnis",IF($R1260="B",INDEX($M$4:$M$2003,$S1260),INDEX($L$4:$L$2003,$S1260))))</f>
        <v/>
      </c>
      <c r="B1260" s="4">
        <f>IF($R1260="","",IF($R1260="T",$K$3,IF($R1260="B",COUNTIFS($M$4:$M$2003,INDEX($M$4:$M$2003,$S1260),$N$4:$N$2003,1),1)))</f>
        <v/>
      </c>
      <c r="L1260">
        <f>IF($K$1="","",IFERROR(INDEX(Lines!$A:$AA,ROW()-2,$K$1),""))</f>
        <v/>
      </c>
      <c r="M1260">
        <f>IF($K$2="","",IFERROR(INDEX(Lines!$A:$AA,ROW()-2,$K$2),""))</f>
        <v/>
      </c>
      <c r="N1260">
        <f>IF(AND(L1260&lt;&gt;"",LEFT(L1260,1)="N",M1260&lt;&gt;"PICKING",M1260&lt;&gt;""),1,0)</f>
        <v/>
      </c>
      <c r="O1260">
        <f>IF(N1260=1,M1260&amp;"|"&amp;L1260,REPT("z",40))</f>
        <v/>
      </c>
      <c r="P1260">
        <f>IF(N1260=1,COUNTIF($O$4:$O$2003,"&lt;"&amp;O1260)+1,"")</f>
        <v/>
      </c>
      <c r="Q1260">
        <f>IF(OR($R1259="",$R1259="T"),"",IF($R1259="B",$Q1259,IF($Q1259+1&gt;$K$3,"",$Q1259+1)))</f>
        <v/>
      </c>
      <c r="R1260">
        <f>IF(OR($R1259="",$R1259="T"),"",IF($R1259="B","S",IF($Q1259+1&gt;$K$3,"T",IF(INDEX($M$4:$M$2003,MATCH($Q1259+1,$P$4:$P$2003,0))&lt;&gt;INDEX($M$4:$M$2003,MATCH($Q1259,$P$4:$P$2003,0)),"B","S"))))</f>
        <v/>
      </c>
      <c r="S1260">
        <f>IF(Q1260="","",IFERROR(MATCH(Q1260,$P$4:$P$2003,0),""))</f>
        <v/>
      </c>
    </row>
    <row r="1261">
      <c r="A1261" s="4">
        <f>IF($R1261="","",IF($R1261="T","Gesamtergebnis",IF($R1261="B",INDEX($M$4:$M$2003,$S1261),INDEX($L$4:$L$2003,$S1261))))</f>
        <v/>
      </c>
      <c r="B1261" s="4">
        <f>IF($R1261="","",IF($R1261="T",$K$3,IF($R1261="B",COUNTIFS($M$4:$M$2003,INDEX($M$4:$M$2003,$S1261),$N$4:$N$2003,1),1)))</f>
        <v/>
      </c>
      <c r="L1261">
        <f>IF($K$1="","",IFERROR(INDEX(Lines!$A:$AA,ROW()-2,$K$1),""))</f>
        <v/>
      </c>
      <c r="M1261">
        <f>IF($K$2="","",IFERROR(INDEX(Lines!$A:$AA,ROW()-2,$K$2),""))</f>
        <v/>
      </c>
      <c r="N1261">
        <f>IF(AND(L1261&lt;&gt;"",LEFT(L1261,1)="N",M1261&lt;&gt;"PICKING",M1261&lt;&gt;""),1,0)</f>
        <v/>
      </c>
      <c r="O1261">
        <f>IF(N1261=1,M1261&amp;"|"&amp;L1261,REPT("z",40))</f>
        <v/>
      </c>
      <c r="P1261">
        <f>IF(N1261=1,COUNTIF($O$4:$O$2003,"&lt;"&amp;O1261)+1,"")</f>
        <v/>
      </c>
      <c r="Q1261">
        <f>IF(OR($R1260="",$R1260="T"),"",IF($R1260="B",$Q1260,IF($Q1260+1&gt;$K$3,"",$Q1260+1)))</f>
        <v/>
      </c>
      <c r="R1261">
        <f>IF(OR($R1260="",$R1260="T"),"",IF($R1260="B","S",IF($Q1260+1&gt;$K$3,"T",IF(INDEX($M$4:$M$2003,MATCH($Q1260+1,$P$4:$P$2003,0))&lt;&gt;INDEX($M$4:$M$2003,MATCH($Q1260,$P$4:$P$2003,0)),"B","S"))))</f>
        <v/>
      </c>
      <c r="S1261">
        <f>IF(Q1261="","",IFERROR(MATCH(Q1261,$P$4:$P$2003,0),""))</f>
        <v/>
      </c>
    </row>
    <row r="1262">
      <c r="A1262" s="4">
        <f>IF($R1262="","",IF($R1262="T","Gesamtergebnis",IF($R1262="B",INDEX($M$4:$M$2003,$S1262),INDEX($L$4:$L$2003,$S1262))))</f>
        <v/>
      </c>
      <c r="B1262" s="4">
        <f>IF($R1262="","",IF($R1262="T",$K$3,IF($R1262="B",COUNTIFS($M$4:$M$2003,INDEX($M$4:$M$2003,$S1262),$N$4:$N$2003,1),1)))</f>
        <v/>
      </c>
      <c r="L1262">
        <f>IF($K$1="","",IFERROR(INDEX(Lines!$A:$AA,ROW()-2,$K$1),""))</f>
        <v/>
      </c>
      <c r="M1262">
        <f>IF($K$2="","",IFERROR(INDEX(Lines!$A:$AA,ROW()-2,$K$2),""))</f>
        <v/>
      </c>
      <c r="N1262">
        <f>IF(AND(L1262&lt;&gt;"",LEFT(L1262,1)="N",M1262&lt;&gt;"PICKING",M1262&lt;&gt;""),1,0)</f>
        <v/>
      </c>
      <c r="O1262">
        <f>IF(N1262=1,M1262&amp;"|"&amp;L1262,REPT("z",40))</f>
        <v/>
      </c>
      <c r="P1262">
        <f>IF(N1262=1,COUNTIF($O$4:$O$2003,"&lt;"&amp;O1262)+1,"")</f>
        <v/>
      </c>
      <c r="Q1262">
        <f>IF(OR($R1261="",$R1261="T"),"",IF($R1261="B",$Q1261,IF($Q1261+1&gt;$K$3,"",$Q1261+1)))</f>
        <v/>
      </c>
      <c r="R1262">
        <f>IF(OR($R1261="",$R1261="T"),"",IF($R1261="B","S",IF($Q1261+1&gt;$K$3,"T",IF(INDEX($M$4:$M$2003,MATCH($Q1261+1,$P$4:$P$2003,0))&lt;&gt;INDEX($M$4:$M$2003,MATCH($Q1261,$P$4:$P$2003,0)),"B","S"))))</f>
        <v/>
      </c>
      <c r="S1262">
        <f>IF(Q1262="","",IFERROR(MATCH(Q1262,$P$4:$P$2003,0),""))</f>
        <v/>
      </c>
    </row>
    <row r="1263">
      <c r="A1263" s="4">
        <f>IF($R1263="","",IF($R1263="T","Gesamtergebnis",IF($R1263="B",INDEX($M$4:$M$2003,$S1263),INDEX($L$4:$L$2003,$S1263))))</f>
        <v/>
      </c>
      <c r="B1263" s="4">
        <f>IF($R1263="","",IF($R1263="T",$K$3,IF($R1263="B",COUNTIFS($M$4:$M$2003,INDEX($M$4:$M$2003,$S1263),$N$4:$N$2003,1),1)))</f>
        <v/>
      </c>
      <c r="L1263">
        <f>IF($K$1="","",IFERROR(INDEX(Lines!$A:$AA,ROW()-2,$K$1),""))</f>
        <v/>
      </c>
      <c r="M1263">
        <f>IF($K$2="","",IFERROR(INDEX(Lines!$A:$AA,ROW()-2,$K$2),""))</f>
        <v/>
      </c>
      <c r="N1263">
        <f>IF(AND(L1263&lt;&gt;"",LEFT(L1263,1)="N",M1263&lt;&gt;"PICKING",M1263&lt;&gt;""),1,0)</f>
        <v/>
      </c>
      <c r="O1263">
        <f>IF(N1263=1,M1263&amp;"|"&amp;L1263,REPT("z",40))</f>
        <v/>
      </c>
      <c r="P1263">
        <f>IF(N1263=1,COUNTIF($O$4:$O$2003,"&lt;"&amp;O1263)+1,"")</f>
        <v/>
      </c>
      <c r="Q1263">
        <f>IF(OR($R1262="",$R1262="T"),"",IF($R1262="B",$Q1262,IF($Q1262+1&gt;$K$3,"",$Q1262+1)))</f>
        <v/>
      </c>
      <c r="R1263">
        <f>IF(OR($R1262="",$R1262="T"),"",IF($R1262="B","S",IF($Q1262+1&gt;$K$3,"T",IF(INDEX($M$4:$M$2003,MATCH($Q1262+1,$P$4:$P$2003,0))&lt;&gt;INDEX($M$4:$M$2003,MATCH($Q1262,$P$4:$P$2003,0)),"B","S"))))</f>
        <v/>
      </c>
      <c r="S1263">
        <f>IF(Q1263="","",IFERROR(MATCH(Q1263,$P$4:$P$2003,0),""))</f>
        <v/>
      </c>
    </row>
    <row r="1264">
      <c r="A1264" s="4">
        <f>IF($R1264="","",IF($R1264="T","Gesamtergebnis",IF($R1264="B",INDEX($M$4:$M$2003,$S1264),INDEX($L$4:$L$2003,$S1264))))</f>
        <v/>
      </c>
      <c r="B1264" s="4">
        <f>IF($R1264="","",IF($R1264="T",$K$3,IF($R1264="B",COUNTIFS($M$4:$M$2003,INDEX($M$4:$M$2003,$S1264),$N$4:$N$2003,1),1)))</f>
        <v/>
      </c>
      <c r="L1264">
        <f>IF($K$1="","",IFERROR(INDEX(Lines!$A:$AA,ROW()-2,$K$1),""))</f>
        <v/>
      </c>
      <c r="M1264">
        <f>IF($K$2="","",IFERROR(INDEX(Lines!$A:$AA,ROW()-2,$K$2),""))</f>
        <v/>
      </c>
      <c r="N1264">
        <f>IF(AND(L1264&lt;&gt;"",LEFT(L1264,1)="N",M1264&lt;&gt;"PICKING",M1264&lt;&gt;""),1,0)</f>
        <v/>
      </c>
      <c r="O1264">
        <f>IF(N1264=1,M1264&amp;"|"&amp;L1264,REPT("z",40))</f>
        <v/>
      </c>
      <c r="P1264">
        <f>IF(N1264=1,COUNTIF($O$4:$O$2003,"&lt;"&amp;O1264)+1,"")</f>
        <v/>
      </c>
      <c r="Q1264">
        <f>IF(OR($R1263="",$R1263="T"),"",IF($R1263="B",$Q1263,IF($Q1263+1&gt;$K$3,"",$Q1263+1)))</f>
        <v/>
      </c>
      <c r="R1264">
        <f>IF(OR($R1263="",$R1263="T"),"",IF($R1263="B","S",IF($Q1263+1&gt;$K$3,"T",IF(INDEX($M$4:$M$2003,MATCH($Q1263+1,$P$4:$P$2003,0))&lt;&gt;INDEX($M$4:$M$2003,MATCH($Q1263,$P$4:$P$2003,0)),"B","S"))))</f>
        <v/>
      </c>
      <c r="S1264">
        <f>IF(Q1264="","",IFERROR(MATCH(Q1264,$P$4:$P$2003,0),""))</f>
        <v/>
      </c>
    </row>
    <row r="1265">
      <c r="A1265" s="4">
        <f>IF($R1265="","",IF($R1265="T","Gesamtergebnis",IF($R1265="B",INDEX($M$4:$M$2003,$S1265),INDEX($L$4:$L$2003,$S1265))))</f>
        <v/>
      </c>
      <c r="B1265" s="4">
        <f>IF($R1265="","",IF($R1265="T",$K$3,IF($R1265="B",COUNTIFS($M$4:$M$2003,INDEX($M$4:$M$2003,$S1265),$N$4:$N$2003,1),1)))</f>
        <v/>
      </c>
      <c r="L1265">
        <f>IF($K$1="","",IFERROR(INDEX(Lines!$A:$AA,ROW()-2,$K$1),""))</f>
        <v/>
      </c>
      <c r="M1265">
        <f>IF($K$2="","",IFERROR(INDEX(Lines!$A:$AA,ROW()-2,$K$2),""))</f>
        <v/>
      </c>
      <c r="N1265">
        <f>IF(AND(L1265&lt;&gt;"",LEFT(L1265,1)="N",M1265&lt;&gt;"PICKING",M1265&lt;&gt;""),1,0)</f>
        <v/>
      </c>
      <c r="O1265">
        <f>IF(N1265=1,M1265&amp;"|"&amp;L1265,REPT("z",40))</f>
        <v/>
      </c>
      <c r="P1265">
        <f>IF(N1265=1,COUNTIF($O$4:$O$2003,"&lt;"&amp;O1265)+1,"")</f>
        <v/>
      </c>
      <c r="Q1265">
        <f>IF(OR($R1264="",$R1264="T"),"",IF($R1264="B",$Q1264,IF($Q1264+1&gt;$K$3,"",$Q1264+1)))</f>
        <v/>
      </c>
      <c r="R1265">
        <f>IF(OR($R1264="",$R1264="T"),"",IF($R1264="B","S",IF($Q1264+1&gt;$K$3,"T",IF(INDEX($M$4:$M$2003,MATCH($Q1264+1,$P$4:$P$2003,0))&lt;&gt;INDEX($M$4:$M$2003,MATCH($Q1264,$P$4:$P$2003,0)),"B","S"))))</f>
        <v/>
      </c>
      <c r="S1265">
        <f>IF(Q1265="","",IFERROR(MATCH(Q1265,$P$4:$P$2003,0),""))</f>
        <v/>
      </c>
    </row>
    <row r="1266">
      <c r="A1266" s="4">
        <f>IF($R1266="","",IF($R1266="T","Gesamtergebnis",IF($R1266="B",INDEX($M$4:$M$2003,$S1266),INDEX($L$4:$L$2003,$S1266))))</f>
        <v/>
      </c>
      <c r="B1266" s="4">
        <f>IF($R1266="","",IF($R1266="T",$K$3,IF($R1266="B",COUNTIFS($M$4:$M$2003,INDEX($M$4:$M$2003,$S1266),$N$4:$N$2003,1),1)))</f>
        <v/>
      </c>
      <c r="L1266">
        <f>IF($K$1="","",IFERROR(INDEX(Lines!$A:$AA,ROW()-2,$K$1),""))</f>
        <v/>
      </c>
      <c r="M1266">
        <f>IF($K$2="","",IFERROR(INDEX(Lines!$A:$AA,ROW()-2,$K$2),""))</f>
        <v/>
      </c>
      <c r="N1266">
        <f>IF(AND(L1266&lt;&gt;"",LEFT(L1266,1)="N",M1266&lt;&gt;"PICKING",M1266&lt;&gt;""),1,0)</f>
        <v/>
      </c>
      <c r="O1266">
        <f>IF(N1266=1,M1266&amp;"|"&amp;L1266,REPT("z",40))</f>
        <v/>
      </c>
      <c r="P1266">
        <f>IF(N1266=1,COUNTIF($O$4:$O$2003,"&lt;"&amp;O1266)+1,"")</f>
        <v/>
      </c>
      <c r="Q1266">
        <f>IF(OR($R1265="",$R1265="T"),"",IF($R1265="B",$Q1265,IF($Q1265+1&gt;$K$3,"",$Q1265+1)))</f>
        <v/>
      </c>
      <c r="R1266">
        <f>IF(OR($R1265="",$R1265="T"),"",IF($R1265="B","S",IF($Q1265+1&gt;$K$3,"T",IF(INDEX($M$4:$M$2003,MATCH($Q1265+1,$P$4:$P$2003,0))&lt;&gt;INDEX($M$4:$M$2003,MATCH($Q1265,$P$4:$P$2003,0)),"B","S"))))</f>
        <v/>
      </c>
      <c r="S1266">
        <f>IF(Q1266="","",IFERROR(MATCH(Q1266,$P$4:$P$2003,0),""))</f>
        <v/>
      </c>
    </row>
    <row r="1267">
      <c r="A1267" s="4">
        <f>IF($R1267="","",IF($R1267="T","Gesamtergebnis",IF($R1267="B",INDEX($M$4:$M$2003,$S1267),INDEX($L$4:$L$2003,$S1267))))</f>
        <v/>
      </c>
      <c r="B1267" s="4">
        <f>IF($R1267="","",IF($R1267="T",$K$3,IF($R1267="B",COUNTIFS($M$4:$M$2003,INDEX($M$4:$M$2003,$S1267),$N$4:$N$2003,1),1)))</f>
        <v/>
      </c>
      <c r="L1267">
        <f>IF($K$1="","",IFERROR(INDEX(Lines!$A:$AA,ROW()-2,$K$1),""))</f>
        <v/>
      </c>
      <c r="M1267">
        <f>IF($K$2="","",IFERROR(INDEX(Lines!$A:$AA,ROW()-2,$K$2),""))</f>
        <v/>
      </c>
      <c r="N1267">
        <f>IF(AND(L1267&lt;&gt;"",LEFT(L1267,1)="N",M1267&lt;&gt;"PICKING",M1267&lt;&gt;""),1,0)</f>
        <v/>
      </c>
      <c r="O1267">
        <f>IF(N1267=1,M1267&amp;"|"&amp;L1267,REPT("z",40))</f>
        <v/>
      </c>
      <c r="P1267">
        <f>IF(N1267=1,COUNTIF($O$4:$O$2003,"&lt;"&amp;O1267)+1,"")</f>
        <v/>
      </c>
      <c r="Q1267">
        <f>IF(OR($R1266="",$R1266="T"),"",IF($R1266="B",$Q1266,IF($Q1266+1&gt;$K$3,"",$Q1266+1)))</f>
        <v/>
      </c>
      <c r="R1267">
        <f>IF(OR($R1266="",$R1266="T"),"",IF($R1266="B","S",IF($Q1266+1&gt;$K$3,"T",IF(INDEX($M$4:$M$2003,MATCH($Q1266+1,$P$4:$P$2003,0))&lt;&gt;INDEX($M$4:$M$2003,MATCH($Q1266,$P$4:$P$2003,0)),"B","S"))))</f>
        <v/>
      </c>
      <c r="S1267">
        <f>IF(Q1267="","",IFERROR(MATCH(Q1267,$P$4:$P$2003,0),""))</f>
        <v/>
      </c>
    </row>
    <row r="1268">
      <c r="A1268" s="4">
        <f>IF($R1268="","",IF($R1268="T","Gesamtergebnis",IF($R1268="B",INDEX($M$4:$M$2003,$S1268),INDEX($L$4:$L$2003,$S1268))))</f>
        <v/>
      </c>
      <c r="B1268" s="4">
        <f>IF($R1268="","",IF($R1268="T",$K$3,IF($R1268="B",COUNTIFS($M$4:$M$2003,INDEX($M$4:$M$2003,$S1268),$N$4:$N$2003,1),1)))</f>
        <v/>
      </c>
      <c r="L1268">
        <f>IF($K$1="","",IFERROR(INDEX(Lines!$A:$AA,ROW()-2,$K$1),""))</f>
        <v/>
      </c>
      <c r="M1268">
        <f>IF($K$2="","",IFERROR(INDEX(Lines!$A:$AA,ROW()-2,$K$2),""))</f>
        <v/>
      </c>
      <c r="N1268">
        <f>IF(AND(L1268&lt;&gt;"",LEFT(L1268,1)="N",M1268&lt;&gt;"PICKING",M1268&lt;&gt;""),1,0)</f>
        <v/>
      </c>
      <c r="O1268">
        <f>IF(N1268=1,M1268&amp;"|"&amp;L1268,REPT("z",40))</f>
        <v/>
      </c>
      <c r="P1268">
        <f>IF(N1268=1,COUNTIF($O$4:$O$2003,"&lt;"&amp;O1268)+1,"")</f>
        <v/>
      </c>
      <c r="Q1268">
        <f>IF(OR($R1267="",$R1267="T"),"",IF($R1267="B",$Q1267,IF($Q1267+1&gt;$K$3,"",$Q1267+1)))</f>
        <v/>
      </c>
      <c r="R1268">
        <f>IF(OR($R1267="",$R1267="T"),"",IF($R1267="B","S",IF($Q1267+1&gt;$K$3,"T",IF(INDEX($M$4:$M$2003,MATCH($Q1267+1,$P$4:$P$2003,0))&lt;&gt;INDEX($M$4:$M$2003,MATCH($Q1267,$P$4:$P$2003,0)),"B","S"))))</f>
        <v/>
      </c>
      <c r="S1268">
        <f>IF(Q1268="","",IFERROR(MATCH(Q1268,$P$4:$P$2003,0),""))</f>
        <v/>
      </c>
    </row>
    <row r="1269">
      <c r="A1269" s="4">
        <f>IF($R1269="","",IF($R1269="T","Gesamtergebnis",IF($R1269="B",INDEX($M$4:$M$2003,$S1269),INDEX($L$4:$L$2003,$S1269))))</f>
        <v/>
      </c>
      <c r="B1269" s="4">
        <f>IF($R1269="","",IF($R1269="T",$K$3,IF($R1269="B",COUNTIFS($M$4:$M$2003,INDEX($M$4:$M$2003,$S1269),$N$4:$N$2003,1),1)))</f>
        <v/>
      </c>
      <c r="L1269">
        <f>IF($K$1="","",IFERROR(INDEX(Lines!$A:$AA,ROW()-2,$K$1),""))</f>
        <v/>
      </c>
      <c r="M1269">
        <f>IF($K$2="","",IFERROR(INDEX(Lines!$A:$AA,ROW()-2,$K$2),""))</f>
        <v/>
      </c>
      <c r="N1269">
        <f>IF(AND(L1269&lt;&gt;"",LEFT(L1269,1)="N",M1269&lt;&gt;"PICKING",M1269&lt;&gt;""),1,0)</f>
        <v/>
      </c>
      <c r="O1269">
        <f>IF(N1269=1,M1269&amp;"|"&amp;L1269,REPT("z",40))</f>
        <v/>
      </c>
      <c r="P1269">
        <f>IF(N1269=1,COUNTIF($O$4:$O$2003,"&lt;"&amp;O1269)+1,"")</f>
        <v/>
      </c>
      <c r="Q1269">
        <f>IF(OR($R1268="",$R1268="T"),"",IF($R1268="B",$Q1268,IF($Q1268+1&gt;$K$3,"",$Q1268+1)))</f>
        <v/>
      </c>
      <c r="R1269">
        <f>IF(OR($R1268="",$R1268="T"),"",IF($R1268="B","S",IF($Q1268+1&gt;$K$3,"T",IF(INDEX($M$4:$M$2003,MATCH($Q1268+1,$P$4:$P$2003,0))&lt;&gt;INDEX($M$4:$M$2003,MATCH($Q1268,$P$4:$P$2003,0)),"B","S"))))</f>
        <v/>
      </c>
      <c r="S1269">
        <f>IF(Q1269="","",IFERROR(MATCH(Q1269,$P$4:$P$2003,0),""))</f>
        <v/>
      </c>
    </row>
    <row r="1270">
      <c r="A1270" s="4">
        <f>IF($R1270="","",IF($R1270="T","Gesamtergebnis",IF($R1270="B",INDEX($M$4:$M$2003,$S1270),INDEX($L$4:$L$2003,$S1270))))</f>
        <v/>
      </c>
      <c r="B1270" s="4">
        <f>IF($R1270="","",IF($R1270="T",$K$3,IF($R1270="B",COUNTIFS($M$4:$M$2003,INDEX($M$4:$M$2003,$S1270),$N$4:$N$2003,1),1)))</f>
        <v/>
      </c>
      <c r="L1270">
        <f>IF($K$1="","",IFERROR(INDEX(Lines!$A:$AA,ROW()-2,$K$1),""))</f>
        <v/>
      </c>
      <c r="M1270">
        <f>IF($K$2="","",IFERROR(INDEX(Lines!$A:$AA,ROW()-2,$K$2),""))</f>
        <v/>
      </c>
      <c r="N1270">
        <f>IF(AND(L1270&lt;&gt;"",LEFT(L1270,1)="N",M1270&lt;&gt;"PICKING",M1270&lt;&gt;""),1,0)</f>
        <v/>
      </c>
      <c r="O1270">
        <f>IF(N1270=1,M1270&amp;"|"&amp;L1270,REPT("z",40))</f>
        <v/>
      </c>
      <c r="P1270">
        <f>IF(N1270=1,COUNTIF($O$4:$O$2003,"&lt;"&amp;O1270)+1,"")</f>
        <v/>
      </c>
      <c r="Q1270">
        <f>IF(OR($R1269="",$R1269="T"),"",IF($R1269="B",$Q1269,IF($Q1269+1&gt;$K$3,"",$Q1269+1)))</f>
        <v/>
      </c>
      <c r="R1270">
        <f>IF(OR($R1269="",$R1269="T"),"",IF($R1269="B","S",IF($Q1269+1&gt;$K$3,"T",IF(INDEX($M$4:$M$2003,MATCH($Q1269+1,$P$4:$P$2003,0))&lt;&gt;INDEX($M$4:$M$2003,MATCH($Q1269,$P$4:$P$2003,0)),"B","S"))))</f>
        <v/>
      </c>
      <c r="S1270">
        <f>IF(Q1270="","",IFERROR(MATCH(Q1270,$P$4:$P$2003,0),""))</f>
        <v/>
      </c>
    </row>
    <row r="1271">
      <c r="A1271" s="4">
        <f>IF($R1271="","",IF($R1271="T","Gesamtergebnis",IF($R1271="B",INDEX($M$4:$M$2003,$S1271),INDEX($L$4:$L$2003,$S1271))))</f>
        <v/>
      </c>
      <c r="B1271" s="4">
        <f>IF($R1271="","",IF($R1271="T",$K$3,IF($R1271="B",COUNTIFS($M$4:$M$2003,INDEX($M$4:$M$2003,$S1271),$N$4:$N$2003,1),1)))</f>
        <v/>
      </c>
      <c r="L1271">
        <f>IF($K$1="","",IFERROR(INDEX(Lines!$A:$AA,ROW()-2,$K$1),""))</f>
        <v/>
      </c>
      <c r="M1271">
        <f>IF($K$2="","",IFERROR(INDEX(Lines!$A:$AA,ROW()-2,$K$2),""))</f>
        <v/>
      </c>
      <c r="N1271">
        <f>IF(AND(L1271&lt;&gt;"",LEFT(L1271,1)="N",M1271&lt;&gt;"PICKING",M1271&lt;&gt;""),1,0)</f>
        <v/>
      </c>
      <c r="O1271">
        <f>IF(N1271=1,M1271&amp;"|"&amp;L1271,REPT("z",40))</f>
        <v/>
      </c>
      <c r="P1271">
        <f>IF(N1271=1,COUNTIF($O$4:$O$2003,"&lt;"&amp;O1271)+1,"")</f>
        <v/>
      </c>
      <c r="Q1271">
        <f>IF(OR($R1270="",$R1270="T"),"",IF($R1270="B",$Q1270,IF($Q1270+1&gt;$K$3,"",$Q1270+1)))</f>
        <v/>
      </c>
      <c r="R1271">
        <f>IF(OR($R1270="",$R1270="T"),"",IF($R1270="B","S",IF($Q1270+1&gt;$K$3,"T",IF(INDEX($M$4:$M$2003,MATCH($Q1270+1,$P$4:$P$2003,0))&lt;&gt;INDEX($M$4:$M$2003,MATCH($Q1270,$P$4:$P$2003,0)),"B","S"))))</f>
        <v/>
      </c>
      <c r="S1271">
        <f>IF(Q1271="","",IFERROR(MATCH(Q1271,$P$4:$P$2003,0),""))</f>
        <v/>
      </c>
    </row>
    <row r="1272">
      <c r="A1272" s="4">
        <f>IF($R1272="","",IF($R1272="T","Gesamtergebnis",IF($R1272="B",INDEX($M$4:$M$2003,$S1272),INDEX($L$4:$L$2003,$S1272))))</f>
        <v/>
      </c>
      <c r="B1272" s="4">
        <f>IF($R1272="","",IF($R1272="T",$K$3,IF($R1272="B",COUNTIFS($M$4:$M$2003,INDEX($M$4:$M$2003,$S1272),$N$4:$N$2003,1),1)))</f>
        <v/>
      </c>
      <c r="L1272">
        <f>IF($K$1="","",IFERROR(INDEX(Lines!$A:$AA,ROW()-2,$K$1),""))</f>
        <v/>
      </c>
      <c r="M1272">
        <f>IF($K$2="","",IFERROR(INDEX(Lines!$A:$AA,ROW()-2,$K$2),""))</f>
        <v/>
      </c>
      <c r="N1272">
        <f>IF(AND(L1272&lt;&gt;"",LEFT(L1272,1)="N",M1272&lt;&gt;"PICKING",M1272&lt;&gt;""),1,0)</f>
        <v/>
      </c>
      <c r="O1272">
        <f>IF(N1272=1,M1272&amp;"|"&amp;L1272,REPT("z",40))</f>
        <v/>
      </c>
      <c r="P1272">
        <f>IF(N1272=1,COUNTIF($O$4:$O$2003,"&lt;"&amp;O1272)+1,"")</f>
        <v/>
      </c>
      <c r="Q1272">
        <f>IF(OR($R1271="",$R1271="T"),"",IF($R1271="B",$Q1271,IF($Q1271+1&gt;$K$3,"",$Q1271+1)))</f>
        <v/>
      </c>
      <c r="R1272">
        <f>IF(OR($R1271="",$R1271="T"),"",IF($R1271="B","S",IF($Q1271+1&gt;$K$3,"T",IF(INDEX($M$4:$M$2003,MATCH($Q1271+1,$P$4:$P$2003,0))&lt;&gt;INDEX($M$4:$M$2003,MATCH($Q1271,$P$4:$P$2003,0)),"B","S"))))</f>
        <v/>
      </c>
      <c r="S1272">
        <f>IF(Q1272="","",IFERROR(MATCH(Q1272,$P$4:$P$2003,0),""))</f>
        <v/>
      </c>
    </row>
    <row r="1273">
      <c r="A1273" s="4">
        <f>IF($R1273="","",IF($R1273="T","Gesamtergebnis",IF($R1273="B",INDEX($M$4:$M$2003,$S1273),INDEX($L$4:$L$2003,$S1273))))</f>
        <v/>
      </c>
      <c r="B1273" s="4">
        <f>IF($R1273="","",IF($R1273="T",$K$3,IF($R1273="B",COUNTIFS($M$4:$M$2003,INDEX($M$4:$M$2003,$S1273),$N$4:$N$2003,1),1)))</f>
        <v/>
      </c>
      <c r="L1273">
        <f>IF($K$1="","",IFERROR(INDEX(Lines!$A:$AA,ROW()-2,$K$1),""))</f>
        <v/>
      </c>
      <c r="M1273">
        <f>IF($K$2="","",IFERROR(INDEX(Lines!$A:$AA,ROW()-2,$K$2),""))</f>
        <v/>
      </c>
      <c r="N1273">
        <f>IF(AND(L1273&lt;&gt;"",LEFT(L1273,1)="N",M1273&lt;&gt;"PICKING",M1273&lt;&gt;""),1,0)</f>
        <v/>
      </c>
      <c r="O1273">
        <f>IF(N1273=1,M1273&amp;"|"&amp;L1273,REPT("z",40))</f>
        <v/>
      </c>
      <c r="P1273">
        <f>IF(N1273=1,COUNTIF($O$4:$O$2003,"&lt;"&amp;O1273)+1,"")</f>
        <v/>
      </c>
      <c r="Q1273">
        <f>IF(OR($R1272="",$R1272="T"),"",IF($R1272="B",$Q1272,IF($Q1272+1&gt;$K$3,"",$Q1272+1)))</f>
        <v/>
      </c>
      <c r="R1273">
        <f>IF(OR($R1272="",$R1272="T"),"",IF($R1272="B","S",IF($Q1272+1&gt;$K$3,"T",IF(INDEX($M$4:$M$2003,MATCH($Q1272+1,$P$4:$P$2003,0))&lt;&gt;INDEX($M$4:$M$2003,MATCH($Q1272,$P$4:$P$2003,0)),"B","S"))))</f>
        <v/>
      </c>
      <c r="S1273">
        <f>IF(Q1273="","",IFERROR(MATCH(Q1273,$P$4:$P$2003,0),""))</f>
        <v/>
      </c>
    </row>
    <row r="1274">
      <c r="A1274" s="4">
        <f>IF($R1274="","",IF($R1274="T","Gesamtergebnis",IF($R1274="B",INDEX($M$4:$M$2003,$S1274),INDEX($L$4:$L$2003,$S1274))))</f>
        <v/>
      </c>
      <c r="B1274" s="4">
        <f>IF($R1274="","",IF($R1274="T",$K$3,IF($R1274="B",COUNTIFS($M$4:$M$2003,INDEX($M$4:$M$2003,$S1274),$N$4:$N$2003,1),1)))</f>
        <v/>
      </c>
      <c r="L1274">
        <f>IF($K$1="","",IFERROR(INDEX(Lines!$A:$AA,ROW()-2,$K$1),""))</f>
        <v/>
      </c>
      <c r="M1274">
        <f>IF($K$2="","",IFERROR(INDEX(Lines!$A:$AA,ROW()-2,$K$2),""))</f>
        <v/>
      </c>
      <c r="N1274">
        <f>IF(AND(L1274&lt;&gt;"",LEFT(L1274,1)="N",M1274&lt;&gt;"PICKING",M1274&lt;&gt;""),1,0)</f>
        <v/>
      </c>
      <c r="O1274">
        <f>IF(N1274=1,M1274&amp;"|"&amp;L1274,REPT("z",40))</f>
        <v/>
      </c>
      <c r="P1274">
        <f>IF(N1274=1,COUNTIF($O$4:$O$2003,"&lt;"&amp;O1274)+1,"")</f>
        <v/>
      </c>
      <c r="Q1274">
        <f>IF(OR($R1273="",$R1273="T"),"",IF($R1273="B",$Q1273,IF($Q1273+1&gt;$K$3,"",$Q1273+1)))</f>
        <v/>
      </c>
      <c r="R1274">
        <f>IF(OR($R1273="",$R1273="T"),"",IF($R1273="B","S",IF($Q1273+1&gt;$K$3,"T",IF(INDEX($M$4:$M$2003,MATCH($Q1273+1,$P$4:$P$2003,0))&lt;&gt;INDEX($M$4:$M$2003,MATCH($Q1273,$P$4:$P$2003,0)),"B","S"))))</f>
        <v/>
      </c>
      <c r="S1274">
        <f>IF(Q1274="","",IFERROR(MATCH(Q1274,$P$4:$P$2003,0),""))</f>
        <v/>
      </c>
    </row>
    <row r="1275">
      <c r="A1275" s="4">
        <f>IF($R1275="","",IF($R1275="T","Gesamtergebnis",IF($R1275="B",INDEX($M$4:$M$2003,$S1275),INDEX($L$4:$L$2003,$S1275))))</f>
        <v/>
      </c>
      <c r="B1275" s="4">
        <f>IF($R1275="","",IF($R1275="T",$K$3,IF($R1275="B",COUNTIFS($M$4:$M$2003,INDEX($M$4:$M$2003,$S1275),$N$4:$N$2003,1),1)))</f>
        <v/>
      </c>
      <c r="L1275">
        <f>IF($K$1="","",IFERROR(INDEX(Lines!$A:$AA,ROW()-2,$K$1),""))</f>
        <v/>
      </c>
      <c r="M1275">
        <f>IF($K$2="","",IFERROR(INDEX(Lines!$A:$AA,ROW()-2,$K$2),""))</f>
        <v/>
      </c>
      <c r="N1275">
        <f>IF(AND(L1275&lt;&gt;"",LEFT(L1275,1)="N",M1275&lt;&gt;"PICKING",M1275&lt;&gt;""),1,0)</f>
        <v/>
      </c>
      <c r="O1275">
        <f>IF(N1275=1,M1275&amp;"|"&amp;L1275,REPT("z",40))</f>
        <v/>
      </c>
      <c r="P1275">
        <f>IF(N1275=1,COUNTIF($O$4:$O$2003,"&lt;"&amp;O1275)+1,"")</f>
        <v/>
      </c>
      <c r="Q1275">
        <f>IF(OR($R1274="",$R1274="T"),"",IF($R1274="B",$Q1274,IF($Q1274+1&gt;$K$3,"",$Q1274+1)))</f>
        <v/>
      </c>
      <c r="R1275">
        <f>IF(OR($R1274="",$R1274="T"),"",IF($R1274="B","S",IF($Q1274+1&gt;$K$3,"T",IF(INDEX($M$4:$M$2003,MATCH($Q1274+1,$P$4:$P$2003,0))&lt;&gt;INDEX($M$4:$M$2003,MATCH($Q1274,$P$4:$P$2003,0)),"B","S"))))</f>
        <v/>
      </c>
      <c r="S1275">
        <f>IF(Q1275="","",IFERROR(MATCH(Q1275,$P$4:$P$2003,0),""))</f>
        <v/>
      </c>
    </row>
    <row r="1276">
      <c r="A1276" s="4">
        <f>IF($R1276="","",IF($R1276="T","Gesamtergebnis",IF($R1276="B",INDEX($M$4:$M$2003,$S1276),INDEX($L$4:$L$2003,$S1276))))</f>
        <v/>
      </c>
      <c r="B1276" s="4">
        <f>IF($R1276="","",IF($R1276="T",$K$3,IF($R1276="B",COUNTIFS($M$4:$M$2003,INDEX($M$4:$M$2003,$S1276),$N$4:$N$2003,1),1)))</f>
        <v/>
      </c>
      <c r="L1276">
        <f>IF($K$1="","",IFERROR(INDEX(Lines!$A:$AA,ROW()-2,$K$1),""))</f>
        <v/>
      </c>
      <c r="M1276">
        <f>IF($K$2="","",IFERROR(INDEX(Lines!$A:$AA,ROW()-2,$K$2),""))</f>
        <v/>
      </c>
      <c r="N1276">
        <f>IF(AND(L1276&lt;&gt;"",LEFT(L1276,1)="N",M1276&lt;&gt;"PICKING",M1276&lt;&gt;""),1,0)</f>
        <v/>
      </c>
      <c r="O1276">
        <f>IF(N1276=1,M1276&amp;"|"&amp;L1276,REPT("z",40))</f>
        <v/>
      </c>
      <c r="P1276">
        <f>IF(N1276=1,COUNTIF($O$4:$O$2003,"&lt;"&amp;O1276)+1,"")</f>
        <v/>
      </c>
      <c r="Q1276">
        <f>IF(OR($R1275="",$R1275="T"),"",IF($R1275="B",$Q1275,IF($Q1275+1&gt;$K$3,"",$Q1275+1)))</f>
        <v/>
      </c>
      <c r="R1276">
        <f>IF(OR($R1275="",$R1275="T"),"",IF($R1275="B","S",IF($Q1275+1&gt;$K$3,"T",IF(INDEX($M$4:$M$2003,MATCH($Q1275+1,$P$4:$P$2003,0))&lt;&gt;INDEX($M$4:$M$2003,MATCH($Q1275,$P$4:$P$2003,0)),"B","S"))))</f>
        <v/>
      </c>
      <c r="S1276">
        <f>IF(Q1276="","",IFERROR(MATCH(Q1276,$P$4:$P$2003,0),""))</f>
        <v/>
      </c>
    </row>
    <row r="1277">
      <c r="A1277" s="4">
        <f>IF($R1277="","",IF($R1277="T","Gesamtergebnis",IF($R1277="B",INDEX($M$4:$M$2003,$S1277),INDEX($L$4:$L$2003,$S1277))))</f>
        <v/>
      </c>
      <c r="B1277" s="4">
        <f>IF($R1277="","",IF($R1277="T",$K$3,IF($R1277="B",COUNTIFS($M$4:$M$2003,INDEX($M$4:$M$2003,$S1277),$N$4:$N$2003,1),1)))</f>
        <v/>
      </c>
      <c r="L1277">
        <f>IF($K$1="","",IFERROR(INDEX(Lines!$A:$AA,ROW()-2,$K$1),""))</f>
        <v/>
      </c>
      <c r="M1277">
        <f>IF($K$2="","",IFERROR(INDEX(Lines!$A:$AA,ROW()-2,$K$2),""))</f>
        <v/>
      </c>
      <c r="N1277">
        <f>IF(AND(L1277&lt;&gt;"",LEFT(L1277,1)="N",M1277&lt;&gt;"PICKING",M1277&lt;&gt;""),1,0)</f>
        <v/>
      </c>
      <c r="O1277">
        <f>IF(N1277=1,M1277&amp;"|"&amp;L1277,REPT("z",40))</f>
        <v/>
      </c>
      <c r="P1277">
        <f>IF(N1277=1,COUNTIF($O$4:$O$2003,"&lt;"&amp;O1277)+1,"")</f>
        <v/>
      </c>
      <c r="Q1277">
        <f>IF(OR($R1276="",$R1276="T"),"",IF($R1276="B",$Q1276,IF($Q1276+1&gt;$K$3,"",$Q1276+1)))</f>
        <v/>
      </c>
      <c r="R1277">
        <f>IF(OR($R1276="",$R1276="T"),"",IF($R1276="B","S",IF($Q1276+1&gt;$K$3,"T",IF(INDEX($M$4:$M$2003,MATCH($Q1276+1,$P$4:$P$2003,0))&lt;&gt;INDEX($M$4:$M$2003,MATCH($Q1276,$P$4:$P$2003,0)),"B","S"))))</f>
        <v/>
      </c>
      <c r="S1277">
        <f>IF(Q1277="","",IFERROR(MATCH(Q1277,$P$4:$P$2003,0),""))</f>
        <v/>
      </c>
    </row>
    <row r="1278">
      <c r="A1278" s="4">
        <f>IF($R1278="","",IF($R1278="T","Gesamtergebnis",IF($R1278="B",INDEX($M$4:$M$2003,$S1278),INDEX($L$4:$L$2003,$S1278))))</f>
        <v/>
      </c>
      <c r="B1278" s="4">
        <f>IF($R1278="","",IF($R1278="T",$K$3,IF($R1278="B",COUNTIFS($M$4:$M$2003,INDEX($M$4:$M$2003,$S1278),$N$4:$N$2003,1),1)))</f>
        <v/>
      </c>
      <c r="L1278">
        <f>IF($K$1="","",IFERROR(INDEX(Lines!$A:$AA,ROW()-2,$K$1),""))</f>
        <v/>
      </c>
      <c r="M1278">
        <f>IF($K$2="","",IFERROR(INDEX(Lines!$A:$AA,ROW()-2,$K$2),""))</f>
        <v/>
      </c>
      <c r="N1278">
        <f>IF(AND(L1278&lt;&gt;"",LEFT(L1278,1)="N",M1278&lt;&gt;"PICKING",M1278&lt;&gt;""),1,0)</f>
        <v/>
      </c>
      <c r="O1278">
        <f>IF(N1278=1,M1278&amp;"|"&amp;L1278,REPT("z",40))</f>
        <v/>
      </c>
      <c r="P1278">
        <f>IF(N1278=1,COUNTIF($O$4:$O$2003,"&lt;"&amp;O1278)+1,"")</f>
        <v/>
      </c>
      <c r="Q1278">
        <f>IF(OR($R1277="",$R1277="T"),"",IF($R1277="B",$Q1277,IF($Q1277+1&gt;$K$3,"",$Q1277+1)))</f>
        <v/>
      </c>
      <c r="R1278">
        <f>IF(OR($R1277="",$R1277="T"),"",IF($R1277="B","S",IF($Q1277+1&gt;$K$3,"T",IF(INDEX($M$4:$M$2003,MATCH($Q1277+1,$P$4:$P$2003,0))&lt;&gt;INDEX($M$4:$M$2003,MATCH($Q1277,$P$4:$P$2003,0)),"B","S"))))</f>
        <v/>
      </c>
      <c r="S1278">
        <f>IF(Q1278="","",IFERROR(MATCH(Q1278,$P$4:$P$2003,0),""))</f>
        <v/>
      </c>
    </row>
    <row r="1279">
      <c r="A1279" s="4">
        <f>IF($R1279="","",IF($R1279="T","Gesamtergebnis",IF($R1279="B",INDEX($M$4:$M$2003,$S1279),INDEX($L$4:$L$2003,$S1279))))</f>
        <v/>
      </c>
      <c r="B1279" s="4">
        <f>IF($R1279="","",IF($R1279="T",$K$3,IF($R1279="B",COUNTIFS($M$4:$M$2003,INDEX($M$4:$M$2003,$S1279),$N$4:$N$2003,1),1)))</f>
        <v/>
      </c>
      <c r="L1279">
        <f>IF($K$1="","",IFERROR(INDEX(Lines!$A:$AA,ROW()-2,$K$1),""))</f>
        <v/>
      </c>
      <c r="M1279">
        <f>IF($K$2="","",IFERROR(INDEX(Lines!$A:$AA,ROW()-2,$K$2),""))</f>
        <v/>
      </c>
      <c r="N1279">
        <f>IF(AND(L1279&lt;&gt;"",LEFT(L1279,1)="N",M1279&lt;&gt;"PICKING",M1279&lt;&gt;""),1,0)</f>
        <v/>
      </c>
      <c r="O1279">
        <f>IF(N1279=1,M1279&amp;"|"&amp;L1279,REPT("z",40))</f>
        <v/>
      </c>
      <c r="P1279">
        <f>IF(N1279=1,COUNTIF($O$4:$O$2003,"&lt;"&amp;O1279)+1,"")</f>
        <v/>
      </c>
      <c r="Q1279">
        <f>IF(OR($R1278="",$R1278="T"),"",IF($R1278="B",$Q1278,IF($Q1278+1&gt;$K$3,"",$Q1278+1)))</f>
        <v/>
      </c>
      <c r="R1279">
        <f>IF(OR($R1278="",$R1278="T"),"",IF($R1278="B","S",IF($Q1278+1&gt;$K$3,"T",IF(INDEX($M$4:$M$2003,MATCH($Q1278+1,$P$4:$P$2003,0))&lt;&gt;INDEX($M$4:$M$2003,MATCH($Q1278,$P$4:$P$2003,0)),"B","S"))))</f>
        <v/>
      </c>
      <c r="S1279">
        <f>IF(Q1279="","",IFERROR(MATCH(Q1279,$P$4:$P$2003,0),""))</f>
        <v/>
      </c>
    </row>
    <row r="1280">
      <c r="A1280" s="4">
        <f>IF($R1280="","",IF($R1280="T","Gesamtergebnis",IF($R1280="B",INDEX($M$4:$M$2003,$S1280),INDEX($L$4:$L$2003,$S1280))))</f>
        <v/>
      </c>
      <c r="B1280" s="4">
        <f>IF($R1280="","",IF($R1280="T",$K$3,IF($R1280="B",COUNTIFS($M$4:$M$2003,INDEX($M$4:$M$2003,$S1280),$N$4:$N$2003,1),1)))</f>
        <v/>
      </c>
      <c r="L1280">
        <f>IF($K$1="","",IFERROR(INDEX(Lines!$A:$AA,ROW()-2,$K$1),""))</f>
        <v/>
      </c>
      <c r="M1280">
        <f>IF($K$2="","",IFERROR(INDEX(Lines!$A:$AA,ROW()-2,$K$2),""))</f>
        <v/>
      </c>
      <c r="N1280">
        <f>IF(AND(L1280&lt;&gt;"",LEFT(L1280,1)="N",M1280&lt;&gt;"PICKING",M1280&lt;&gt;""),1,0)</f>
        <v/>
      </c>
      <c r="O1280">
        <f>IF(N1280=1,M1280&amp;"|"&amp;L1280,REPT("z",40))</f>
        <v/>
      </c>
      <c r="P1280">
        <f>IF(N1280=1,COUNTIF($O$4:$O$2003,"&lt;"&amp;O1280)+1,"")</f>
        <v/>
      </c>
      <c r="Q1280">
        <f>IF(OR($R1279="",$R1279="T"),"",IF($R1279="B",$Q1279,IF($Q1279+1&gt;$K$3,"",$Q1279+1)))</f>
        <v/>
      </c>
      <c r="R1280">
        <f>IF(OR($R1279="",$R1279="T"),"",IF($R1279="B","S",IF($Q1279+1&gt;$K$3,"T",IF(INDEX($M$4:$M$2003,MATCH($Q1279+1,$P$4:$P$2003,0))&lt;&gt;INDEX($M$4:$M$2003,MATCH($Q1279,$P$4:$P$2003,0)),"B","S"))))</f>
        <v/>
      </c>
      <c r="S1280">
        <f>IF(Q1280="","",IFERROR(MATCH(Q1280,$P$4:$P$2003,0),""))</f>
        <v/>
      </c>
    </row>
    <row r="1281">
      <c r="A1281" s="4">
        <f>IF($R1281="","",IF($R1281="T","Gesamtergebnis",IF($R1281="B",INDEX($M$4:$M$2003,$S1281),INDEX($L$4:$L$2003,$S1281))))</f>
        <v/>
      </c>
      <c r="B1281" s="4">
        <f>IF($R1281="","",IF($R1281="T",$K$3,IF($R1281="B",COUNTIFS($M$4:$M$2003,INDEX($M$4:$M$2003,$S1281),$N$4:$N$2003,1),1)))</f>
        <v/>
      </c>
      <c r="L1281">
        <f>IF($K$1="","",IFERROR(INDEX(Lines!$A:$AA,ROW()-2,$K$1),""))</f>
        <v/>
      </c>
      <c r="M1281">
        <f>IF($K$2="","",IFERROR(INDEX(Lines!$A:$AA,ROW()-2,$K$2),""))</f>
        <v/>
      </c>
      <c r="N1281">
        <f>IF(AND(L1281&lt;&gt;"",LEFT(L1281,1)="N",M1281&lt;&gt;"PICKING",M1281&lt;&gt;""),1,0)</f>
        <v/>
      </c>
      <c r="O1281">
        <f>IF(N1281=1,M1281&amp;"|"&amp;L1281,REPT("z",40))</f>
        <v/>
      </c>
      <c r="P1281">
        <f>IF(N1281=1,COUNTIF($O$4:$O$2003,"&lt;"&amp;O1281)+1,"")</f>
        <v/>
      </c>
      <c r="Q1281">
        <f>IF(OR($R1280="",$R1280="T"),"",IF($R1280="B",$Q1280,IF($Q1280+1&gt;$K$3,"",$Q1280+1)))</f>
        <v/>
      </c>
      <c r="R1281">
        <f>IF(OR($R1280="",$R1280="T"),"",IF($R1280="B","S",IF($Q1280+1&gt;$K$3,"T",IF(INDEX($M$4:$M$2003,MATCH($Q1280+1,$P$4:$P$2003,0))&lt;&gt;INDEX($M$4:$M$2003,MATCH($Q1280,$P$4:$P$2003,0)),"B","S"))))</f>
        <v/>
      </c>
      <c r="S1281">
        <f>IF(Q1281="","",IFERROR(MATCH(Q1281,$P$4:$P$2003,0),""))</f>
        <v/>
      </c>
    </row>
    <row r="1282">
      <c r="A1282" s="4">
        <f>IF($R1282="","",IF($R1282="T","Gesamtergebnis",IF($R1282="B",INDEX($M$4:$M$2003,$S1282),INDEX($L$4:$L$2003,$S1282))))</f>
        <v/>
      </c>
      <c r="B1282" s="4">
        <f>IF($R1282="","",IF($R1282="T",$K$3,IF($R1282="B",COUNTIFS($M$4:$M$2003,INDEX($M$4:$M$2003,$S1282),$N$4:$N$2003,1),1)))</f>
        <v/>
      </c>
      <c r="L1282">
        <f>IF($K$1="","",IFERROR(INDEX(Lines!$A:$AA,ROW()-2,$K$1),""))</f>
        <v/>
      </c>
      <c r="M1282">
        <f>IF($K$2="","",IFERROR(INDEX(Lines!$A:$AA,ROW()-2,$K$2),""))</f>
        <v/>
      </c>
      <c r="N1282">
        <f>IF(AND(L1282&lt;&gt;"",LEFT(L1282,1)="N",M1282&lt;&gt;"PICKING",M1282&lt;&gt;""),1,0)</f>
        <v/>
      </c>
      <c r="O1282">
        <f>IF(N1282=1,M1282&amp;"|"&amp;L1282,REPT("z",40))</f>
        <v/>
      </c>
      <c r="P1282">
        <f>IF(N1282=1,COUNTIF($O$4:$O$2003,"&lt;"&amp;O1282)+1,"")</f>
        <v/>
      </c>
      <c r="Q1282">
        <f>IF(OR($R1281="",$R1281="T"),"",IF($R1281="B",$Q1281,IF($Q1281+1&gt;$K$3,"",$Q1281+1)))</f>
        <v/>
      </c>
      <c r="R1282">
        <f>IF(OR($R1281="",$R1281="T"),"",IF($R1281="B","S",IF($Q1281+1&gt;$K$3,"T",IF(INDEX($M$4:$M$2003,MATCH($Q1281+1,$P$4:$P$2003,0))&lt;&gt;INDEX($M$4:$M$2003,MATCH($Q1281,$P$4:$P$2003,0)),"B","S"))))</f>
        <v/>
      </c>
      <c r="S1282">
        <f>IF(Q1282="","",IFERROR(MATCH(Q1282,$P$4:$P$2003,0),""))</f>
        <v/>
      </c>
    </row>
    <row r="1283">
      <c r="A1283" s="4">
        <f>IF($R1283="","",IF($R1283="T","Gesamtergebnis",IF($R1283="B",INDEX($M$4:$M$2003,$S1283),INDEX($L$4:$L$2003,$S1283))))</f>
        <v/>
      </c>
      <c r="B1283" s="4">
        <f>IF($R1283="","",IF($R1283="T",$K$3,IF($R1283="B",COUNTIFS($M$4:$M$2003,INDEX($M$4:$M$2003,$S1283),$N$4:$N$2003,1),1)))</f>
        <v/>
      </c>
      <c r="L1283">
        <f>IF($K$1="","",IFERROR(INDEX(Lines!$A:$AA,ROW()-2,$K$1),""))</f>
        <v/>
      </c>
      <c r="M1283">
        <f>IF($K$2="","",IFERROR(INDEX(Lines!$A:$AA,ROW()-2,$K$2),""))</f>
        <v/>
      </c>
      <c r="N1283">
        <f>IF(AND(L1283&lt;&gt;"",LEFT(L1283,1)="N",M1283&lt;&gt;"PICKING",M1283&lt;&gt;""),1,0)</f>
        <v/>
      </c>
      <c r="O1283">
        <f>IF(N1283=1,M1283&amp;"|"&amp;L1283,REPT("z",40))</f>
        <v/>
      </c>
      <c r="P1283">
        <f>IF(N1283=1,COUNTIF($O$4:$O$2003,"&lt;"&amp;O1283)+1,"")</f>
        <v/>
      </c>
      <c r="Q1283">
        <f>IF(OR($R1282="",$R1282="T"),"",IF($R1282="B",$Q1282,IF($Q1282+1&gt;$K$3,"",$Q1282+1)))</f>
        <v/>
      </c>
      <c r="R1283">
        <f>IF(OR($R1282="",$R1282="T"),"",IF($R1282="B","S",IF($Q1282+1&gt;$K$3,"T",IF(INDEX($M$4:$M$2003,MATCH($Q1282+1,$P$4:$P$2003,0))&lt;&gt;INDEX($M$4:$M$2003,MATCH($Q1282,$P$4:$P$2003,0)),"B","S"))))</f>
        <v/>
      </c>
      <c r="S1283">
        <f>IF(Q1283="","",IFERROR(MATCH(Q1283,$P$4:$P$2003,0),""))</f>
        <v/>
      </c>
    </row>
    <row r="1284">
      <c r="A1284" s="4">
        <f>IF($R1284="","",IF($R1284="T","Gesamtergebnis",IF($R1284="B",INDEX($M$4:$M$2003,$S1284),INDEX($L$4:$L$2003,$S1284))))</f>
        <v/>
      </c>
      <c r="B1284" s="4">
        <f>IF($R1284="","",IF($R1284="T",$K$3,IF($R1284="B",COUNTIFS($M$4:$M$2003,INDEX($M$4:$M$2003,$S1284),$N$4:$N$2003,1),1)))</f>
        <v/>
      </c>
      <c r="L1284">
        <f>IF($K$1="","",IFERROR(INDEX(Lines!$A:$AA,ROW()-2,$K$1),""))</f>
        <v/>
      </c>
      <c r="M1284">
        <f>IF($K$2="","",IFERROR(INDEX(Lines!$A:$AA,ROW()-2,$K$2),""))</f>
        <v/>
      </c>
      <c r="N1284">
        <f>IF(AND(L1284&lt;&gt;"",LEFT(L1284,1)="N",M1284&lt;&gt;"PICKING",M1284&lt;&gt;""),1,0)</f>
        <v/>
      </c>
      <c r="O1284">
        <f>IF(N1284=1,M1284&amp;"|"&amp;L1284,REPT("z",40))</f>
        <v/>
      </c>
      <c r="P1284">
        <f>IF(N1284=1,COUNTIF($O$4:$O$2003,"&lt;"&amp;O1284)+1,"")</f>
        <v/>
      </c>
      <c r="Q1284">
        <f>IF(OR($R1283="",$R1283="T"),"",IF($R1283="B",$Q1283,IF($Q1283+1&gt;$K$3,"",$Q1283+1)))</f>
        <v/>
      </c>
      <c r="R1284">
        <f>IF(OR($R1283="",$R1283="T"),"",IF($R1283="B","S",IF($Q1283+1&gt;$K$3,"T",IF(INDEX($M$4:$M$2003,MATCH($Q1283+1,$P$4:$P$2003,0))&lt;&gt;INDEX($M$4:$M$2003,MATCH($Q1283,$P$4:$P$2003,0)),"B","S"))))</f>
        <v/>
      </c>
      <c r="S1284">
        <f>IF(Q1284="","",IFERROR(MATCH(Q1284,$P$4:$P$2003,0),""))</f>
        <v/>
      </c>
    </row>
    <row r="1285">
      <c r="A1285" s="4">
        <f>IF($R1285="","",IF($R1285="T","Gesamtergebnis",IF($R1285="B",INDEX($M$4:$M$2003,$S1285),INDEX($L$4:$L$2003,$S1285))))</f>
        <v/>
      </c>
      <c r="B1285" s="4">
        <f>IF($R1285="","",IF($R1285="T",$K$3,IF($R1285="B",COUNTIFS($M$4:$M$2003,INDEX($M$4:$M$2003,$S1285),$N$4:$N$2003,1),1)))</f>
        <v/>
      </c>
      <c r="L1285">
        <f>IF($K$1="","",IFERROR(INDEX(Lines!$A:$AA,ROW()-2,$K$1),""))</f>
        <v/>
      </c>
      <c r="M1285">
        <f>IF($K$2="","",IFERROR(INDEX(Lines!$A:$AA,ROW()-2,$K$2),""))</f>
        <v/>
      </c>
      <c r="N1285">
        <f>IF(AND(L1285&lt;&gt;"",LEFT(L1285,1)="N",M1285&lt;&gt;"PICKING",M1285&lt;&gt;""),1,0)</f>
        <v/>
      </c>
      <c r="O1285">
        <f>IF(N1285=1,M1285&amp;"|"&amp;L1285,REPT("z",40))</f>
        <v/>
      </c>
      <c r="P1285">
        <f>IF(N1285=1,COUNTIF($O$4:$O$2003,"&lt;"&amp;O1285)+1,"")</f>
        <v/>
      </c>
      <c r="Q1285">
        <f>IF(OR($R1284="",$R1284="T"),"",IF($R1284="B",$Q1284,IF($Q1284+1&gt;$K$3,"",$Q1284+1)))</f>
        <v/>
      </c>
      <c r="R1285">
        <f>IF(OR($R1284="",$R1284="T"),"",IF($R1284="B","S",IF($Q1284+1&gt;$K$3,"T",IF(INDEX($M$4:$M$2003,MATCH($Q1284+1,$P$4:$P$2003,0))&lt;&gt;INDEX($M$4:$M$2003,MATCH($Q1284,$P$4:$P$2003,0)),"B","S"))))</f>
        <v/>
      </c>
      <c r="S1285">
        <f>IF(Q1285="","",IFERROR(MATCH(Q1285,$P$4:$P$2003,0),""))</f>
        <v/>
      </c>
    </row>
    <row r="1286">
      <c r="A1286" s="4">
        <f>IF($R1286="","",IF($R1286="T","Gesamtergebnis",IF($R1286="B",INDEX($M$4:$M$2003,$S1286),INDEX($L$4:$L$2003,$S1286))))</f>
        <v/>
      </c>
      <c r="B1286" s="4">
        <f>IF($R1286="","",IF($R1286="T",$K$3,IF($R1286="B",COUNTIFS($M$4:$M$2003,INDEX($M$4:$M$2003,$S1286),$N$4:$N$2003,1),1)))</f>
        <v/>
      </c>
      <c r="L1286">
        <f>IF($K$1="","",IFERROR(INDEX(Lines!$A:$AA,ROW()-2,$K$1),""))</f>
        <v/>
      </c>
      <c r="M1286">
        <f>IF($K$2="","",IFERROR(INDEX(Lines!$A:$AA,ROW()-2,$K$2),""))</f>
        <v/>
      </c>
      <c r="N1286">
        <f>IF(AND(L1286&lt;&gt;"",LEFT(L1286,1)="N",M1286&lt;&gt;"PICKING",M1286&lt;&gt;""),1,0)</f>
        <v/>
      </c>
      <c r="O1286">
        <f>IF(N1286=1,M1286&amp;"|"&amp;L1286,REPT("z",40))</f>
        <v/>
      </c>
      <c r="P1286">
        <f>IF(N1286=1,COUNTIF($O$4:$O$2003,"&lt;"&amp;O1286)+1,"")</f>
        <v/>
      </c>
      <c r="Q1286">
        <f>IF(OR($R1285="",$R1285="T"),"",IF($R1285="B",$Q1285,IF($Q1285+1&gt;$K$3,"",$Q1285+1)))</f>
        <v/>
      </c>
      <c r="R1286">
        <f>IF(OR($R1285="",$R1285="T"),"",IF($R1285="B","S",IF($Q1285+1&gt;$K$3,"T",IF(INDEX($M$4:$M$2003,MATCH($Q1285+1,$P$4:$P$2003,0))&lt;&gt;INDEX($M$4:$M$2003,MATCH($Q1285,$P$4:$P$2003,0)),"B","S"))))</f>
        <v/>
      </c>
      <c r="S1286">
        <f>IF(Q1286="","",IFERROR(MATCH(Q1286,$P$4:$P$2003,0),""))</f>
        <v/>
      </c>
    </row>
    <row r="1287">
      <c r="A1287" s="4">
        <f>IF($R1287="","",IF($R1287="T","Gesamtergebnis",IF($R1287="B",INDEX($M$4:$M$2003,$S1287),INDEX($L$4:$L$2003,$S1287))))</f>
        <v/>
      </c>
      <c r="B1287" s="4">
        <f>IF($R1287="","",IF($R1287="T",$K$3,IF($R1287="B",COUNTIFS($M$4:$M$2003,INDEX($M$4:$M$2003,$S1287),$N$4:$N$2003,1),1)))</f>
        <v/>
      </c>
      <c r="L1287">
        <f>IF($K$1="","",IFERROR(INDEX(Lines!$A:$AA,ROW()-2,$K$1),""))</f>
        <v/>
      </c>
      <c r="M1287">
        <f>IF($K$2="","",IFERROR(INDEX(Lines!$A:$AA,ROW()-2,$K$2),""))</f>
        <v/>
      </c>
      <c r="N1287">
        <f>IF(AND(L1287&lt;&gt;"",LEFT(L1287,1)="N",M1287&lt;&gt;"PICKING",M1287&lt;&gt;""),1,0)</f>
        <v/>
      </c>
      <c r="O1287">
        <f>IF(N1287=1,M1287&amp;"|"&amp;L1287,REPT("z",40))</f>
        <v/>
      </c>
      <c r="P1287">
        <f>IF(N1287=1,COUNTIF($O$4:$O$2003,"&lt;"&amp;O1287)+1,"")</f>
        <v/>
      </c>
      <c r="Q1287">
        <f>IF(OR($R1286="",$R1286="T"),"",IF($R1286="B",$Q1286,IF($Q1286+1&gt;$K$3,"",$Q1286+1)))</f>
        <v/>
      </c>
      <c r="R1287">
        <f>IF(OR($R1286="",$R1286="T"),"",IF($R1286="B","S",IF($Q1286+1&gt;$K$3,"T",IF(INDEX($M$4:$M$2003,MATCH($Q1286+1,$P$4:$P$2003,0))&lt;&gt;INDEX($M$4:$M$2003,MATCH($Q1286,$P$4:$P$2003,0)),"B","S"))))</f>
        <v/>
      </c>
      <c r="S1287">
        <f>IF(Q1287="","",IFERROR(MATCH(Q1287,$P$4:$P$2003,0),""))</f>
        <v/>
      </c>
    </row>
    <row r="1288">
      <c r="A1288" s="4">
        <f>IF($R1288="","",IF($R1288="T","Gesamtergebnis",IF($R1288="B",INDEX($M$4:$M$2003,$S1288),INDEX($L$4:$L$2003,$S1288))))</f>
        <v/>
      </c>
      <c r="B1288" s="4">
        <f>IF($R1288="","",IF($R1288="T",$K$3,IF($R1288="B",COUNTIFS($M$4:$M$2003,INDEX($M$4:$M$2003,$S1288),$N$4:$N$2003,1),1)))</f>
        <v/>
      </c>
      <c r="L1288">
        <f>IF($K$1="","",IFERROR(INDEX(Lines!$A:$AA,ROW()-2,$K$1),""))</f>
        <v/>
      </c>
      <c r="M1288">
        <f>IF($K$2="","",IFERROR(INDEX(Lines!$A:$AA,ROW()-2,$K$2),""))</f>
        <v/>
      </c>
      <c r="N1288">
        <f>IF(AND(L1288&lt;&gt;"",LEFT(L1288,1)="N",M1288&lt;&gt;"PICKING",M1288&lt;&gt;""),1,0)</f>
        <v/>
      </c>
      <c r="O1288">
        <f>IF(N1288=1,M1288&amp;"|"&amp;L1288,REPT("z",40))</f>
        <v/>
      </c>
      <c r="P1288">
        <f>IF(N1288=1,COUNTIF($O$4:$O$2003,"&lt;"&amp;O1288)+1,"")</f>
        <v/>
      </c>
      <c r="Q1288">
        <f>IF(OR($R1287="",$R1287="T"),"",IF($R1287="B",$Q1287,IF($Q1287+1&gt;$K$3,"",$Q1287+1)))</f>
        <v/>
      </c>
      <c r="R1288">
        <f>IF(OR($R1287="",$R1287="T"),"",IF($R1287="B","S",IF($Q1287+1&gt;$K$3,"T",IF(INDEX($M$4:$M$2003,MATCH($Q1287+1,$P$4:$P$2003,0))&lt;&gt;INDEX($M$4:$M$2003,MATCH($Q1287,$P$4:$P$2003,0)),"B","S"))))</f>
        <v/>
      </c>
      <c r="S1288">
        <f>IF(Q1288="","",IFERROR(MATCH(Q1288,$P$4:$P$2003,0),""))</f>
        <v/>
      </c>
    </row>
    <row r="1289">
      <c r="A1289" s="4">
        <f>IF($R1289="","",IF($R1289="T","Gesamtergebnis",IF($R1289="B",INDEX($M$4:$M$2003,$S1289),INDEX($L$4:$L$2003,$S1289))))</f>
        <v/>
      </c>
      <c r="B1289" s="4">
        <f>IF($R1289="","",IF($R1289="T",$K$3,IF($R1289="B",COUNTIFS($M$4:$M$2003,INDEX($M$4:$M$2003,$S1289),$N$4:$N$2003,1),1)))</f>
        <v/>
      </c>
      <c r="L1289">
        <f>IF($K$1="","",IFERROR(INDEX(Lines!$A:$AA,ROW()-2,$K$1),""))</f>
        <v/>
      </c>
      <c r="M1289">
        <f>IF($K$2="","",IFERROR(INDEX(Lines!$A:$AA,ROW()-2,$K$2),""))</f>
        <v/>
      </c>
      <c r="N1289">
        <f>IF(AND(L1289&lt;&gt;"",LEFT(L1289,1)="N",M1289&lt;&gt;"PICKING",M1289&lt;&gt;""),1,0)</f>
        <v/>
      </c>
      <c r="O1289">
        <f>IF(N1289=1,M1289&amp;"|"&amp;L1289,REPT("z",40))</f>
        <v/>
      </c>
      <c r="P1289">
        <f>IF(N1289=1,COUNTIF($O$4:$O$2003,"&lt;"&amp;O1289)+1,"")</f>
        <v/>
      </c>
      <c r="Q1289">
        <f>IF(OR($R1288="",$R1288="T"),"",IF($R1288="B",$Q1288,IF($Q1288+1&gt;$K$3,"",$Q1288+1)))</f>
        <v/>
      </c>
      <c r="R1289">
        <f>IF(OR($R1288="",$R1288="T"),"",IF($R1288="B","S",IF($Q1288+1&gt;$K$3,"T",IF(INDEX($M$4:$M$2003,MATCH($Q1288+1,$P$4:$P$2003,0))&lt;&gt;INDEX($M$4:$M$2003,MATCH($Q1288,$P$4:$P$2003,0)),"B","S"))))</f>
        <v/>
      </c>
      <c r="S1289">
        <f>IF(Q1289="","",IFERROR(MATCH(Q1289,$P$4:$P$2003,0),""))</f>
        <v/>
      </c>
    </row>
    <row r="1290">
      <c r="A1290" s="4">
        <f>IF($R1290="","",IF($R1290="T","Gesamtergebnis",IF($R1290="B",INDEX($M$4:$M$2003,$S1290),INDEX($L$4:$L$2003,$S1290))))</f>
        <v/>
      </c>
      <c r="B1290" s="4">
        <f>IF($R1290="","",IF($R1290="T",$K$3,IF($R1290="B",COUNTIFS($M$4:$M$2003,INDEX($M$4:$M$2003,$S1290),$N$4:$N$2003,1),1)))</f>
        <v/>
      </c>
      <c r="L1290">
        <f>IF($K$1="","",IFERROR(INDEX(Lines!$A:$AA,ROW()-2,$K$1),""))</f>
        <v/>
      </c>
      <c r="M1290">
        <f>IF($K$2="","",IFERROR(INDEX(Lines!$A:$AA,ROW()-2,$K$2),""))</f>
        <v/>
      </c>
      <c r="N1290">
        <f>IF(AND(L1290&lt;&gt;"",LEFT(L1290,1)="N",M1290&lt;&gt;"PICKING",M1290&lt;&gt;""),1,0)</f>
        <v/>
      </c>
      <c r="O1290">
        <f>IF(N1290=1,M1290&amp;"|"&amp;L1290,REPT("z",40))</f>
        <v/>
      </c>
      <c r="P1290">
        <f>IF(N1290=1,COUNTIF($O$4:$O$2003,"&lt;"&amp;O1290)+1,"")</f>
        <v/>
      </c>
      <c r="Q1290">
        <f>IF(OR($R1289="",$R1289="T"),"",IF($R1289="B",$Q1289,IF($Q1289+1&gt;$K$3,"",$Q1289+1)))</f>
        <v/>
      </c>
      <c r="R1290">
        <f>IF(OR($R1289="",$R1289="T"),"",IF($R1289="B","S",IF($Q1289+1&gt;$K$3,"T",IF(INDEX($M$4:$M$2003,MATCH($Q1289+1,$P$4:$P$2003,0))&lt;&gt;INDEX($M$4:$M$2003,MATCH($Q1289,$P$4:$P$2003,0)),"B","S"))))</f>
        <v/>
      </c>
      <c r="S1290">
        <f>IF(Q1290="","",IFERROR(MATCH(Q1290,$P$4:$P$2003,0),""))</f>
        <v/>
      </c>
    </row>
    <row r="1291">
      <c r="A1291" s="4">
        <f>IF($R1291="","",IF($R1291="T","Gesamtergebnis",IF($R1291="B",INDEX($M$4:$M$2003,$S1291),INDEX($L$4:$L$2003,$S1291))))</f>
        <v/>
      </c>
      <c r="B1291" s="4">
        <f>IF($R1291="","",IF($R1291="T",$K$3,IF($R1291="B",COUNTIFS($M$4:$M$2003,INDEX($M$4:$M$2003,$S1291),$N$4:$N$2003,1),1)))</f>
        <v/>
      </c>
      <c r="L1291">
        <f>IF($K$1="","",IFERROR(INDEX(Lines!$A:$AA,ROW()-2,$K$1),""))</f>
        <v/>
      </c>
      <c r="M1291">
        <f>IF($K$2="","",IFERROR(INDEX(Lines!$A:$AA,ROW()-2,$K$2),""))</f>
        <v/>
      </c>
      <c r="N1291">
        <f>IF(AND(L1291&lt;&gt;"",LEFT(L1291,1)="N",M1291&lt;&gt;"PICKING",M1291&lt;&gt;""),1,0)</f>
        <v/>
      </c>
      <c r="O1291">
        <f>IF(N1291=1,M1291&amp;"|"&amp;L1291,REPT("z",40))</f>
        <v/>
      </c>
      <c r="P1291">
        <f>IF(N1291=1,COUNTIF($O$4:$O$2003,"&lt;"&amp;O1291)+1,"")</f>
        <v/>
      </c>
      <c r="Q1291">
        <f>IF(OR($R1290="",$R1290="T"),"",IF($R1290="B",$Q1290,IF($Q1290+1&gt;$K$3,"",$Q1290+1)))</f>
        <v/>
      </c>
      <c r="R1291">
        <f>IF(OR($R1290="",$R1290="T"),"",IF($R1290="B","S",IF($Q1290+1&gt;$K$3,"T",IF(INDEX($M$4:$M$2003,MATCH($Q1290+1,$P$4:$P$2003,0))&lt;&gt;INDEX($M$4:$M$2003,MATCH($Q1290,$P$4:$P$2003,0)),"B","S"))))</f>
        <v/>
      </c>
      <c r="S1291">
        <f>IF(Q1291="","",IFERROR(MATCH(Q1291,$P$4:$P$2003,0),""))</f>
        <v/>
      </c>
    </row>
    <row r="1292">
      <c r="A1292" s="4">
        <f>IF($R1292="","",IF($R1292="T","Gesamtergebnis",IF($R1292="B",INDEX($M$4:$M$2003,$S1292),INDEX($L$4:$L$2003,$S1292))))</f>
        <v/>
      </c>
      <c r="B1292" s="4">
        <f>IF($R1292="","",IF($R1292="T",$K$3,IF($R1292="B",COUNTIFS($M$4:$M$2003,INDEX($M$4:$M$2003,$S1292),$N$4:$N$2003,1),1)))</f>
        <v/>
      </c>
      <c r="L1292">
        <f>IF($K$1="","",IFERROR(INDEX(Lines!$A:$AA,ROW()-2,$K$1),""))</f>
        <v/>
      </c>
      <c r="M1292">
        <f>IF($K$2="","",IFERROR(INDEX(Lines!$A:$AA,ROW()-2,$K$2),""))</f>
        <v/>
      </c>
      <c r="N1292">
        <f>IF(AND(L1292&lt;&gt;"",LEFT(L1292,1)="N",M1292&lt;&gt;"PICKING",M1292&lt;&gt;""),1,0)</f>
        <v/>
      </c>
      <c r="O1292">
        <f>IF(N1292=1,M1292&amp;"|"&amp;L1292,REPT("z",40))</f>
        <v/>
      </c>
      <c r="P1292">
        <f>IF(N1292=1,COUNTIF($O$4:$O$2003,"&lt;"&amp;O1292)+1,"")</f>
        <v/>
      </c>
      <c r="Q1292">
        <f>IF(OR($R1291="",$R1291="T"),"",IF($R1291="B",$Q1291,IF($Q1291+1&gt;$K$3,"",$Q1291+1)))</f>
        <v/>
      </c>
      <c r="R1292">
        <f>IF(OR($R1291="",$R1291="T"),"",IF($R1291="B","S",IF($Q1291+1&gt;$K$3,"T",IF(INDEX($M$4:$M$2003,MATCH($Q1291+1,$P$4:$P$2003,0))&lt;&gt;INDEX($M$4:$M$2003,MATCH($Q1291,$P$4:$P$2003,0)),"B","S"))))</f>
        <v/>
      </c>
      <c r="S1292">
        <f>IF(Q1292="","",IFERROR(MATCH(Q1292,$P$4:$P$2003,0),""))</f>
        <v/>
      </c>
    </row>
    <row r="1293">
      <c r="A1293" s="4">
        <f>IF($R1293="","",IF($R1293="T","Gesamtergebnis",IF($R1293="B",INDEX($M$4:$M$2003,$S1293),INDEX($L$4:$L$2003,$S1293))))</f>
        <v/>
      </c>
      <c r="B1293" s="4">
        <f>IF($R1293="","",IF($R1293="T",$K$3,IF($R1293="B",COUNTIFS($M$4:$M$2003,INDEX($M$4:$M$2003,$S1293),$N$4:$N$2003,1),1)))</f>
        <v/>
      </c>
      <c r="L1293">
        <f>IF($K$1="","",IFERROR(INDEX(Lines!$A:$AA,ROW()-2,$K$1),""))</f>
        <v/>
      </c>
      <c r="M1293">
        <f>IF($K$2="","",IFERROR(INDEX(Lines!$A:$AA,ROW()-2,$K$2),""))</f>
        <v/>
      </c>
      <c r="N1293">
        <f>IF(AND(L1293&lt;&gt;"",LEFT(L1293,1)="N",M1293&lt;&gt;"PICKING",M1293&lt;&gt;""),1,0)</f>
        <v/>
      </c>
      <c r="O1293">
        <f>IF(N1293=1,M1293&amp;"|"&amp;L1293,REPT("z",40))</f>
        <v/>
      </c>
      <c r="P1293">
        <f>IF(N1293=1,COUNTIF($O$4:$O$2003,"&lt;"&amp;O1293)+1,"")</f>
        <v/>
      </c>
      <c r="Q1293">
        <f>IF(OR($R1292="",$R1292="T"),"",IF($R1292="B",$Q1292,IF($Q1292+1&gt;$K$3,"",$Q1292+1)))</f>
        <v/>
      </c>
      <c r="R1293">
        <f>IF(OR($R1292="",$R1292="T"),"",IF($R1292="B","S",IF($Q1292+1&gt;$K$3,"T",IF(INDEX($M$4:$M$2003,MATCH($Q1292+1,$P$4:$P$2003,0))&lt;&gt;INDEX($M$4:$M$2003,MATCH($Q1292,$P$4:$P$2003,0)),"B","S"))))</f>
        <v/>
      </c>
      <c r="S1293">
        <f>IF(Q1293="","",IFERROR(MATCH(Q1293,$P$4:$P$2003,0),""))</f>
        <v/>
      </c>
    </row>
    <row r="1294">
      <c r="A1294" s="4">
        <f>IF($R1294="","",IF($R1294="T","Gesamtergebnis",IF($R1294="B",INDEX($M$4:$M$2003,$S1294),INDEX($L$4:$L$2003,$S1294))))</f>
        <v/>
      </c>
      <c r="B1294" s="4">
        <f>IF($R1294="","",IF($R1294="T",$K$3,IF($R1294="B",COUNTIFS($M$4:$M$2003,INDEX($M$4:$M$2003,$S1294),$N$4:$N$2003,1),1)))</f>
        <v/>
      </c>
      <c r="L1294">
        <f>IF($K$1="","",IFERROR(INDEX(Lines!$A:$AA,ROW()-2,$K$1),""))</f>
        <v/>
      </c>
      <c r="M1294">
        <f>IF($K$2="","",IFERROR(INDEX(Lines!$A:$AA,ROW()-2,$K$2),""))</f>
        <v/>
      </c>
      <c r="N1294">
        <f>IF(AND(L1294&lt;&gt;"",LEFT(L1294,1)="N",M1294&lt;&gt;"PICKING",M1294&lt;&gt;""),1,0)</f>
        <v/>
      </c>
      <c r="O1294">
        <f>IF(N1294=1,M1294&amp;"|"&amp;L1294,REPT("z",40))</f>
        <v/>
      </c>
      <c r="P1294">
        <f>IF(N1294=1,COUNTIF($O$4:$O$2003,"&lt;"&amp;O1294)+1,"")</f>
        <v/>
      </c>
      <c r="Q1294">
        <f>IF(OR($R1293="",$R1293="T"),"",IF($R1293="B",$Q1293,IF($Q1293+1&gt;$K$3,"",$Q1293+1)))</f>
        <v/>
      </c>
      <c r="R1294">
        <f>IF(OR($R1293="",$R1293="T"),"",IF($R1293="B","S",IF($Q1293+1&gt;$K$3,"T",IF(INDEX($M$4:$M$2003,MATCH($Q1293+1,$P$4:$P$2003,0))&lt;&gt;INDEX($M$4:$M$2003,MATCH($Q1293,$P$4:$P$2003,0)),"B","S"))))</f>
        <v/>
      </c>
      <c r="S1294">
        <f>IF(Q1294="","",IFERROR(MATCH(Q1294,$P$4:$P$2003,0),""))</f>
        <v/>
      </c>
    </row>
    <row r="1295">
      <c r="A1295" s="4">
        <f>IF($R1295="","",IF($R1295="T","Gesamtergebnis",IF($R1295="B",INDEX($M$4:$M$2003,$S1295),INDEX($L$4:$L$2003,$S1295))))</f>
        <v/>
      </c>
      <c r="B1295" s="4">
        <f>IF($R1295="","",IF($R1295="T",$K$3,IF($R1295="B",COUNTIFS($M$4:$M$2003,INDEX($M$4:$M$2003,$S1295),$N$4:$N$2003,1),1)))</f>
        <v/>
      </c>
      <c r="L1295">
        <f>IF($K$1="","",IFERROR(INDEX(Lines!$A:$AA,ROW()-2,$K$1),""))</f>
        <v/>
      </c>
      <c r="M1295">
        <f>IF($K$2="","",IFERROR(INDEX(Lines!$A:$AA,ROW()-2,$K$2),""))</f>
        <v/>
      </c>
      <c r="N1295">
        <f>IF(AND(L1295&lt;&gt;"",LEFT(L1295,1)="N",M1295&lt;&gt;"PICKING",M1295&lt;&gt;""),1,0)</f>
        <v/>
      </c>
      <c r="O1295">
        <f>IF(N1295=1,M1295&amp;"|"&amp;L1295,REPT("z",40))</f>
        <v/>
      </c>
      <c r="P1295">
        <f>IF(N1295=1,COUNTIF($O$4:$O$2003,"&lt;"&amp;O1295)+1,"")</f>
        <v/>
      </c>
      <c r="Q1295">
        <f>IF(OR($R1294="",$R1294="T"),"",IF($R1294="B",$Q1294,IF($Q1294+1&gt;$K$3,"",$Q1294+1)))</f>
        <v/>
      </c>
      <c r="R1295">
        <f>IF(OR($R1294="",$R1294="T"),"",IF($R1294="B","S",IF($Q1294+1&gt;$K$3,"T",IF(INDEX($M$4:$M$2003,MATCH($Q1294+1,$P$4:$P$2003,0))&lt;&gt;INDEX($M$4:$M$2003,MATCH($Q1294,$P$4:$P$2003,0)),"B","S"))))</f>
        <v/>
      </c>
      <c r="S1295">
        <f>IF(Q1295="","",IFERROR(MATCH(Q1295,$P$4:$P$2003,0),""))</f>
        <v/>
      </c>
    </row>
    <row r="1296">
      <c r="A1296" s="4">
        <f>IF($R1296="","",IF($R1296="T","Gesamtergebnis",IF($R1296="B",INDEX($M$4:$M$2003,$S1296),INDEX($L$4:$L$2003,$S1296))))</f>
        <v/>
      </c>
      <c r="B1296" s="4">
        <f>IF($R1296="","",IF($R1296="T",$K$3,IF($R1296="B",COUNTIFS($M$4:$M$2003,INDEX($M$4:$M$2003,$S1296),$N$4:$N$2003,1),1)))</f>
        <v/>
      </c>
      <c r="L1296">
        <f>IF($K$1="","",IFERROR(INDEX(Lines!$A:$AA,ROW()-2,$K$1),""))</f>
        <v/>
      </c>
      <c r="M1296">
        <f>IF($K$2="","",IFERROR(INDEX(Lines!$A:$AA,ROW()-2,$K$2),""))</f>
        <v/>
      </c>
      <c r="N1296">
        <f>IF(AND(L1296&lt;&gt;"",LEFT(L1296,1)="N",M1296&lt;&gt;"PICKING",M1296&lt;&gt;""),1,0)</f>
        <v/>
      </c>
      <c r="O1296">
        <f>IF(N1296=1,M1296&amp;"|"&amp;L1296,REPT("z",40))</f>
        <v/>
      </c>
      <c r="P1296">
        <f>IF(N1296=1,COUNTIF($O$4:$O$2003,"&lt;"&amp;O1296)+1,"")</f>
        <v/>
      </c>
      <c r="Q1296">
        <f>IF(OR($R1295="",$R1295="T"),"",IF($R1295="B",$Q1295,IF($Q1295+1&gt;$K$3,"",$Q1295+1)))</f>
        <v/>
      </c>
      <c r="R1296">
        <f>IF(OR($R1295="",$R1295="T"),"",IF($R1295="B","S",IF($Q1295+1&gt;$K$3,"T",IF(INDEX($M$4:$M$2003,MATCH($Q1295+1,$P$4:$P$2003,0))&lt;&gt;INDEX($M$4:$M$2003,MATCH($Q1295,$P$4:$P$2003,0)),"B","S"))))</f>
        <v/>
      </c>
      <c r="S1296">
        <f>IF(Q1296="","",IFERROR(MATCH(Q1296,$P$4:$P$2003,0),""))</f>
        <v/>
      </c>
    </row>
    <row r="1297">
      <c r="A1297" s="4">
        <f>IF($R1297="","",IF($R1297="T","Gesamtergebnis",IF($R1297="B",INDEX($M$4:$M$2003,$S1297),INDEX($L$4:$L$2003,$S1297))))</f>
        <v/>
      </c>
      <c r="B1297" s="4">
        <f>IF($R1297="","",IF($R1297="T",$K$3,IF($R1297="B",COUNTIFS($M$4:$M$2003,INDEX($M$4:$M$2003,$S1297),$N$4:$N$2003,1),1)))</f>
        <v/>
      </c>
      <c r="L1297">
        <f>IF($K$1="","",IFERROR(INDEX(Lines!$A:$AA,ROW()-2,$K$1),""))</f>
        <v/>
      </c>
      <c r="M1297">
        <f>IF($K$2="","",IFERROR(INDEX(Lines!$A:$AA,ROW()-2,$K$2),""))</f>
        <v/>
      </c>
      <c r="N1297">
        <f>IF(AND(L1297&lt;&gt;"",LEFT(L1297,1)="N",M1297&lt;&gt;"PICKING",M1297&lt;&gt;""),1,0)</f>
        <v/>
      </c>
      <c r="O1297">
        <f>IF(N1297=1,M1297&amp;"|"&amp;L1297,REPT("z",40))</f>
        <v/>
      </c>
      <c r="P1297">
        <f>IF(N1297=1,COUNTIF($O$4:$O$2003,"&lt;"&amp;O1297)+1,"")</f>
        <v/>
      </c>
      <c r="Q1297">
        <f>IF(OR($R1296="",$R1296="T"),"",IF($R1296="B",$Q1296,IF($Q1296+1&gt;$K$3,"",$Q1296+1)))</f>
        <v/>
      </c>
      <c r="R1297">
        <f>IF(OR($R1296="",$R1296="T"),"",IF($R1296="B","S",IF($Q1296+1&gt;$K$3,"T",IF(INDEX($M$4:$M$2003,MATCH($Q1296+1,$P$4:$P$2003,0))&lt;&gt;INDEX($M$4:$M$2003,MATCH($Q1296,$P$4:$P$2003,0)),"B","S"))))</f>
        <v/>
      </c>
      <c r="S1297">
        <f>IF(Q1297="","",IFERROR(MATCH(Q1297,$P$4:$P$2003,0),""))</f>
        <v/>
      </c>
    </row>
    <row r="1298">
      <c r="A1298" s="4">
        <f>IF($R1298="","",IF($R1298="T","Gesamtergebnis",IF($R1298="B",INDEX($M$4:$M$2003,$S1298),INDEX($L$4:$L$2003,$S1298))))</f>
        <v/>
      </c>
      <c r="B1298" s="4">
        <f>IF($R1298="","",IF($R1298="T",$K$3,IF($R1298="B",COUNTIFS($M$4:$M$2003,INDEX($M$4:$M$2003,$S1298),$N$4:$N$2003,1),1)))</f>
        <v/>
      </c>
      <c r="L1298">
        <f>IF($K$1="","",IFERROR(INDEX(Lines!$A:$AA,ROW()-2,$K$1),""))</f>
        <v/>
      </c>
      <c r="M1298">
        <f>IF($K$2="","",IFERROR(INDEX(Lines!$A:$AA,ROW()-2,$K$2),""))</f>
        <v/>
      </c>
      <c r="N1298">
        <f>IF(AND(L1298&lt;&gt;"",LEFT(L1298,1)="N",M1298&lt;&gt;"PICKING",M1298&lt;&gt;""),1,0)</f>
        <v/>
      </c>
      <c r="O1298">
        <f>IF(N1298=1,M1298&amp;"|"&amp;L1298,REPT("z",40))</f>
        <v/>
      </c>
      <c r="P1298">
        <f>IF(N1298=1,COUNTIF($O$4:$O$2003,"&lt;"&amp;O1298)+1,"")</f>
        <v/>
      </c>
      <c r="Q1298">
        <f>IF(OR($R1297="",$R1297="T"),"",IF($R1297="B",$Q1297,IF($Q1297+1&gt;$K$3,"",$Q1297+1)))</f>
        <v/>
      </c>
      <c r="R1298">
        <f>IF(OR($R1297="",$R1297="T"),"",IF($R1297="B","S",IF($Q1297+1&gt;$K$3,"T",IF(INDEX($M$4:$M$2003,MATCH($Q1297+1,$P$4:$P$2003,0))&lt;&gt;INDEX($M$4:$M$2003,MATCH($Q1297,$P$4:$P$2003,0)),"B","S"))))</f>
        <v/>
      </c>
      <c r="S1298">
        <f>IF(Q1298="","",IFERROR(MATCH(Q1298,$P$4:$P$2003,0),""))</f>
        <v/>
      </c>
    </row>
    <row r="1299">
      <c r="A1299" s="4">
        <f>IF($R1299="","",IF($R1299="T","Gesamtergebnis",IF($R1299="B",INDEX($M$4:$M$2003,$S1299),INDEX($L$4:$L$2003,$S1299))))</f>
        <v/>
      </c>
      <c r="B1299" s="4">
        <f>IF($R1299="","",IF($R1299="T",$K$3,IF($R1299="B",COUNTIFS($M$4:$M$2003,INDEX($M$4:$M$2003,$S1299),$N$4:$N$2003,1),1)))</f>
        <v/>
      </c>
      <c r="L1299">
        <f>IF($K$1="","",IFERROR(INDEX(Lines!$A:$AA,ROW()-2,$K$1),""))</f>
        <v/>
      </c>
      <c r="M1299">
        <f>IF($K$2="","",IFERROR(INDEX(Lines!$A:$AA,ROW()-2,$K$2),""))</f>
        <v/>
      </c>
      <c r="N1299">
        <f>IF(AND(L1299&lt;&gt;"",LEFT(L1299,1)="N",M1299&lt;&gt;"PICKING",M1299&lt;&gt;""),1,0)</f>
        <v/>
      </c>
      <c r="O1299">
        <f>IF(N1299=1,M1299&amp;"|"&amp;L1299,REPT("z",40))</f>
        <v/>
      </c>
      <c r="P1299">
        <f>IF(N1299=1,COUNTIF($O$4:$O$2003,"&lt;"&amp;O1299)+1,"")</f>
        <v/>
      </c>
      <c r="Q1299">
        <f>IF(OR($R1298="",$R1298="T"),"",IF($R1298="B",$Q1298,IF($Q1298+1&gt;$K$3,"",$Q1298+1)))</f>
        <v/>
      </c>
      <c r="R1299">
        <f>IF(OR($R1298="",$R1298="T"),"",IF($R1298="B","S",IF($Q1298+1&gt;$K$3,"T",IF(INDEX($M$4:$M$2003,MATCH($Q1298+1,$P$4:$P$2003,0))&lt;&gt;INDEX($M$4:$M$2003,MATCH($Q1298,$P$4:$P$2003,0)),"B","S"))))</f>
        <v/>
      </c>
      <c r="S1299">
        <f>IF(Q1299="","",IFERROR(MATCH(Q1299,$P$4:$P$2003,0),""))</f>
        <v/>
      </c>
    </row>
    <row r="1300">
      <c r="A1300" s="4">
        <f>IF($R1300="","",IF($R1300="T","Gesamtergebnis",IF($R1300="B",INDEX($M$4:$M$2003,$S1300),INDEX($L$4:$L$2003,$S1300))))</f>
        <v/>
      </c>
      <c r="B1300" s="4">
        <f>IF($R1300="","",IF($R1300="T",$K$3,IF($R1300="B",COUNTIFS($M$4:$M$2003,INDEX($M$4:$M$2003,$S1300),$N$4:$N$2003,1),1)))</f>
        <v/>
      </c>
      <c r="L1300">
        <f>IF($K$1="","",IFERROR(INDEX(Lines!$A:$AA,ROW()-2,$K$1),""))</f>
        <v/>
      </c>
      <c r="M1300">
        <f>IF($K$2="","",IFERROR(INDEX(Lines!$A:$AA,ROW()-2,$K$2),""))</f>
        <v/>
      </c>
      <c r="N1300">
        <f>IF(AND(L1300&lt;&gt;"",LEFT(L1300,1)="N",M1300&lt;&gt;"PICKING",M1300&lt;&gt;""),1,0)</f>
        <v/>
      </c>
      <c r="O1300">
        <f>IF(N1300=1,M1300&amp;"|"&amp;L1300,REPT("z",40))</f>
        <v/>
      </c>
      <c r="P1300">
        <f>IF(N1300=1,COUNTIF($O$4:$O$2003,"&lt;"&amp;O1300)+1,"")</f>
        <v/>
      </c>
      <c r="Q1300">
        <f>IF(OR($R1299="",$R1299="T"),"",IF($R1299="B",$Q1299,IF($Q1299+1&gt;$K$3,"",$Q1299+1)))</f>
        <v/>
      </c>
      <c r="R1300">
        <f>IF(OR($R1299="",$R1299="T"),"",IF($R1299="B","S",IF($Q1299+1&gt;$K$3,"T",IF(INDEX($M$4:$M$2003,MATCH($Q1299+1,$P$4:$P$2003,0))&lt;&gt;INDEX($M$4:$M$2003,MATCH($Q1299,$P$4:$P$2003,0)),"B","S"))))</f>
        <v/>
      </c>
      <c r="S1300">
        <f>IF(Q1300="","",IFERROR(MATCH(Q1300,$P$4:$P$2003,0),""))</f>
        <v/>
      </c>
    </row>
    <row r="1301">
      <c r="A1301" s="4">
        <f>IF($R1301="","",IF($R1301="T","Gesamtergebnis",IF($R1301="B",INDEX($M$4:$M$2003,$S1301),INDEX($L$4:$L$2003,$S1301))))</f>
        <v/>
      </c>
      <c r="B1301" s="4">
        <f>IF($R1301="","",IF($R1301="T",$K$3,IF($R1301="B",COUNTIFS($M$4:$M$2003,INDEX($M$4:$M$2003,$S1301),$N$4:$N$2003,1),1)))</f>
        <v/>
      </c>
      <c r="L1301">
        <f>IF($K$1="","",IFERROR(INDEX(Lines!$A:$AA,ROW()-2,$K$1),""))</f>
        <v/>
      </c>
      <c r="M1301">
        <f>IF($K$2="","",IFERROR(INDEX(Lines!$A:$AA,ROW()-2,$K$2),""))</f>
        <v/>
      </c>
      <c r="N1301">
        <f>IF(AND(L1301&lt;&gt;"",LEFT(L1301,1)="N",M1301&lt;&gt;"PICKING",M1301&lt;&gt;""),1,0)</f>
        <v/>
      </c>
      <c r="O1301">
        <f>IF(N1301=1,M1301&amp;"|"&amp;L1301,REPT("z",40))</f>
        <v/>
      </c>
      <c r="P1301">
        <f>IF(N1301=1,COUNTIF($O$4:$O$2003,"&lt;"&amp;O1301)+1,"")</f>
        <v/>
      </c>
      <c r="Q1301">
        <f>IF(OR($R1300="",$R1300="T"),"",IF($R1300="B",$Q1300,IF($Q1300+1&gt;$K$3,"",$Q1300+1)))</f>
        <v/>
      </c>
      <c r="R1301">
        <f>IF(OR($R1300="",$R1300="T"),"",IF($R1300="B","S",IF($Q1300+1&gt;$K$3,"T",IF(INDEX($M$4:$M$2003,MATCH($Q1300+1,$P$4:$P$2003,0))&lt;&gt;INDEX($M$4:$M$2003,MATCH($Q1300,$P$4:$P$2003,0)),"B","S"))))</f>
        <v/>
      </c>
      <c r="S1301">
        <f>IF(Q1301="","",IFERROR(MATCH(Q1301,$P$4:$P$2003,0),""))</f>
        <v/>
      </c>
    </row>
    <row r="1302">
      <c r="A1302" s="4">
        <f>IF($R1302="","",IF($R1302="T","Gesamtergebnis",IF($R1302="B",INDEX($M$4:$M$2003,$S1302),INDEX($L$4:$L$2003,$S1302))))</f>
        <v/>
      </c>
      <c r="B1302" s="4">
        <f>IF($R1302="","",IF($R1302="T",$K$3,IF($R1302="B",COUNTIFS($M$4:$M$2003,INDEX($M$4:$M$2003,$S1302),$N$4:$N$2003,1),1)))</f>
        <v/>
      </c>
      <c r="L1302">
        <f>IF($K$1="","",IFERROR(INDEX(Lines!$A:$AA,ROW()-2,$K$1),""))</f>
        <v/>
      </c>
      <c r="M1302">
        <f>IF($K$2="","",IFERROR(INDEX(Lines!$A:$AA,ROW()-2,$K$2),""))</f>
        <v/>
      </c>
      <c r="N1302">
        <f>IF(AND(L1302&lt;&gt;"",LEFT(L1302,1)="N",M1302&lt;&gt;"PICKING",M1302&lt;&gt;""),1,0)</f>
        <v/>
      </c>
      <c r="O1302">
        <f>IF(N1302=1,M1302&amp;"|"&amp;L1302,REPT("z",40))</f>
        <v/>
      </c>
      <c r="P1302">
        <f>IF(N1302=1,COUNTIF($O$4:$O$2003,"&lt;"&amp;O1302)+1,"")</f>
        <v/>
      </c>
      <c r="Q1302">
        <f>IF(OR($R1301="",$R1301="T"),"",IF($R1301="B",$Q1301,IF($Q1301+1&gt;$K$3,"",$Q1301+1)))</f>
        <v/>
      </c>
      <c r="R1302">
        <f>IF(OR($R1301="",$R1301="T"),"",IF($R1301="B","S",IF($Q1301+1&gt;$K$3,"T",IF(INDEX($M$4:$M$2003,MATCH($Q1301+1,$P$4:$P$2003,0))&lt;&gt;INDEX($M$4:$M$2003,MATCH($Q1301,$P$4:$P$2003,0)),"B","S"))))</f>
        <v/>
      </c>
      <c r="S1302">
        <f>IF(Q1302="","",IFERROR(MATCH(Q1302,$P$4:$P$2003,0),""))</f>
        <v/>
      </c>
    </row>
    <row r="1303">
      <c r="A1303" s="4">
        <f>IF($R1303="","",IF($R1303="T","Gesamtergebnis",IF($R1303="B",INDEX($M$4:$M$2003,$S1303),INDEX($L$4:$L$2003,$S1303))))</f>
        <v/>
      </c>
      <c r="B1303" s="4">
        <f>IF($R1303="","",IF($R1303="T",$K$3,IF($R1303="B",COUNTIFS($M$4:$M$2003,INDEX($M$4:$M$2003,$S1303),$N$4:$N$2003,1),1)))</f>
        <v/>
      </c>
      <c r="L1303">
        <f>IF($K$1="","",IFERROR(INDEX(Lines!$A:$AA,ROW()-2,$K$1),""))</f>
        <v/>
      </c>
      <c r="M1303">
        <f>IF($K$2="","",IFERROR(INDEX(Lines!$A:$AA,ROW()-2,$K$2),""))</f>
        <v/>
      </c>
      <c r="N1303">
        <f>IF(AND(L1303&lt;&gt;"",LEFT(L1303,1)="N",M1303&lt;&gt;"PICKING",M1303&lt;&gt;""),1,0)</f>
        <v/>
      </c>
      <c r="O1303">
        <f>IF(N1303=1,M1303&amp;"|"&amp;L1303,REPT("z",40))</f>
        <v/>
      </c>
      <c r="P1303">
        <f>IF(N1303=1,COUNTIF($O$4:$O$2003,"&lt;"&amp;O1303)+1,"")</f>
        <v/>
      </c>
      <c r="Q1303">
        <f>IF(OR($R1302="",$R1302="T"),"",IF($R1302="B",$Q1302,IF($Q1302+1&gt;$K$3,"",$Q1302+1)))</f>
        <v/>
      </c>
      <c r="R1303">
        <f>IF(OR($R1302="",$R1302="T"),"",IF($R1302="B","S",IF($Q1302+1&gt;$K$3,"T",IF(INDEX($M$4:$M$2003,MATCH($Q1302+1,$P$4:$P$2003,0))&lt;&gt;INDEX($M$4:$M$2003,MATCH($Q1302,$P$4:$P$2003,0)),"B","S"))))</f>
        <v/>
      </c>
      <c r="S1303">
        <f>IF(Q1303="","",IFERROR(MATCH(Q1303,$P$4:$P$2003,0),""))</f>
        <v/>
      </c>
    </row>
    <row r="1304">
      <c r="A1304" s="4">
        <f>IF($R1304="","",IF($R1304="T","Gesamtergebnis",IF($R1304="B",INDEX($M$4:$M$2003,$S1304),INDEX($L$4:$L$2003,$S1304))))</f>
        <v/>
      </c>
      <c r="B1304" s="4">
        <f>IF($R1304="","",IF($R1304="T",$K$3,IF($R1304="B",COUNTIFS($M$4:$M$2003,INDEX($M$4:$M$2003,$S1304),$N$4:$N$2003,1),1)))</f>
        <v/>
      </c>
      <c r="L1304">
        <f>IF($K$1="","",IFERROR(INDEX(Lines!$A:$AA,ROW()-2,$K$1),""))</f>
        <v/>
      </c>
      <c r="M1304">
        <f>IF($K$2="","",IFERROR(INDEX(Lines!$A:$AA,ROW()-2,$K$2),""))</f>
        <v/>
      </c>
      <c r="N1304">
        <f>IF(AND(L1304&lt;&gt;"",LEFT(L1304,1)="N",M1304&lt;&gt;"PICKING",M1304&lt;&gt;""),1,0)</f>
        <v/>
      </c>
      <c r="O1304">
        <f>IF(N1304=1,M1304&amp;"|"&amp;L1304,REPT("z",40))</f>
        <v/>
      </c>
      <c r="P1304">
        <f>IF(N1304=1,COUNTIF($O$4:$O$2003,"&lt;"&amp;O1304)+1,"")</f>
        <v/>
      </c>
      <c r="Q1304">
        <f>IF(OR($R1303="",$R1303="T"),"",IF($R1303="B",$Q1303,IF($Q1303+1&gt;$K$3,"",$Q1303+1)))</f>
        <v/>
      </c>
      <c r="R1304">
        <f>IF(OR($R1303="",$R1303="T"),"",IF($R1303="B","S",IF($Q1303+1&gt;$K$3,"T",IF(INDEX($M$4:$M$2003,MATCH($Q1303+1,$P$4:$P$2003,0))&lt;&gt;INDEX($M$4:$M$2003,MATCH($Q1303,$P$4:$P$2003,0)),"B","S"))))</f>
        <v/>
      </c>
      <c r="S1304">
        <f>IF(Q1304="","",IFERROR(MATCH(Q1304,$P$4:$P$2003,0),""))</f>
        <v/>
      </c>
    </row>
    <row r="1305">
      <c r="A1305" s="4">
        <f>IF($R1305="","",IF($R1305="T","Gesamtergebnis",IF($R1305="B",INDEX($M$4:$M$2003,$S1305),INDEX($L$4:$L$2003,$S1305))))</f>
        <v/>
      </c>
      <c r="B1305" s="4">
        <f>IF($R1305="","",IF($R1305="T",$K$3,IF($R1305="B",COUNTIFS($M$4:$M$2003,INDEX($M$4:$M$2003,$S1305),$N$4:$N$2003,1),1)))</f>
        <v/>
      </c>
      <c r="L1305">
        <f>IF($K$1="","",IFERROR(INDEX(Lines!$A:$AA,ROW()-2,$K$1),""))</f>
        <v/>
      </c>
      <c r="M1305">
        <f>IF($K$2="","",IFERROR(INDEX(Lines!$A:$AA,ROW()-2,$K$2),""))</f>
        <v/>
      </c>
      <c r="N1305">
        <f>IF(AND(L1305&lt;&gt;"",LEFT(L1305,1)="N",M1305&lt;&gt;"PICKING",M1305&lt;&gt;""),1,0)</f>
        <v/>
      </c>
      <c r="O1305">
        <f>IF(N1305=1,M1305&amp;"|"&amp;L1305,REPT("z",40))</f>
        <v/>
      </c>
      <c r="P1305">
        <f>IF(N1305=1,COUNTIF($O$4:$O$2003,"&lt;"&amp;O1305)+1,"")</f>
        <v/>
      </c>
      <c r="Q1305">
        <f>IF(OR($R1304="",$R1304="T"),"",IF($R1304="B",$Q1304,IF($Q1304+1&gt;$K$3,"",$Q1304+1)))</f>
        <v/>
      </c>
      <c r="R1305">
        <f>IF(OR($R1304="",$R1304="T"),"",IF($R1304="B","S",IF($Q1304+1&gt;$K$3,"T",IF(INDEX($M$4:$M$2003,MATCH($Q1304+1,$P$4:$P$2003,0))&lt;&gt;INDEX($M$4:$M$2003,MATCH($Q1304,$P$4:$P$2003,0)),"B","S"))))</f>
        <v/>
      </c>
      <c r="S1305">
        <f>IF(Q1305="","",IFERROR(MATCH(Q1305,$P$4:$P$2003,0),""))</f>
        <v/>
      </c>
    </row>
    <row r="1306">
      <c r="A1306" s="4">
        <f>IF($R1306="","",IF($R1306="T","Gesamtergebnis",IF($R1306="B",INDEX($M$4:$M$2003,$S1306),INDEX($L$4:$L$2003,$S1306))))</f>
        <v/>
      </c>
      <c r="B1306" s="4">
        <f>IF($R1306="","",IF($R1306="T",$K$3,IF($R1306="B",COUNTIFS($M$4:$M$2003,INDEX($M$4:$M$2003,$S1306),$N$4:$N$2003,1),1)))</f>
        <v/>
      </c>
      <c r="L1306">
        <f>IF($K$1="","",IFERROR(INDEX(Lines!$A:$AA,ROW()-2,$K$1),""))</f>
        <v/>
      </c>
      <c r="M1306">
        <f>IF($K$2="","",IFERROR(INDEX(Lines!$A:$AA,ROW()-2,$K$2),""))</f>
        <v/>
      </c>
      <c r="N1306">
        <f>IF(AND(L1306&lt;&gt;"",LEFT(L1306,1)="N",M1306&lt;&gt;"PICKING",M1306&lt;&gt;""),1,0)</f>
        <v/>
      </c>
      <c r="O1306">
        <f>IF(N1306=1,M1306&amp;"|"&amp;L1306,REPT("z",40))</f>
        <v/>
      </c>
      <c r="P1306">
        <f>IF(N1306=1,COUNTIF($O$4:$O$2003,"&lt;"&amp;O1306)+1,"")</f>
        <v/>
      </c>
      <c r="Q1306">
        <f>IF(OR($R1305="",$R1305="T"),"",IF($R1305="B",$Q1305,IF($Q1305+1&gt;$K$3,"",$Q1305+1)))</f>
        <v/>
      </c>
      <c r="R1306">
        <f>IF(OR($R1305="",$R1305="T"),"",IF($R1305="B","S",IF($Q1305+1&gt;$K$3,"T",IF(INDEX($M$4:$M$2003,MATCH($Q1305+1,$P$4:$P$2003,0))&lt;&gt;INDEX($M$4:$M$2003,MATCH($Q1305,$P$4:$P$2003,0)),"B","S"))))</f>
        <v/>
      </c>
      <c r="S1306">
        <f>IF(Q1306="","",IFERROR(MATCH(Q1306,$P$4:$P$2003,0),""))</f>
        <v/>
      </c>
    </row>
    <row r="1307">
      <c r="A1307" s="4">
        <f>IF($R1307="","",IF($R1307="T","Gesamtergebnis",IF($R1307="B",INDEX($M$4:$M$2003,$S1307),INDEX($L$4:$L$2003,$S1307))))</f>
        <v/>
      </c>
      <c r="B1307" s="4">
        <f>IF($R1307="","",IF($R1307="T",$K$3,IF($R1307="B",COUNTIFS($M$4:$M$2003,INDEX($M$4:$M$2003,$S1307),$N$4:$N$2003,1),1)))</f>
        <v/>
      </c>
      <c r="L1307">
        <f>IF($K$1="","",IFERROR(INDEX(Lines!$A:$AA,ROW()-2,$K$1),""))</f>
        <v/>
      </c>
      <c r="M1307">
        <f>IF($K$2="","",IFERROR(INDEX(Lines!$A:$AA,ROW()-2,$K$2),""))</f>
        <v/>
      </c>
      <c r="N1307">
        <f>IF(AND(L1307&lt;&gt;"",LEFT(L1307,1)="N",M1307&lt;&gt;"PICKING",M1307&lt;&gt;""),1,0)</f>
        <v/>
      </c>
      <c r="O1307">
        <f>IF(N1307=1,M1307&amp;"|"&amp;L1307,REPT("z",40))</f>
        <v/>
      </c>
      <c r="P1307">
        <f>IF(N1307=1,COUNTIF($O$4:$O$2003,"&lt;"&amp;O1307)+1,"")</f>
        <v/>
      </c>
      <c r="Q1307">
        <f>IF(OR($R1306="",$R1306="T"),"",IF($R1306="B",$Q1306,IF($Q1306+1&gt;$K$3,"",$Q1306+1)))</f>
        <v/>
      </c>
      <c r="R1307">
        <f>IF(OR($R1306="",$R1306="T"),"",IF($R1306="B","S",IF($Q1306+1&gt;$K$3,"T",IF(INDEX($M$4:$M$2003,MATCH($Q1306+1,$P$4:$P$2003,0))&lt;&gt;INDEX($M$4:$M$2003,MATCH($Q1306,$P$4:$P$2003,0)),"B","S"))))</f>
        <v/>
      </c>
      <c r="S1307">
        <f>IF(Q1307="","",IFERROR(MATCH(Q1307,$P$4:$P$2003,0),""))</f>
        <v/>
      </c>
    </row>
    <row r="1308">
      <c r="A1308" s="4">
        <f>IF($R1308="","",IF($R1308="T","Gesamtergebnis",IF($R1308="B",INDEX($M$4:$M$2003,$S1308),INDEX($L$4:$L$2003,$S1308))))</f>
        <v/>
      </c>
      <c r="B1308" s="4">
        <f>IF($R1308="","",IF($R1308="T",$K$3,IF($R1308="B",COUNTIFS($M$4:$M$2003,INDEX($M$4:$M$2003,$S1308),$N$4:$N$2003,1),1)))</f>
        <v/>
      </c>
      <c r="L1308">
        <f>IF($K$1="","",IFERROR(INDEX(Lines!$A:$AA,ROW()-2,$K$1),""))</f>
        <v/>
      </c>
      <c r="M1308">
        <f>IF($K$2="","",IFERROR(INDEX(Lines!$A:$AA,ROW()-2,$K$2),""))</f>
        <v/>
      </c>
      <c r="N1308">
        <f>IF(AND(L1308&lt;&gt;"",LEFT(L1308,1)="N",M1308&lt;&gt;"PICKING",M1308&lt;&gt;""),1,0)</f>
        <v/>
      </c>
      <c r="O1308">
        <f>IF(N1308=1,M1308&amp;"|"&amp;L1308,REPT("z",40))</f>
        <v/>
      </c>
      <c r="P1308">
        <f>IF(N1308=1,COUNTIF($O$4:$O$2003,"&lt;"&amp;O1308)+1,"")</f>
        <v/>
      </c>
      <c r="Q1308">
        <f>IF(OR($R1307="",$R1307="T"),"",IF($R1307="B",$Q1307,IF($Q1307+1&gt;$K$3,"",$Q1307+1)))</f>
        <v/>
      </c>
      <c r="R1308">
        <f>IF(OR($R1307="",$R1307="T"),"",IF($R1307="B","S",IF($Q1307+1&gt;$K$3,"T",IF(INDEX($M$4:$M$2003,MATCH($Q1307+1,$P$4:$P$2003,0))&lt;&gt;INDEX($M$4:$M$2003,MATCH($Q1307,$P$4:$P$2003,0)),"B","S"))))</f>
        <v/>
      </c>
      <c r="S1308">
        <f>IF(Q1308="","",IFERROR(MATCH(Q1308,$P$4:$P$2003,0),""))</f>
        <v/>
      </c>
    </row>
    <row r="1309">
      <c r="A1309" s="4">
        <f>IF($R1309="","",IF($R1309="T","Gesamtergebnis",IF($R1309="B",INDEX($M$4:$M$2003,$S1309),INDEX($L$4:$L$2003,$S1309))))</f>
        <v/>
      </c>
      <c r="B1309" s="4">
        <f>IF($R1309="","",IF($R1309="T",$K$3,IF($R1309="B",COUNTIFS($M$4:$M$2003,INDEX($M$4:$M$2003,$S1309),$N$4:$N$2003,1),1)))</f>
        <v/>
      </c>
      <c r="L1309">
        <f>IF($K$1="","",IFERROR(INDEX(Lines!$A:$AA,ROW()-2,$K$1),""))</f>
        <v/>
      </c>
      <c r="M1309">
        <f>IF($K$2="","",IFERROR(INDEX(Lines!$A:$AA,ROW()-2,$K$2),""))</f>
        <v/>
      </c>
      <c r="N1309">
        <f>IF(AND(L1309&lt;&gt;"",LEFT(L1309,1)="N",M1309&lt;&gt;"PICKING",M1309&lt;&gt;""),1,0)</f>
        <v/>
      </c>
      <c r="O1309">
        <f>IF(N1309=1,M1309&amp;"|"&amp;L1309,REPT("z",40))</f>
        <v/>
      </c>
      <c r="P1309">
        <f>IF(N1309=1,COUNTIF($O$4:$O$2003,"&lt;"&amp;O1309)+1,"")</f>
        <v/>
      </c>
      <c r="Q1309">
        <f>IF(OR($R1308="",$R1308="T"),"",IF($R1308="B",$Q1308,IF($Q1308+1&gt;$K$3,"",$Q1308+1)))</f>
        <v/>
      </c>
      <c r="R1309">
        <f>IF(OR($R1308="",$R1308="T"),"",IF($R1308="B","S",IF($Q1308+1&gt;$K$3,"T",IF(INDEX($M$4:$M$2003,MATCH($Q1308+1,$P$4:$P$2003,0))&lt;&gt;INDEX($M$4:$M$2003,MATCH($Q1308,$P$4:$P$2003,0)),"B","S"))))</f>
        <v/>
      </c>
      <c r="S1309">
        <f>IF(Q1309="","",IFERROR(MATCH(Q1309,$P$4:$P$2003,0),""))</f>
        <v/>
      </c>
    </row>
    <row r="1310">
      <c r="A1310" s="4">
        <f>IF($R1310="","",IF($R1310="T","Gesamtergebnis",IF($R1310="B",INDEX($M$4:$M$2003,$S1310),INDEX($L$4:$L$2003,$S1310))))</f>
        <v/>
      </c>
      <c r="B1310" s="4">
        <f>IF($R1310="","",IF($R1310="T",$K$3,IF($R1310="B",COUNTIFS($M$4:$M$2003,INDEX($M$4:$M$2003,$S1310),$N$4:$N$2003,1),1)))</f>
        <v/>
      </c>
      <c r="L1310">
        <f>IF($K$1="","",IFERROR(INDEX(Lines!$A:$AA,ROW()-2,$K$1),""))</f>
        <v/>
      </c>
      <c r="M1310">
        <f>IF($K$2="","",IFERROR(INDEX(Lines!$A:$AA,ROW()-2,$K$2),""))</f>
        <v/>
      </c>
      <c r="N1310">
        <f>IF(AND(L1310&lt;&gt;"",LEFT(L1310,1)="N",M1310&lt;&gt;"PICKING",M1310&lt;&gt;""),1,0)</f>
        <v/>
      </c>
      <c r="O1310">
        <f>IF(N1310=1,M1310&amp;"|"&amp;L1310,REPT("z",40))</f>
        <v/>
      </c>
      <c r="P1310">
        <f>IF(N1310=1,COUNTIF($O$4:$O$2003,"&lt;"&amp;O1310)+1,"")</f>
        <v/>
      </c>
      <c r="Q1310">
        <f>IF(OR($R1309="",$R1309="T"),"",IF($R1309="B",$Q1309,IF($Q1309+1&gt;$K$3,"",$Q1309+1)))</f>
        <v/>
      </c>
      <c r="R1310">
        <f>IF(OR($R1309="",$R1309="T"),"",IF($R1309="B","S",IF($Q1309+1&gt;$K$3,"T",IF(INDEX($M$4:$M$2003,MATCH($Q1309+1,$P$4:$P$2003,0))&lt;&gt;INDEX($M$4:$M$2003,MATCH($Q1309,$P$4:$P$2003,0)),"B","S"))))</f>
        <v/>
      </c>
      <c r="S1310">
        <f>IF(Q1310="","",IFERROR(MATCH(Q1310,$P$4:$P$2003,0),""))</f>
        <v/>
      </c>
    </row>
    <row r="1311">
      <c r="A1311" s="4">
        <f>IF($R1311="","",IF($R1311="T","Gesamtergebnis",IF($R1311="B",INDEX($M$4:$M$2003,$S1311),INDEX($L$4:$L$2003,$S1311))))</f>
        <v/>
      </c>
      <c r="B1311" s="4">
        <f>IF($R1311="","",IF($R1311="T",$K$3,IF($R1311="B",COUNTIFS($M$4:$M$2003,INDEX($M$4:$M$2003,$S1311),$N$4:$N$2003,1),1)))</f>
        <v/>
      </c>
      <c r="L1311">
        <f>IF($K$1="","",IFERROR(INDEX(Lines!$A:$AA,ROW()-2,$K$1),""))</f>
        <v/>
      </c>
      <c r="M1311">
        <f>IF($K$2="","",IFERROR(INDEX(Lines!$A:$AA,ROW()-2,$K$2),""))</f>
        <v/>
      </c>
      <c r="N1311">
        <f>IF(AND(L1311&lt;&gt;"",LEFT(L1311,1)="N",M1311&lt;&gt;"PICKING",M1311&lt;&gt;""),1,0)</f>
        <v/>
      </c>
      <c r="O1311">
        <f>IF(N1311=1,M1311&amp;"|"&amp;L1311,REPT("z",40))</f>
        <v/>
      </c>
      <c r="P1311">
        <f>IF(N1311=1,COUNTIF($O$4:$O$2003,"&lt;"&amp;O1311)+1,"")</f>
        <v/>
      </c>
      <c r="Q1311">
        <f>IF(OR($R1310="",$R1310="T"),"",IF($R1310="B",$Q1310,IF($Q1310+1&gt;$K$3,"",$Q1310+1)))</f>
        <v/>
      </c>
      <c r="R1311">
        <f>IF(OR($R1310="",$R1310="T"),"",IF($R1310="B","S",IF($Q1310+1&gt;$K$3,"T",IF(INDEX($M$4:$M$2003,MATCH($Q1310+1,$P$4:$P$2003,0))&lt;&gt;INDEX($M$4:$M$2003,MATCH($Q1310,$P$4:$P$2003,0)),"B","S"))))</f>
        <v/>
      </c>
      <c r="S1311">
        <f>IF(Q1311="","",IFERROR(MATCH(Q1311,$P$4:$P$2003,0),""))</f>
        <v/>
      </c>
    </row>
    <row r="1312">
      <c r="A1312" s="4">
        <f>IF($R1312="","",IF($R1312="T","Gesamtergebnis",IF($R1312="B",INDEX($M$4:$M$2003,$S1312),INDEX($L$4:$L$2003,$S1312))))</f>
        <v/>
      </c>
      <c r="B1312" s="4">
        <f>IF($R1312="","",IF($R1312="T",$K$3,IF($R1312="B",COUNTIFS($M$4:$M$2003,INDEX($M$4:$M$2003,$S1312),$N$4:$N$2003,1),1)))</f>
        <v/>
      </c>
      <c r="L1312">
        <f>IF($K$1="","",IFERROR(INDEX(Lines!$A:$AA,ROW()-2,$K$1),""))</f>
        <v/>
      </c>
      <c r="M1312">
        <f>IF($K$2="","",IFERROR(INDEX(Lines!$A:$AA,ROW()-2,$K$2),""))</f>
        <v/>
      </c>
      <c r="N1312">
        <f>IF(AND(L1312&lt;&gt;"",LEFT(L1312,1)="N",M1312&lt;&gt;"PICKING",M1312&lt;&gt;""),1,0)</f>
        <v/>
      </c>
      <c r="O1312">
        <f>IF(N1312=1,M1312&amp;"|"&amp;L1312,REPT("z",40))</f>
        <v/>
      </c>
      <c r="P1312">
        <f>IF(N1312=1,COUNTIF($O$4:$O$2003,"&lt;"&amp;O1312)+1,"")</f>
        <v/>
      </c>
      <c r="Q1312">
        <f>IF(OR($R1311="",$R1311="T"),"",IF($R1311="B",$Q1311,IF($Q1311+1&gt;$K$3,"",$Q1311+1)))</f>
        <v/>
      </c>
      <c r="R1312">
        <f>IF(OR($R1311="",$R1311="T"),"",IF($R1311="B","S",IF($Q1311+1&gt;$K$3,"T",IF(INDEX($M$4:$M$2003,MATCH($Q1311+1,$P$4:$P$2003,0))&lt;&gt;INDEX($M$4:$M$2003,MATCH($Q1311,$P$4:$P$2003,0)),"B","S"))))</f>
        <v/>
      </c>
      <c r="S1312">
        <f>IF(Q1312="","",IFERROR(MATCH(Q1312,$P$4:$P$2003,0),""))</f>
        <v/>
      </c>
    </row>
    <row r="1313">
      <c r="A1313" s="4">
        <f>IF($R1313="","",IF($R1313="T","Gesamtergebnis",IF($R1313="B",INDEX($M$4:$M$2003,$S1313),INDEX($L$4:$L$2003,$S1313))))</f>
        <v/>
      </c>
      <c r="B1313" s="4">
        <f>IF($R1313="","",IF($R1313="T",$K$3,IF($R1313="B",COUNTIFS($M$4:$M$2003,INDEX($M$4:$M$2003,$S1313),$N$4:$N$2003,1),1)))</f>
        <v/>
      </c>
      <c r="L1313">
        <f>IF($K$1="","",IFERROR(INDEX(Lines!$A:$AA,ROW()-2,$K$1),""))</f>
        <v/>
      </c>
      <c r="M1313">
        <f>IF($K$2="","",IFERROR(INDEX(Lines!$A:$AA,ROW()-2,$K$2),""))</f>
        <v/>
      </c>
      <c r="N1313">
        <f>IF(AND(L1313&lt;&gt;"",LEFT(L1313,1)="N",M1313&lt;&gt;"PICKING",M1313&lt;&gt;""),1,0)</f>
        <v/>
      </c>
      <c r="O1313">
        <f>IF(N1313=1,M1313&amp;"|"&amp;L1313,REPT("z",40))</f>
        <v/>
      </c>
      <c r="P1313">
        <f>IF(N1313=1,COUNTIF($O$4:$O$2003,"&lt;"&amp;O1313)+1,"")</f>
        <v/>
      </c>
      <c r="Q1313">
        <f>IF(OR($R1312="",$R1312="T"),"",IF($R1312="B",$Q1312,IF($Q1312+1&gt;$K$3,"",$Q1312+1)))</f>
        <v/>
      </c>
      <c r="R1313">
        <f>IF(OR($R1312="",$R1312="T"),"",IF($R1312="B","S",IF($Q1312+1&gt;$K$3,"T",IF(INDEX($M$4:$M$2003,MATCH($Q1312+1,$P$4:$P$2003,0))&lt;&gt;INDEX($M$4:$M$2003,MATCH($Q1312,$P$4:$P$2003,0)),"B","S"))))</f>
        <v/>
      </c>
      <c r="S1313">
        <f>IF(Q1313="","",IFERROR(MATCH(Q1313,$P$4:$P$2003,0),""))</f>
        <v/>
      </c>
    </row>
    <row r="1314">
      <c r="A1314" s="4">
        <f>IF($R1314="","",IF($R1314="T","Gesamtergebnis",IF($R1314="B",INDEX($M$4:$M$2003,$S1314),INDEX($L$4:$L$2003,$S1314))))</f>
        <v/>
      </c>
      <c r="B1314" s="4">
        <f>IF($R1314="","",IF($R1314="T",$K$3,IF($R1314="B",COUNTIFS($M$4:$M$2003,INDEX($M$4:$M$2003,$S1314),$N$4:$N$2003,1),1)))</f>
        <v/>
      </c>
      <c r="L1314">
        <f>IF($K$1="","",IFERROR(INDEX(Lines!$A:$AA,ROW()-2,$K$1),""))</f>
        <v/>
      </c>
      <c r="M1314">
        <f>IF($K$2="","",IFERROR(INDEX(Lines!$A:$AA,ROW()-2,$K$2),""))</f>
        <v/>
      </c>
      <c r="N1314">
        <f>IF(AND(L1314&lt;&gt;"",LEFT(L1314,1)="N",M1314&lt;&gt;"PICKING",M1314&lt;&gt;""),1,0)</f>
        <v/>
      </c>
      <c r="O1314">
        <f>IF(N1314=1,M1314&amp;"|"&amp;L1314,REPT("z",40))</f>
        <v/>
      </c>
      <c r="P1314">
        <f>IF(N1314=1,COUNTIF($O$4:$O$2003,"&lt;"&amp;O1314)+1,"")</f>
        <v/>
      </c>
      <c r="Q1314">
        <f>IF(OR($R1313="",$R1313="T"),"",IF($R1313="B",$Q1313,IF($Q1313+1&gt;$K$3,"",$Q1313+1)))</f>
        <v/>
      </c>
      <c r="R1314">
        <f>IF(OR($R1313="",$R1313="T"),"",IF($R1313="B","S",IF($Q1313+1&gt;$K$3,"T",IF(INDEX($M$4:$M$2003,MATCH($Q1313+1,$P$4:$P$2003,0))&lt;&gt;INDEX($M$4:$M$2003,MATCH($Q1313,$P$4:$P$2003,0)),"B","S"))))</f>
        <v/>
      </c>
      <c r="S1314">
        <f>IF(Q1314="","",IFERROR(MATCH(Q1314,$P$4:$P$2003,0),""))</f>
        <v/>
      </c>
    </row>
    <row r="1315">
      <c r="A1315" s="4">
        <f>IF($R1315="","",IF($R1315="T","Gesamtergebnis",IF($R1315="B",INDEX($M$4:$M$2003,$S1315),INDEX($L$4:$L$2003,$S1315))))</f>
        <v/>
      </c>
      <c r="B1315" s="4">
        <f>IF($R1315="","",IF($R1315="T",$K$3,IF($R1315="B",COUNTIFS($M$4:$M$2003,INDEX($M$4:$M$2003,$S1315),$N$4:$N$2003,1),1)))</f>
        <v/>
      </c>
      <c r="L1315">
        <f>IF($K$1="","",IFERROR(INDEX(Lines!$A:$AA,ROW()-2,$K$1),""))</f>
        <v/>
      </c>
      <c r="M1315">
        <f>IF($K$2="","",IFERROR(INDEX(Lines!$A:$AA,ROW()-2,$K$2),""))</f>
        <v/>
      </c>
      <c r="N1315">
        <f>IF(AND(L1315&lt;&gt;"",LEFT(L1315,1)="N",M1315&lt;&gt;"PICKING",M1315&lt;&gt;""),1,0)</f>
        <v/>
      </c>
      <c r="O1315">
        <f>IF(N1315=1,M1315&amp;"|"&amp;L1315,REPT("z",40))</f>
        <v/>
      </c>
      <c r="P1315">
        <f>IF(N1315=1,COUNTIF($O$4:$O$2003,"&lt;"&amp;O1315)+1,"")</f>
        <v/>
      </c>
      <c r="Q1315">
        <f>IF(OR($R1314="",$R1314="T"),"",IF($R1314="B",$Q1314,IF($Q1314+1&gt;$K$3,"",$Q1314+1)))</f>
        <v/>
      </c>
      <c r="R1315">
        <f>IF(OR($R1314="",$R1314="T"),"",IF($R1314="B","S",IF($Q1314+1&gt;$K$3,"T",IF(INDEX($M$4:$M$2003,MATCH($Q1314+1,$P$4:$P$2003,0))&lt;&gt;INDEX($M$4:$M$2003,MATCH($Q1314,$P$4:$P$2003,0)),"B","S"))))</f>
        <v/>
      </c>
      <c r="S1315">
        <f>IF(Q1315="","",IFERROR(MATCH(Q1315,$P$4:$P$2003,0),""))</f>
        <v/>
      </c>
    </row>
    <row r="1316">
      <c r="A1316" s="4">
        <f>IF($R1316="","",IF($R1316="T","Gesamtergebnis",IF($R1316="B",INDEX($M$4:$M$2003,$S1316),INDEX($L$4:$L$2003,$S1316))))</f>
        <v/>
      </c>
      <c r="B1316" s="4">
        <f>IF($R1316="","",IF($R1316="T",$K$3,IF($R1316="B",COUNTIFS($M$4:$M$2003,INDEX($M$4:$M$2003,$S1316),$N$4:$N$2003,1),1)))</f>
        <v/>
      </c>
      <c r="L1316">
        <f>IF($K$1="","",IFERROR(INDEX(Lines!$A:$AA,ROW()-2,$K$1),""))</f>
        <v/>
      </c>
      <c r="M1316">
        <f>IF($K$2="","",IFERROR(INDEX(Lines!$A:$AA,ROW()-2,$K$2),""))</f>
        <v/>
      </c>
      <c r="N1316">
        <f>IF(AND(L1316&lt;&gt;"",LEFT(L1316,1)="N",M1316&lt;&gt;"PICKING",M1316&lt;&gt;""),1,0)</f>
        <v/>
      </c>
      <c r="O1316">
        <f>IF(N1316=1,M1316&amp;"|"&amp;L1316,REPT("z",40))</f>
        <v/>
      </c>
      <c r="P1316">
        <f>IF(N1316=1,COUNTIF($O$4:$O$2003,"&lt;"&amp;O1316)+1,"")</f>
        <v/>
      </c>
      <c r="Q1316">
        <f>IF(OR($R1315="",$R1315="T"),"",IF($R1315="B",$Q1315,IF($Q1315+1&gt;$K$3,"",$Q1315+1)))</f>
        <v/>
      </c>
      <c r="R1316">
        <f>IF(OR($R1315="",$R1315="T"),"",IF($R1315="B","S",IF($Q1315+1&gt;$K$3,"T",IF(INDEX($M$4:$M$2003,MATCH($Q1315+1,$P$4:$P$2003,0))&lt;&gt;INDEX($M$4:$M$2003,MATCH($Q1315,$P$4:$P$2003,0)),"B","S"))))</f>
        <v/>
      </c>
      <c r="S1316">
        <f>IF(Q1316="","",IFERROR(MATCH(Q1316,$P$4:$P$2003,0),""))</f>
        <v/>
      </c>
    </row>
    <row r="1317">
      <c r="A1317" s="4">
        <f>IF($R1317="","",IF($R1317="T","Gesamtergebnis",IF($R1317="B",INDEX($M$4:$M$2003,$S1317),INDEX($L$4:$L$2003,$S1317))))</f>
        <v/>
      </c>
      <c r="B1317" s="4">
        <f>IF($R1317="","",IF($R1317="T",$K$3,IF($R1317="B",COUNTIFS($M$4:$M$2003,INDEX($M$4:$M$2003,$S1317),$N$4:$N$2003,1),1)))</f>
        <v/>
      </c>
      <c r="L1317">
        <f>IF($K$1="","",IFERROR(INDEX(Lines!$A:$AA,ROW()-2,$K$1),""))</f>
        <v/>
      </c>
      <c r="M1317">
        <f>IF($K$2="","",IFERROR(INDEX(Lines!$A:$AA,ROW()-2,$K$2),""))</f>
        <v/>
      </c>
      <c r="N1317">
        <f>IF(AND(L1317&lt;&gt;"",LEFT(L1317,1)="N",M1317&lt;&gt;"PICKING",M1317&lt;&gt;""),1,0)</f>
        <v/>
      </c>
      <c r="O1317">
        <f>IF(N1317=1,M1317&amp;"|"&amp;L1317,REPT("z",40))</f>
        <v/>
      </c>
      <c r="P1317">
        <f>IF(N1317=1,COUNTIF($O$4:$O$2003,"&lt;"&amp;O1317)+1,"")</f>
        <v/>
      </c>
      <c r="Q1317">
        <f>IF(OR($R1316="",$R1316="T"),"",IF($R1316="B",$Q1316,IF($Q1316+1&gt;$K$3,"",$Q1316+1)))</f>
        <v/>
      </c>
      <c r="R1317">
        <f>IF(OR($R1316="",$R1316="T"),"",IF($R1316="B","S",IF($Q1316+1&gt;$K$3,"T",IF(INDEX($M$4:$M$2003,MATCH($Q1316+1,$P$4:$P$2003,0))&lt;&gt;INDEX($M$4:$M$2003,MATCH($Q1316,$P$4:$P$2003,0)),"B","S"))))</f>
        <v/>
      </c>
      <c r="S1317">
        <f>IF(Q1317="","",IFERROR(MATCH(Q1317,$P$4:$P$2003,0),""))</f>
        <v/>
      </c>
    </row>
    <row r="1318">
      <c r="A1318" s="4">
        <f>IF($R1318="","",IF($R1318="T","Gesamtergebnis",IF($R1318="B",INDEX($M$4:$M$2003,$S1318),INDEX($L$4:$L$2003,$S1318))))</f>
        <v/>
      </c>
      <c r="B1318" s="4">
        <f>IF($R1318="","",IF($R1318="T",$K$3,IF($R1318="B",COUNTIFS($M$4:$M$2003,INDEX($M$4:$M$2003,$S1318),$N$4:$N$2003,1),1)))</f>
        <v/>
      </c>
      <c r="L1318">
        <f>IF($K$1="","",IFERROR(INDEX(Lines!$A:$AA,ROW()-2,$K$1),""))</f>
        <v/>
      </c>
      <c r="M1318">
        <f>IF($K$2="","",IFERROR(INDEX(Lines!$A:$AA,ROW()-2,$K$2),""))</f>
        <v/>
      </c>
      <c r="N1318">
        <f>IF(AND(L1318&lt;&gt;"",LEFT(L1318,1)="N",M1318&lt;&gt;"PICKING",M1318&lt;&gt;""),1,0)</f>
        <v/>
      </c>
      <c r="O1318">
        <f>IF(N1318=1,M1318&amp;"|"&amp;L1318,REPT("z",40))</f>
        <v/>
      </c>
      <c r="P1318">
        <f>IF(N1318=1,COUNTIF($O$4:$O$2003,"&lt;"&amp;O1318)+1,"")</f>
        <v/>
      </c>
      <c r="Q1318">
        <f>IF(OR($R1317="",$R1317="T"),"",IF($R1317="B",$Q1317,IF($Q1317+1&gt;$K$3,"",$Q1317+1)))</f>
        <v/>
      </c>
      <c r="R1318">
        <f>IF(OR($R1317="",$R1317="T"),"",IF($R1317="B","S",IF($Q1317+1&gt;$K$3,"T",IF(INDEX($M$4:$M$2003,MATCH($Q1317+1,$P$4:$P$2003,0))&lt;&gt;INDEX($M$4:$M$2003,MATCH($Q1317,$P$4:$P$2003,0)),"B","S"))))</f>
        <v/>
      </c>
      <c r="S1318">
        <f>IF(Q1318="","",IFERROR(MATCH(Q1318,$P$4:$P$2003,0),""))</f>
        <v/>
      </c>
    </row>
    <row r="1319">
      <c r="A1319" s="4">
        <f>IF($R1319="","",IF($R1319="T","Gesamtergebnis",IF($R1319="B",INDEX($M$4:$M$2003,$S1319),INDEX($L$4:$L$2003,$S1319))))</f>
        <v/>
      </c>
      <c r="B1319" s="4">
        <f>IF($R1319="","",IF($R1319="T",$K$3,IF($R1319="B",COUNTIFS($M$4:$M$2003,INDEX($M$4:$M$2003,$S1319),$N$4:$N$2003,1),1)))</f>
        <v/>
      </c>
      <c r="L1319">
        <f>IF($K$1="","",IFERROR(INDEX(Lines!$A:$AA,ROW()-2,$K$1),""))</f>
        <v/>
      </c>
      <c r="M1319">
        <f>IF($K$2="","",IFERROR(INDEX(Lines!$A:$AA,ROW()-2,$K$2),""))</f>
        <v/>
      </c>
      <c r="N1319">
        <f>IF(AND(L1319&lt;&gt;"",LEFT(L1319,1)="N",M1319&lt;&gt;"PICKING",M1319&lt;&gt;""),1,0)</f>
        <v/>
      </c>
      <c r="O1319">
        <f>IF(N1319=1,M1319&amp;"|"&amp;L1319,REPT("z",40))</f>
        <v/>
      </c>
      <c r="P1319">
        <f>IF(N1319=1,COUNTIF($O$4:$O$2003,"&lt;"&amp;O1319)+1,"")</f>
        <v/>
      </c>
      <c r="Q1319">
        <f>IF(OR($R1318="",$R1318="T"),"",IF($R1318="B",$Q1318,IF($Q1318+1&gt;$K$3,"",$Q1318+1)))</f>
        <v/>
      </c>
      <c r="R1319">
        <f>IF(OR($R1318="",$R1318="T"),"",IF($R1318="B","S",IF($Q1318+1&gt;$K$3,"T",IF(INDEX($M$4:$M$2003,MATCH($Q1318+1,$P$4:$P$2003,0))&lt;&gt;INDEX($M$4:$M$2003,MATCH($Q1318,$P$4:$P$2003,0)),"B","S"))))</f>
        <v/>
      </c>
      <c r="S1319">
        <f>IF(Q1319="","",IFERROR(MATCH(Q1319,$P$4:$P$2003,0),""))</f>
        <v/>
      </c>
    </row>
    <row r="1320">
      <c r="A1320" s="4">
        <f>IF($R1320="","",IF($R1320="T","Gesamtergebnis",IF($R1320="B",INDEX($M$4:$M$2003,$S1320),INDEX($L$4:$L$2003,$S1320))))</f>
        <v/>
      </c>
      <c r="B1320" s="4">
        <f>IF($R1320="","",IF($R1320="T",$K$3,IF($R1320="B",COUNTIFS($M$4:$M$2003,INDEX($M$4:$M$2003,$S1320),$N$4:$N$2003,1),1)))</f>
        <v/>
      </c>
      <c r="L1320">
        <f>IF($K$1="","",IFERROR(INDEX(Lines!$A:$AA,ROW()-2,$K$1),""))</f>
        <v/>
      </c>
      <c r="M1320">
        <f>IF($K$2="","",IFERROR(INDEX(Lines!$A:$AA,ROW()-2,$K$2),""))</f>
        <v/>
      </c>
      <c r="N1320">
        <f>IF(AND(L1320&lt;&gt;"",LEFT(L1320,1)="N",M1320&lt;&gt;"PICKING",M1320&lt;&gt;""),1,0)</f>
        <v/>
      </c>
      <c r="O1320">
        <f>IF(N1320=1,M1320&amp;"|"&amp;L1320,REPT("z",40))</f>
        <v/>
      </c>
      <c r="P1320">
        <f>IF(N1320=1,COUNTIF($O$4:$O$2003,"&lt;"&amp;O1320)+1,"")</f>
        <v/>
      </c>
      <c r="Q1320">
        <f>IF(OR($R1319="",$R1319="T"),"",IF($R1319="B",$Q1319,IF($Q1319+1&gt;$K$3,"",$Q1319+1)))</f>
        <v/>
      </c>
      <c r="R1320">
        <f>IF(OR($R1319="",$R1319="T"),"",IF($R1319="B","S",IF($Q1319+1&gt;$K$3,"T",IF(INDEX($M$4:$M$2003,MATCH($Q1319+1,$P$4:$P$2003,0))&lt;&gt;INDEX($M$4:$M$2003,MATCH($Q1319,$P$4:$P$2003,0)),"B","S"))))</f>
        <v/>
      </c>
      <c r="S1320">
        <f>IF(Q1320="","",IFERROR(MATCH(Q1320,$P$4:$P$2003,0),""))</f>
        <v/>
      </c>
    </row>
    <row r="1321">
      <c r="A1321" s="4">
        <f>IF($R1321="","",IF($R1321="T","Gesamtergebnis",IF($R1321="B",INDEX($M$4:$M$2003,$S1321),INDEX($L$4:$L$2003,$S1321))))</f>
        <v/>
      </c>
      <c r="B1321" s="4">
        <f>IF($R1321="","",IF($R1321="T",$K$3,IF($R1321="B",COUNTIFS($M$4:$M$2003,INDEX($M$4:$M$2003,$S1321),$N$4:$N$2003,1),1)))</f>
        <v/>
      </c>
      <c r="L1321">
        <f>IF($K$1="","",IFERROR(INDEX(Lines!$A:$AA,ROW()-2,$K$1),""))</f>
        <v/>
      </c>
      <c r="M1321">
        <f>IF($K$2="","",IFERROR(INDEX(Lines!$A:$AA,ROW()-2,$K$2),""))</f>
        <v/>
      </c>
      <c r="N1321">
        <f>IF(AND(L1321&lt;&gt;"",LEFT(L1321,1)="N",M1321&lt;&gt;"PICKING",M1321&lt;&gt;""),1,0)</f>
        <v/>
      </c>
      <c r="O1321">
        <f>IF(N1321=1,M1321&amp;"|"&amp;L1321,REPT("z",40))</f>
        <v/>
      </c>
      <c r="P1321">
        <f>IF(N1321=1,COUNTIF($O$4:$O$2003,"&lt;"&amp;O1321)+1,"")</f>
        <v/>
      </c>
      <c r="Q1321">
        <f>IF(OR($R1320="",$R1320="T"),"",IF($R1320="B",$Q1320,IF($Q1320+1&gt;$K$3,"",$Q1320+1)))</f>
        <v/>
      </c>
      <c r="R1321">
        <f>IF(OR($R1320="",$R1320="T"),"",IF($R1320="B","S",IF($Q1320+1&gt;$K$3,"T",IF(INDEX($M$4:$M$2003,MATCH($Q1320+1,$P$4:$P$2003,0))&lt;&gt;INDEX($M$4:$M$2003,MATCH($Q1320,$P$4:$P$2003,0)),"B","S"))))</f>
        <v/>
      </c>
      <c r="S1321">
        <f>IF(Q1321="","",IFERROR(MATCH(Q1321,$P$4:$P$2003,0),""))</f>
        <v/>
      </c>
    </row>
    <row r="1322">
      <c r="A1322" s="4">
        <f>IF($R1322="","",IF($R1322="T","Gesamtergebnis",IF($R1322="B",INDEX($M$4:$M$2003,$S1322),INDEX($L$4:$L$2003,$S1322))))</f>
        <v/>
      </c>
      <c r="B1322" s="4">
        <f>IF($R1322="","",IF($R1322="T",$K$3,IF($R1322="B",COUNTIFS($M$4:$M$2003,INDEX($M$4:$M$2003,$S1322),$N$4:$N$2003,1),1)))</f>
        <v/>
      </c>
      <c r="L1322">
        <f>IF($K$1="","",IFERROR(INDEX(Lines!$A:$AA,ROW()-2,$K$1),""))</f>
        <v/>
      </c>
      <c r="M1322">
        <f>IF($K$2="","",IFERROR(INDEX(Lines!$A:$AA,ROW()-2,$K$2),""))</f>
        <v/>
      </c>
      <c r="N1322">
        <f>IF(AND(L1322&lt;&gt;"",LEFT(L1322,1)="N",M1322&lt;&gt;"PICKING",M1322&lt;&gt;""),1,0)</f>
        <v/>
      </c>
      <c r="O1322">
        <f>IF(N1322=1,M1322&amp;"|"&amp;L1322,REPT("z",40))</f>
        <v/>
      </c>
      <c r="P1322">
        <f>IF(N1322=1,COUNTIF($O$4:$O$2003,"&lt;"&amp;O1322)+1,"")</f>
        <v/>
      </c>
      <c r="Q1322">
        <f>IF(OR($R1321="",$R1321="T"),"",IF($R1321="B",$Q1321,IF($Q1321+1&gt;$K$3,"",$Q1321+1)))</f>
        <v/>
      </c>
      <c r="R1322">
        <f>IF(OR($R1321="",$R1321="T"),"",IF($R1321="B","S",IF($Q1321+1&gt;$K$3,"T",IF(INDEX($M$4:$M$2003,MATCH($Q1321+1,$P$4:$P$2003,0))&lt;&gt;INDEX($M$4:$M$2003,MATCH($Q1321,$P$4:$P$2003,0)),"B","S"))))</f>
        <v/>
      </c>
      <c r="S1322">
        <f>IF(Q1322="","",IFERROR(MATCH(Q1322,$P$4:$P$2003,0),""))</f>
        <v/>
      </c>
    </row>
    <row r="1323">
      <c r="A1323" s="4">
        <f>IF($R1323="","",IF($R1323="T","Gesamtergebnis",IF($R1323="B",INDEX($M$4:$M$2003,$S1323),INDEX($L$4:$L$2003,$S1323))))</f>
        <v/>
      </c>
      <c r="B1323" s="4">
        <f>IF($R1323="","",IF($R1323="T",$K$3,IF($R1323="B",COUNTIFS($M$4:$M$2003,INDEX($M$4:$M$2003,$S1323),$N$4:$N$2003,1),1)))</f>
        <v/>
      </c>
      <c r="L1323">
        <f>IF($K$1="","",IFERROR(INDEX(Lines!$A:$AA,ROW()-2,$K$1),""))</f>
        <v/>
      </c>
      <c r="M1323">
        <f>IF($K$2="","",IFERROR(INDEX(Lines!$A:$AA,ROW()-2,$K$2),""))</f>
        <v/>
      </c>
      <c r="N1323">
        <f>IF(AND(L1323&lt;&gt;"",LEFT(L1323,1)="N",M1323&lt;&gt;"PICKING",M1323&lt;&gt;""),1,0)</f>
        <v/>
      </c>
      <c r="O1323">
        <f>IF(N1323=1,M1323&amp;"|"&amp;L1323,REPT("z",40))</f>
        <v/>
      </c>
      <c r="P1323">
        <f>IF(N1323=1,COUNTIF($O$4:$O$2003,"&lt;"&amp;O1323)+1,"")</f>
        <v/>
      </c>
      <c r="Q1323">
        <f>IF(OR($R1322="",$R1322="T"),"",IF($R1322="B",$Q1322,IF($Q1322+1&gt;$K$3,"",$Q1322+1)))</f>
        <v/>
      </c>
      <c r="R1323">
        <f>IF(OR($R1322="",$R1322="T"),"",IF($R1322="B","S",IF($Q1322+1&gt;$K$3,"T",IF(INDEX($M$4:$M$2003,MATCH($Q1322+1,$P$4:$P$2003,0))&lt;&gt;INDEX($M$4:$M$2003,MATCH($Q1322,$P$4:$P$2003,0)),"B","S"))))</f>
        <v/>
      </c>
      <c r="S1323">
        <f>IF(Q1323="","",IFERROR(MATCH(Q1323,$P$4:$P$2003,0),""))</f>
        <v/>
      </c>
    </row>
    <row r="1324">
      <c r="A1324" s="4">
        <f>IF($R1324="","",IF($R1324="T","Gesamtergebnis",IF($R1324="B",INDEX($M$4:$M$2003,$S1324),INDEX($L$4:$L$2003,$S1324))))</f>
        <v/>
      </c>
      <c r="B1324" s="4">
        <f>IF($R1324="","",IF($R1324="T",$K$3,IF($R1324="B",COUNTIFS($M$4:$M$2003,INDEX($M$4:$M$2003,$S1324),$N$4:$N$2003,1),1)))</f>
        <v/>
      </c>
      <c r="L1324">
        <f>IF($K$1="","",IFERROR(INDEX(Lines!$A:$AA,ROW()-2,$K$1),""))</f>
        <v/>
      </c>
      <c r="M1324">
        <f>IF($K$2="","",IFERROR(INDEX(Lines!$A:$AA,ROW()-2,$K$2),""))</f>
        <v/>
      </c>
      <c r="N1324">
        <f>IF(AND(L1324&lt;&gt;"",LEFT(L1324,1)="N",M1324&lt;&gt;"PICKING",M1324&lt;&gt;""),1,0)</f>
        <v/>
      </c>
      <c r="O1324">
        <f>IF(N1324=1,M1324&amp;"|"&amp;L1324,REPT("z",40))</f>
        <v/>
      </c>
      <c r="P1324">
        <f>IF(N1324=1,COUNTIF($O$4:$O$2003,"&lt;"&amp;O1324)+1,"")</f>
        <v/>
      </c>
      <c r="Q1324">
        <f>IF(OR($R1323="",$R1323="T"),"",IF($R1323="B",$Q1323,IF($Q1323+1&gt;$K$3,"",$Q1323+1)))</f>
        <v/>
      </c>
      <c r="R1324">
        <f>IF(OR($R1323="",$R1323="T"),"",IF($R1323="B","S",IF($Q1323+1&gt;$K$3,"T",IF(INDEX($M$4:$M$2003,MATCH($Q1323+1,$P$4:$P$2003,0))&lt;&gt;INDEX($M$4:$M$2003,MATCH($Q1323,$P$4:$P$2003,0)),"B","S"))))</f>
        <v/>
      </c>
      <c r="S1324">
        <f>IF(Q1324="","",IFERROR(MATCH(Q1324,$P$4:$P$2003,0),""))</f>
        <v/>
      </c>
    </row>
    <row r="1325">
      <c r="A1325" s="4">
        <f>IF($R1325="","",IF($R1325="T","Gesamtergebnis",IF($R1325="B",INDEX($M$4:$M$2003,$S1325),INDEX($L$4:$L$2003,$S1325))))</f>
        <v/>
      </c>
      <c r="B1325" s="4">
        <f>IF($R1325="","",IF($R1325="T",$K$3,IF($R1325="B",COUNTIFS($M$4:$M$2003,INDEX($M$4:$M$2003,$S1325),$N$4:$N$2003,1),1)))</f>
        <v/>
      </c>
      <c r="L1325">
        <f>IF($K$1="","",IFERROR(INDEX(Lines!$A:$AA,ROW()-2,$K$1),""))</f>
        <v/>
      </c>
      <c r="M1325">
        <f>IF($K$2="","",IFERROR(INDEX(Lines!$A:$AA,ROW()-2,$K$2),""))</f>
        <v/>
      </c>
      <c r="N1325">
        <f>IF(AND(L1325&lt;&gt;"",LEFT(L1325,1)="N",M1325&lt;&gt;"PICKING",M1325&lt;&gt;""),1,0)</f>
        <v/>
      </c>
      <c r="O1325">
        <f>IF(N1325=1,M1325&amp;"|"&amp;L1325,REPT("z",40))</f>
        <v/>
      </c>
      <c r="P1325">
        <f>IF(N1325=1,COUNTIF($O$4:$O$2003,"&lt;"&amp;O1325)+1,"")</f>
        <v/>
      </c>
      <c r="Q1325">
        <f>IF(OR($R1324="",$R1324="T"),"",IF($R1324="B",$Q1324,IF($Q1324+1&gt;$K$3,"",$Q1324+1)))</f>
        <v/>
      </c>
      <c r="R1325">
        <f>IF(OR($R1324="",$R1324="T"),"",IF($R1324="B","S",IF($Q1324+1&gt;$K$3,"T",IF(INDEX($M$4:$M$2003,MATCH($Q1324+1,$P$4:$P$2003,0))&lt;&gt;INDEX($M$4:$M$2003,MATCH($Q1324,$P$4:$P$2003,0)),"B","S"))))</f>
        <v/>
      </c>
      <c r="S1325">
        <f>IF(Q1325="","",IFERROR(MATCH(Q1325,$P$4:$P$2003,0),""))</f>
        <v/>
      </c>
    </row>
    <row r="1326">
      <c r="A1326" s="4">
        <f>IF($R1326="","",IF($R1326="T","Gesamtergebnis",IF($R1326="B",INDEX($M$4:$M$2003,$S1326),INDEX($L$4:$L$2003,$S1326))))</f>
        <v/>
      </c>
      <c r="B1326" s="4">
        <f>IF($R1326="","",IF($R1326="T",$K$3,IF($R1326="B",COUNTIFS($M$4:$M$2003,INDEX($M$4:$M$2003,$S1326),$N$4:$N$2003,1),1)))</f>
        <v/>
      </c>
      <c r="L1326">
        <f>IF($K$1="","",IFERROR(INDEX(Lines!$A:$AA,ROW()-2,$K$1),""))</f>
        <v/>
      </c>
      <c r="M1326">
        <f>IF($K$2="","",IFERROR(INDEX(Lines!$A:$AA,ROW()-2,$K$2),""))</f>
        <v/>
      </c>
      <c r="N1326">
        <f>IF(AND(L1326&lt;&gt;"",LEFT(L1326,1)="N",M1326&lt;&gt;"PICKING",M1326&lt;&gt;""),1,0)</f>
        <v/>
      </c>
      <c r="O1326">
        <f>IF(N1326=1,M1326&amp;"|"&amp;L1326,REPT("z",40))</f>
        <v/>
      </c>
      <c r="P1326">
        <f>IF(N1326=1,COUNTIF($O$4:$O$2003,"&lt;"&amp;O1326)+1,"")</f>
        <v/>
      </c>
      <c r="Q1326">
        <f>IF(OR($R1325="",$R1325="T"),"",IF($R1325="B",$Q1325,IF($Q1325+1&gt;$K$3,"",$Q1325+1)))</f>
        <v/>
      </c>
      <c r="R1326">
        <f>IF(OR($R1325="",$R1325="T"),"",IF($R1325="B","S",IF($Q1325+1&gt;$K$3,"T",IF(INDEX($M$4:$M$2003,MATCH($Q1325+1,$P$4:$P$2003,0))&lt;&gt;INDEX($M$4:$M$2003,MATCH($Q1325,$P$4:$P$2003,0)),"B","S"))))</f>
        <v/>
      </c>
      <c r="S1326">
        <f>IF(Q1326="","",IFERROR(MATCH(Q1326,$P$4:$P$2003,0),""))</f>
        <v/>
      </c>
    </row>
    <row r="1327">
      <c r="A1327" s="4">
        <f>IF($R1327="","",IF($R1327="T","Gesamtergebnis",IF($R1327="B",INDEX($M$4:$M$2003,$S1327),INDEX($L$4:$L$2003,$S1327))))</f>
        <v/>
      </c>
      <c r="B1327" s="4">
        <f>IF($R1327="","",IF($R1327="T",$K$3,IF($R1327="B",COUNTIFS($M$4:$M$2003,INDEX($M$4:$M$2003,$S1327),$N$4:$N$2003,1),1)))</f>
        <v/>
      </c>
      <c r="L1327">
        <f>IF($K$1="","",IFERROR(INDEX(Lines!$A:$AA,ROW()-2,$K$1),""))</f>
        <v/>
      </c>
      <c r="M1327">
        <f>IF($K$2="","",IFERROR(INDEX(Lines!$A:$AA,ROW()-2,$K$2),""))</f>
        <v/>
      </c>
      <c r="N1327">
        <f>IF(AND(L1327&lt;&gt;"",LEFT(L1327,1)="N",M1327&lt;&gt;"PICKING",M1327&lt;&gt;""),1,0)</f>
        <v/>
      </c>
      <c r="O1327">
        <f>IF(N1327=1,M1327&amp;"|"&amp;L1327,REPT("z",40))</f>
        <v/>
      </c>
      <c r="P1327">
        <f>IF(N1327=1,COUNTIF($O$4:$O$2003,"&lt;"&amp;O1327)+1,"")</f>
        <v/>
      </c>
      <c r="Q1327">
        <f>IF(OR($R1326="",$R1326="T"),"",IF($R1326="B",$Q1326,IF($Q1326+1&gt;$K$3,"",$Q1326+1)))</f>
        <v/>
      </c>
      <c r="R1327">
        <f>IF(OR($R1326="",$R1326="T"),"",IF($R1326="B","S",IF($Q1326+1&gt;$K$3,"T",IF(INDEX($M$4:$M$2003,MATCH($Q1326+1,$P$4:$P$2003,0))&lt;&gt;INDEX($M$4:$M$2003,MATCH($Q1326,$P$4:$P$2003,0)),"B","S"))))</f>
        <v/>
      </c>
      <c r="S1327">
        <f>IF(Q1327="","",IFERROR(MATCH(Q1327,$P$4:$P$2003,0),""))</f>
        <v/>
      </c>
    </row>
    <row r="1328">
      <c r="A1328" s="4">
        <f>IF($R1328="","",IF($R1328="T","Gesamtergebnis",IF($R1328="B",INDEX($M$4:$M$2003,$S1328),INDEX($L$4:$L$2003,$S1328))))</f>
        <v/>
      </c>
      <c r="B1328" s="4">
        <f>IF($R1328="","",IF($R1328="T",$K$3,IF($R1328="B",COUNTIFS($M$4:$M$2003,INDEX($M$4:$M$2003,$S1328),$N$4:$N$2003,1),1)))</f>
        <v/>
      </c>
      <c r="L1328">
        <f>IF($K$1="","",IFERROR(INDEX(Lines!$A:$AA,ROW()-2,$K$1),""))</f>
        <v/>
      </c>
      <c r="M1328">
        <f>IF($K$2="","",IFERROR(INDEX(Lines!$A:$AA,ROW()-2,$K$2),""))</f>
        <v/>
      </c>
      <c r="N1328">
        <f>IF(AND(L1328&lt;&gt;"",LEFT(L1328,1)="N",M1328&lt;&gt;"PICKING",M1328&lt;&gt;""),1,0)</f>
        <v/>
      </c>
      <c r="O1328">
        <f>IF(N1328=1,M1328&amp;"|"&amp;L1328,REPT("z",40))</f>
        <v/>
      </c>
      <c r="P1328">
        <f>IF(N1328=1,COUNTIF($O$4:$O$2003,"&lt;"&amp;O1328)+1,"")</f>
        <v/>
      </c>
      <c r="Q1328">
        <f>IF(OR($R1327="",$R1327="T"),"",IF($R1327="B",$Q1327,IF($Q1327+1&gt;$K$3,"",$Q1327+1)))</f>
        <v/>
      </c>
      <c r="R1328">
        <f>IF(OR($R1327="",$R1327="T"),"",IF($R1327="B","S",IF($Q1327+1&gt;$K$3,"T",IF(INDEX($M$4:$M$2003,MATCH($Q1327+1,$P$4:$P$2003,0))&lt;&gt;INDEX($M$4:$M$2003,MATCH($Q1327,$P$4:$P$2003,0)),"B","S"))))</f>
        <v/>
      </c>
      <c r="S1328">
        <f>IF(Q1328="","",IFERROR(MATCH(Q1328,$P$4:$P$2003,0),""))</f>
        <v/>
      </c>
    </row>
    <row r="1329">
      <c r="A1329" s="4">
        <f>IF($R1329="","",IF($R1329="T","Gesamtergebnis",IF($R1329="B",INDEX($M$4:$M$2003,$S1329),INDEX($L$4:$L$2003,$S1329))))</f>
        <v/>
      </c>
      <c r="B1329" s="4">
        <f>IF($R1329="","",IF($R1329="T",$K$3,IF($R1329="B",COUNTIFS($M$4:$M$2003,INDEX($M$4:$M$2003,$S1329),$N$4:$N$2003,1),1)))</f>
        <v/>
      </c>
      <c r="L1329">
        <f>IF($K$1="","",IFERROR(INDEX(Lines!$A:$AA,ROW()-2,$K$1),""))</f>
        <v/>
      </c>
      <c r="M1329">
        <f>IF($K$2="","",IFERROR(INDEX(Lines!$A:$AA,ROW()-2,$K$2),""))</f>
        <v/>
      </c>
      <c r="N1329">
        <f>IF(AND(L1329&lt;&gt;"",LEFT(L1329,1)="N",M1329&lt;&gt;"PICKING",M1329&lt;&gt;""),1,0)</f>
        <v/>
      </c>
      <c r="O1329">
        <f>IF(N1329=1,M1329&amp;"|"&amp;L1329,REPT("z",40))</f>
        <v/>
      </c>
      <c r="P1329">
        <f>IF(N1329=1,COUNTIF($O$4:$O$2003,"&lt;"&amp;O1329)+1,"")</f>
        <v/>
      </c>
      <c r="Q1329">
        <f>IF(OR($R1328="",$R1328="T"),"",IF($R1328="B",$Q1328,IF($Q1328+1&gt;$K$3,"",$Q1328+1)))</f>
        <v/>
      </c>
      <c r="R1329">
        <f>IF(OR($R1328="",$R1328="T"),"",IF($R1328="B","S",IF($Q1328+1&gt;$K$3,"T",IF(INDEX($M$4:$M$2003,MATCH($Q1328+1,$P$4:$P$2003,0))&lt;&gt;INDEX($M$4:$M$2003,MATCH($Q1328,$P$4:$P$2003,0)),"B","S"))))</f>
        <v/>
      </c>
      <c r="S1329">
        <f>IF(Q1329="","",IFERROR(MATCH(Q1329,$P$4:$P$2003,0),""))</f>
        <v/>
      </c>
    </row>
    <row r="1330">
      <c r="A1330" s="4">
        <f>IF($R1330="","",IF($R1330="T","Gesamtergebnis",IF($R1330="B",INDEX($M$4:$M$2003,$S1330),INDEX($L$4:$L$2003,$S1330))))</f>
        <v/>
      </c>
      <c r="B1330" s="4">
        <f>IF($R1330="","",IF($R1330="T",$K$3,IF($R1330="B",COUNTIFS($M$4:$M$2003,INDEX($M$4:$M$2003,$S1330),$N$4:$N$2003,1),1)))</f>
        <v/>
      </c>
      <c r="L1330">
        <f>IF($K$1="","",IFERROR(INDEX(Lines!$A:$AA,ROW()-2,$K$1),""))</f>
        <v/>
      </c>
      <c r="M1330">
        <f>IF($K$2="","",IFERROR(INDEX(Lines!$A:$AA,ROW()-2,$K$2),""))</f>
        <v/>
      </c>
      <c r="N1330">
        <f>IF(AND(L1330&lt;&gt;"",LEFT(L1330,1)="N",M1330&lt;&gt;"PICKING",M1330&lt;&gt;""),1,0)</f>
        <v/>
      </c>
      <c r="O1330">
        <f>IF(N1330=1,M1330&amp;"|"&amp;L1330,REPT("z",40))</f>
        <v/>
      </c>
      <c r="P1330">
        <f>IF(N1330=1,COUNTIF($O$4:$O$2003,"&lt;"&amp;O1330)+1,"")</f>
        <v/>
      </c>
      <c r="Q1330">
        <f>IF(OR($R1329="",$R1329="T"),"",IF($R1329="B",$Q1329,IF($Q1329+1&gt;$K$3,"",$Q1329+1)))</f>
        <v/>
      </c>
      <c r="R1330">
        <f>IF(OR($R1329="",$R1329="T"),"",IF($R1329="B","S",IF($Q1329+1&gt;$K$3,"T",IF(INDEX($M$4:$M$2003,MATCH($Q1329+1,$P$4:$P$2003,0))&lt;&gt;INDEX($M$4:$M$2003,MATCH($Q1329,$P$4:$P$2003,0)),"B","S"))))</f>
        <v/>
      </c>
      <c r="S1330">
        <f>IF(Q1330="","",IFERROR(MATCH(Q1330,$P$4:$P$2003,0),""))</f>
        <v/>
      </c>
    </row>
    <row r="1331">
      <c r="A1331" s="4">
        <f>IF($R1331="","",IF($R1331="T","Gesamtergebnis",IF($R1331="B",INDEX($M$4:$M$2003,$S1331),INDEX($L$4:$L$2003,$S1331))))</f>
        <v/>
      </c>
      <c r="B1331" s="4">
        <f>IF($R1331="","",IF($R1331="T",$K$3,IF($R1331="B",COUNTIFS($M$4:$M$2003,INDEX($M$4:$M$2003,$S1331),$N$4:$N$2003,1),1)))</f>
        <v/>
      </c>
      <c r="L1331">
        <f>IF($K$1="","",IFERROR(INDEX(Lines!$A:$AA,ROW()-2,$K$1),""))</f>
        <v/>
      </c>
      <c r="M1331">
        <f>IF($K$2="","",IFERROR(INDEX(Lines!$A:$AA,ROW()-2,$K$2),""))</f>
        <v/>
      </c>
      <c r="N1331">
        <f>IF(AND(L1331&lt;&gt;"",LEFT(L1331,1)="N",M1331&lt;&gt;"PICKING",M1331&lt;&gt;""),1,0)</f>
        <v/>
      </c>
      <c r="O1331">
        <f>IF(N1331=1,M1331&amp;"|"&amp;L1331,REPT("z",40))</f>
        <v/>
      </c>
      <c r="P1331">
        <f>IF(N1331=1,COUNTIF($O$4:$O$2003,"&lt;"&amp;O1331)+1,"")</f>
        <v/>
      </c>
      <c r="Q1331">
        <f>IF(OR($R1330="",$R1330="T"),"",IF($R1330="B",$Q1330,IF($Q1330+1&gt;$K$3,"",$Q1330+1)))</f>
        <v/>
      </c>
      <c r="R1331">
        <f>IF(OR($R1330="",$R1330="T"),"",IF($R1330="B","S",IF($Q1330+1&gt;$K$3,"T",IF(INDEX($M$4:$M$2003,MATCH($Q1330+1,$P$4:$P$2003,0))&lt;&gt;INDEX($M$4:$M$2003,MATCH($Q1330,$P$4:$P$2003,0)),"B","S"))))</f>
        <v/>
      </c>
      <c r="S1331">
        <f>IF(Q1331="","",IFERROR(MATCH(Q1331,$P$4:$P$2003,0),""))</f>
        <v/>
      </c>
    </row>
    <row r="1332">
      <c r="A1332" s="4">
        <f>IF($R1332="","",IF($R1332="T","Gesamtergebnis",IF($R1332="B",INDEX($M$4:$M$2003,$S1332),INDEX($L$4:$L$2003,$S1332))))</f>
        <v/>
      </c>
      <c r="B1332" s="4">
        <f>IF($R1332="","",IF($R1332="T",$K$3,IF($R1332="B",COUNTIFS($M$4:$M$2003,INDEX($M$4:$M$2003,$S1332),$N$4:$N$2003,1),1)))</f>
        <v/>
      </c>
      <c r="L1332">
        <f>IF($K$1="","",IFERROR(INDEX(Lines!$A:$AA,ROW()-2,$K$1),""))</f>
        <v/>
      </c>
      <c r="M1332">
        <f>IF($K$2="","",IFERROR(INDEX(Lines!$A:$AA,ROW()-2,$K$2),""))</f>
        <v/>
      </c>
      <c r="N1332">
        <f>IF(AND(L1332&lt;&gt;"",LEFT(L1332,1)="N",M1332&lt;&gt;"PICKING",M1332&lt;&gt;""),1,0)</f>
        <v/>
      </c>
      <c r="O1332">
        <f>IF(N1332=1,M1332&amp;"|"&amp;L1332,REPT("z",40))</f>
        <v/>
      </c>
      <c r="P1332">
        <f>IF(N1332=1,COUNTIF($O$4:$O$2003,"&lt;"&amp;O1332)+1,"")</f>
        <v/>
      </c>
      <c r="Q1332">
        <f>IF(OR($R1331="",$R1331="T"),"",IF($R1331="B",$Q1331,IF($Q1331+1&gt;$K$3,"",$Q1331+1)))</f>
        <v/>
      </c>
      <c r="R1332">
        <f>IF(OR($R1331="",$R1331="T"),"",IF($R1331="B","S",IF($Q1331+1&gt;$K$3,"T",IF(INDEX($M$4:$M$2003,MATCH($Q1331+1,$P$4:$P$2003,0))&lt;&gt;INDEX($M$4:$M$2003,MATCH($Q1331,$P$4:$P$2003,0)),"B","S"))))</f>
        <v/>
      </c>
      <c r="S1332">
        <f>IF(Q1332="","",IFERROR(MATCH(Q1332,$P$4:$P$2003,0),""))</f>
        <v/>
      </c>
    </row>
    <row r="1333">
      <c r="A1333" s="4">
        <f>IF($R1333="","",IF($R1333="T","Gesamtergebnis",IF($R1333="B",INDEX($M$4:$M$2003,$S1333),INDEX($L$4:$L$2003,$S1333))))</f>
        <v/>
      </c>
      <c r="B1333" s="4">
        <f>IF($R1333="","",IF($R1333="T",$K$3,IF($R1333="B",COUNTIFS($M$4:$M$2003,INDEX($M$4:$M$2003,$S1333),$N$4:$N$2003,1),1)))</f>
        <v/>
      </c>
      <c r="L1333">
        <f>IF($K$1="","",IFERROR(INDEX(Lines!$A:$AA,ROW()-2,$K$1),""))</f>
        <v/>
      </c>
      <c r="M1333">
        <f>IF($K$2="","",IFERROR(INDEX(Lines!$A:$AA,ROW()-2,$K$2),""))</f>
        <v/>
      </c>
      <c r="N1333">
        <f>IF(AND(L1333&lt;&gt;"",LEFT(L1333,1)="N",M1333&lt;&gt;"PICKING",M1333&lt;&gt;""),1,0)</f>
        <v/>
      </c>
      <c r="O1333">
        <f>IF(N1333=1,M1333&amp;"|"&amp;L1333,REPT("z",40))</f>
        <v/>
      </c>
      <c r="P1333">
        <f>IF(N1333=1,COUNTIF($O$4:$O$2003,"&lt;"&amp;O1333)+1,"")</f>
        <v/>
      </c>
      <c r="Q1333">
        <f>IF(OR($R1332="",$R1332="T"),"",IF($R1332="B",$Q1332,IF($Q1332+1&gt;$K$3,"",$Q1332+1)))</f>
        <v/>
      </c>
      <c r="R1333">
        <f>IF(OR($R1332="",$R1332="T"),"",IF($R1332="B","S",IF($Q1332+1&gt;$K$3,"T",IF(INDEX($M$4:$M$2003,MATCH($Q1332+1,$P$4:$P$2003,0))&lt;&gt;INDEX($M$4:$M$2003,MATCH($Q1332,$P$4:$P$2003,0)),"B","S"))))</f>
        <v/>
      </c>
      <c r="S1333">
        <f>IF(Q1333="","",IFERROR(MATCH(Q1333,$P$4:$P$2003,0),""))</f>
        <v/>
      </c>
    </row>
    <row r="1334">
      <c r="A1334" s="4">
        <f>IF($R1334="","",IF($R1334="T","Gesamtergebnis",IF($R1334="B",INDEX($M$4:$M$2003,$S1334),INDEX($L$4:$L$2003,$S1334))))</f>
        <v/>
      </c>
      <c r="B1334" s="4">
        <f>IF($R1334="","",IF($R1334="T",$K$3,IF($R1334="B",COUNTIFS($M$4:$M$2003,INDEX($M$4:$M$2003,$S1334),$N$4:$N$2003,1),1)))</f>
        <v/>
      </c>
      <c r="L1334">
        <f>IF($K$1="","",IFERROR(INDEX(Lines!$A:$AA,ROW()-2,$K$1),""))</f>
        <v/>
      </c>
      <c r="M1334">
        <f>IF($K$2="","",IFERROR(INDEX(Lines!$A:$AA,ROW()-2,$K$2),""))</f>
        <v/>
      </c>
      <c r="N1334">
        <f>IF(AND(L1334&lt;&gt;"",LEFT(L1334,1)="N",M1334&lt;&gt;"PICKING",M1334&lt;&gt;""),1,0)</f>
        <v/>
      </c>
      <c r="O1334">
        <f>IF(N1334=1,M1334&amp;"|"&amp;L1334,REPT("z",40))</f>
        <v/>
      </c>
      <c r="P1334">
        <f>IF(N1334=1,COUNTIF($O$4:$O$2003,"&lt;"&amp;O1334)+1,"")</f>
        <v/>
      </c>
      <c r="Q1334">
        <f>IF(OR($R1333="",$R1333="T"),"",IF($R1333="B",$Q1333,IF($Q1333+1&gt;$K$3,"",$Q1333+1)))</f>
        <v/>
      </c>
      <c r="R1334">
        <f>IF(OR($R1333="",$R1333="T"),"",IF($R1333="B","S",IF($Q1333+1&gt;$K$3,"T",IF(INDEX($M$4:$M$2003,MATCH($Q1333+1,$P$4:$P$2003,0))&lt;&gt;INDEX($M$4:$M$2003,MATCH($Q1333,$P$4:$P$2003,0)),"B","S"))))</f>
        <v/>
      </c>
      <c r="S1334">
        <f>IF(Q1334="","",IFERROR(MATCH(Q1334,$P$4:$P$2003,0),""))</f>
        <v/>
      </c>
    </row>
    <row r="1335">
      <c r="A1335" s="4">
        <f>IF($R1335="","",IF($R1335="T","Gesamtergebnis",IF($R1335="B",INDEX($M$4:$M$2003,$S1335),INDEX($L$4:$L$2003,$S1335))))</f>
        <v/>
      </c>
      <c r="B1335" s="4">
        <f>IF($R1335="","",IF($R1335="T",$K$3,IF($R1335="B",COUNTIFS($M$4:$M$2003,INDEX($M$4:$M$2003,$S1335),$N$4:$N$2003,1),1)))</f>
        <v/>
      </c>
      <c r="L1335">
        <f>IF($K$1="","",IFERROR(INDEX(Lines!$A:$AA,ROW()-2,$K$1),""))</f>
        <v/>
      </c>
      <c r="M1335">
        <f>IF($K$2="","",IFERROR(INDEX(Lines!$A:$AA,ROW()-2,$K$2),""))</f>
        <v/>
      </c>
      <c r="N1335">
        <f>IF(AND(L1335&lt;&gt;"",LEFT(L1335,1)="N",M1335&lt;&gt;"PICKING",M1335&lt;&gt;""),1,0)</f>
        <v/>
      </c>
      <c r="O1335">
        <f>IF(N1335=1,M1335&amp;"|"&amp;L1335,REPT("z",40))</f>
        <v/>
      </c>
      <c r="P1335">
        <f>IF(N1335=1,COUNTIF($O$4:$O$2003,"&lt;"&amp;O1335)+1,"")</f>
        <v/>
      </c>
      <c r="Q1335">
        <f>IF(OR($R1334="",$R1334="T"),"",IF($R1334="B",$Q1334,IF($Q1334+1&gt;$K$3,"",$Q1334+1)))</f>
        <v/>
      </c>
      <c r="R1335">
        <f>IF(OR($R1334="",$R1334="T"),"",IF($R1334="B","S",IF($Q1334+1&gt;$K$3,"T",IF(INDEX($M$4:$M$2003,MATCH($Q1334+1,$P$4:$P$2003,0))&lt;&gt;INDEX($M$4:$M$2003,MATCH($Q1334,$P$4:$P$2003,0)),"B","S"))))</f>
        <v/>
      </c>
      <c r="S1335">
        <f>IF(Q1335="","",IFERROR(MATCH(Q1335,$P$4:$P$2003,0),""))</f>
        <v/>
      </c>
    </row>
    <row r="1336">
      <c r="A1336" s="4">
        <f>IF($R1336="","",IF($R1336="T","Gesamtergebnis",IF($R1336="B",INDEX($M$4:$M$2003,$S1336),INDEX($L$4:$L$2003,$S1336))))</f>
        <v/>
      </c>
      <c r="B1336" s="4">
        <f>IF($R1336="","",IF($R1336="T",$K$3,IF($R1336="B",COUNTIFS($M$4:$M$2003,INDEX($M$4:$M$2003,$S1336),$N$4:$N$2003,1),1)))</f>
        <v/>
      </c>
      <c r="L1336">
        <f>IF($K$1="","",IFERROR(INDEX(Lines!$A:$AA,ROW()-2,$K$1),""))</f>
        <v/>
      </c>
      <c r="M1336">
        <f>IF($K$2="","",IFERROR(INDEX(Lines!$A:$AA,ROW()-2,$K$2),""))</f>
        <v/>
      </c>
      <c r="N1336">
        <f>IF(AND(L1336&lt;&gt;"",LEFT(L1336,1)="N",M1336&lt;&gt;"PICKING",M1336&lt;&gt;""),1,0)</f>
        <v/>
      </c>
      <c r="O1336">
        <f>IF(N1336=1,M1336&amp;"|"&amp;L1336,REPT("z",40))</f>
        <v/>
      </c>
      <c r="P1336">
        <f>IF(N1336=1,COUNTIF($O$4:$O$2003,"&lt;"&amp;O1336)+1,"")</f>
        <v/>
      </c>
      <c r="Q1336">
        <f>IF(OR($R1335="",$R1335="T"),"",IF($R1335="B",$Q1335,IF($Q1335+1&gt;$K$3,"",$Q1335+1)))</f>
        <v/>
      </c>
      <c r="R1336">
        <f>IF(OR($R1335="",$R1335="T"),"",IF($R1335="B","S",IF($Q1335+1&gt;$K$3,"T",IF(INDEX($M$4:$M$2003,MATCH($Q1335+1,$P$4:$P$2003,0))&lt;&gt;INDEX($M$4:$M$2003,MATCH($Q1335,$P$4:$P$2003,0)),"B","S"))))</f>
        <v/>
      </c>
      <c r="S1336">
        <f>IF(Q1336="","",IFERROR(MATCH(Q1336,$P$4:$P$2003,0),""))</f>
        <v/>
      </c>
    </row>
    <row r="1337">
      <c r="A1337" s="4">
        <f>IF($R1337="","",IF($R1337="T","Gesamtergebnis",IF($R1337="B",INDEX($M$4:$M$2003,$S1337),INDEX($L$4:$L$2003,$S1337))))</f>
        <v/>
      </c>
      <c r="B1337" s="4">
        <f>IF($R1337="","",IF($R1337="T",$K$3,IF($R1337="B",COUNTIFS($M$4:$M$2003,INDEX($M$4:$M$2003,$S1337),$N$4:$N$2003,1),1)))</f>
        <v/>
      </c>
      <c r="L1337">
        <f>IF($K$1="","",IFERROR(INDEX(Lines!$A:$AA,ROW()-2,$K$1),""))</f>
        <v/>
      </c>
      <c r="M1337">
        <f>IF($K$2="","",IFERROR(INDEX(Lines!$A:$AA,ROW()-2,$K$2),""))</f>
        <v/>
      </c>
      <c r="N1337">
        <f>IF(AND(L1337&lt;&gt;"",LEFT(L1337,1)="N",M1337&lt;&gt;"PICKING",M1337&lt;&gt;""),1,0)</f>
        <v/>
      </c>
      <c r="O1337">
        <f>IF(N1337=1,M1337&amp;"|"&amp;L1337,REPT("z",40))</f>
        <v/>
      </c>
      <c r="P1337">
        <f>IF(N1337=1,COUNTIF($O$4:$O$2003,"&lt;"&amp;O1337)+1,"")</f>
        <v/>
      </c>
      <c r="Q1337">
        <f>IF(OR($R1336="",$R1336="T"),"",IF($R1336="B",$Q1336,IF($Q1336+1&gt;$K$3,"",$Q1336+1)))</f>
        <v/>
      </c>
      <c r="R1337">
        <f>IF(OR($R1336="",$R1336="T"),"",IF($R1336="B","S",IF($Q1336+1&gt;$K$3,"T",IF(INDEX($M$4:$M$2003,MATCH($Q1336+1,$P$4:$P$2003,0))&lt;&gt;INDEX($M$4:$M$2003,MATCH($Q1336,$P$4:$P$2003,0)),"B","S"))))</f>
        <v/>
      </c>
      <c r="S1337">
        <f>IF(Q1337="","",IFERROR(MATCH(Q1337,$P$4:$P$2003,0),""))</f>
        <v/>
      </c>
    </row>
    <row r="1338">
      <c r="A1338" s="4">
        <f>IF($R1338="","",IF($R1338="T","Gesamtergebnis",IF($R1338="B",INDEX($M$4:$M$2003,$S1338),INDEX($L$4:$L$2003,$S1338))))</f>
        <v/>
      </c>
      <c r="B1338" s="4">
        <f>IF($R1338="","",IF($R1338="T",$K$3,IF($R1338="B",COUNTIFS($M$4:$M$2003,INDEX($M$4:$M$2003,$S1338),$N$4:$N$2003,1),1)))</f>
        <v/>
      </c>
      <c r="L1338">
        <f>IF($K$1="","",IFERROR(INDEX(Lines!$A:$AA,ROW()-2,$K$1),""))</f>
        <v/>
      </c>
      <c r="M1338">
        <f>IF($K$2="","",IFERROR(INDEX(Lines!$A:$AA,ROW()-2,$K$2),""))</f>
        <v/>
      </c>
      <c r="N1338">
        <f>IF(AND(L1338&lt;&gt;"",LEFT(L1338,1)="N",M1338&lt;&gt;"PICKING",M1338&lt;&gt;""),1,0)</f>
        <v/>
      </c>
      <c r="O1338">
        <f>IF(N1338=1,M1338&amp;"|"&amp;L1338,REPT("z",40))</f>
        <v/>
      </c>
      <c r="P1338">
        <f>IF(N1338=1,COUNTIF($O$4:$O$2003,"&lt;"&amp;O1338)+1,"")</f>
        <v/>
      </c>
      <c r="Q1338">
        <f>IF(OR($R1337="",$R1337="T"),"",IF($R1337="B",$Q1337,IF($Q1337+1&gt;$K$3,"",$Q1337+1)))</f>
        <v/>
      </c>
      <c r="R1338">
        <f>IF(OR($R1337="",$R1337="T"),"",IF($R1337="B","S",IF($Q1337+1&gt;$K$3,"T",IF(INDEX($M$4:$M$2003,MATCH($Q1337+1,$P$4:$P$2003,0))&lt;&gt;INDEX($M$4:$M$2003,MATCH($Q1337,$P$4:$P$2003,0)),"B","S"))))</f>
        <v/>
      </c>
      <c r="S1338">
        <f>IF(Q1338="","",IFERROR(MATCH(Q1338,$P$4:$P$2003,0),""))</f>
        <v/>
      </c>
    </row>
    <row r="1339">
      <c r="A1339" s="4">
        <f>IF($R1339="","",IF($R1339="T","Gesamtergebnis",IF($R1339="B",INDEX($M$4:$M$2003,$S1339),INDEX($L$4:$L$2003,$S1339))))</f>
        <v/>
      </c>
      <c r="B1339" s="4">
        <f>IF($R1339="","",IF($R1339="T",$K$3,IF($R1339="B",COUNTIFS($M$4:$M$2003,INDEX($M$4:$M$2003,$S1339),$N$4:$N$2003,1),1)))</f>
        <v/>
      </c>
      <c r="L1339">
        <f>IF($K$1="","",IFERROR(INDEX(Lines!$A:$AA,ROW()-2,$K$1),""))</f>
        <v/>
      </c>
      <c r="M1339">
        <f>IF($K$2="","",IFERROR(INDEX(Lines!$A:$AA,ROW()-2,$K$2),""))</f>
        <v/>
      </c>
      <c r="N1339">
        <f>IF(AND(L1339&lt;&gt;"",LEFT(L1339,1)="N",M1339&lt;&gt;"PICKING",M1339&lt;&gt;""),1,0)</f>
        <v/>
      </c>
      <c r="O1339">
        <f>IF(N1339=1,M1339&amp;"|"&amp;L1339,REPT("z",40))</f>
        <v/>
      </c>
      <c r="P1339">
        <f>IF(N1339=1,COUNTIF($O$4:$O$2003,"&lt;"&amp;O1339)+1,"")</f>
        <v/>
      </c>
      <c r="Q1339">
        <f>IF(OR($R1338="",$R1338="T"),"",IF($R1338="B",$Q1338,IF($Q1338+1&gt;$K$3,"",$Q1338+1)))</f>
        <v/>
      </c>
      <c r="R1339">
        <f>IF(OR($R1338="",$R1338="T"),"",IF($R1338="B","S",IF($Q1338+1&gt;$K$3,"T",IF(INDEX($M$4:$M$2003,MATCH($Q1338+1,$P$4:$P$2003,0))&lt;&gt;INDEX($M$4:$M$2003,MATCH($Q1338,$P$4:$P$2003,0)),"B","S"))))</f>
        <v/>
      </c>
      <c r="S1339">
        <f>IF(Q1339="","",IFERROR(MATCH(Q1339,$P$4:$P$2003,0),""))</f>
        <v/>
      </c>
    </row>
    <row r="1340">
      <c r="A1340" s="4">
        <f>IF($R1340="","",IF($R1340="T","Gesamtergebnis",IF($R1340="B",INDEX($M$4:$M$2003,$S1340),INDEX($L$4:$L$2003,$S1340))))</f>
        <v/>
      </c>
      <c r="B1340" s="4">
        <f>IF($R1340="","",IF($R1340="T",$K$3,IF($R1340="B",COUNTIFS($M$4:$M$2003,INDEX($M$4:$M$2003,$S1340),$N$4:$N$2003,1),1)))</f>
        <v/>
      </c>
      <c r="L1340">
        <f>IF($K$1="","",IFERROR(INDEX(Lines!$A:$AA,ROW()-2,$K$1),""))</f>
        <v/>
      </c>
      <c r="M1340">
        <f>IF($K$2="","",IFERROR(INDEX(Lines!$A:$AA,ROW()-2,$K$2),""))</f>
        <v/>
      </c>
      <c r="N1340">
        <f>IF(AND(L1340&lt;&gt;"",LEFT(L1340,1)="N",M1340&lt;&gt;"PICKING",M1340&lt;&gt;""),1,0)</f>
        <v/>
      </c>
      <c r="O1340">
        <f>IF(N1340=1,M1340&amp;"|"&amp;L1340,REPT("z",40))</f>
        <v/>
      </c>
      <c r="P1340">
        <f>IF(N1340=1,COUNTIF($O$4:$O$2003,"&lt;"&amp;O1340)+1,"")</f>
        <v/>
      </c>
      <c r="Q1340">
        <f>IF(OR($R1339="",$R1339="T"),"",IF($R1339="B",$Q1339,IF($Q1339+1&gt;$K$3,"",$Q1339+1)))</f>
        <v/>
      </c>
      <c r="R1340">
        <f>IF(OR($R1339="",$R1339="T"),"",IF($R1339="B","S",IF($Q1339+1&gt;$K$3,"T",IF(INDEX($M$4:$M$2003,MATCH($Q1339+1,$P$4:$P$2003,0))&lt;&gt;INDEX($M$4:$M$2003,MATCH($Q1339,$P$4:$P$2003,0)),"B","S"))))</f>
        <v/>
      </c>
      <c r="S1340">
        <f>IF(Q1340="","",IFERROR(MATCH(Q1340,$P$4:$P$2003,0),""))</f>
        <v/>
      </c>
    </row>
    <row r="1341">
      <c r="A1341" s="4">
        <f>IF($R1341="","",IF($R1341="T","Gesamtergebnis",IF($R1341="B",INDEX($M$4:$M$2003,$S1341),INDEX($L$4:$L$2003,$S1341))))</f>
        <v/>
      </c>
      <c r="B1341" s="4">
        <f>IF($R1341="","",IF($R1341="T",$K$3,IF($R1341="B",COUNTIFS($M$4:$M$2003,INDEX($M$4:$M$2003,$S1341),$N$4:$N$2003,1),1)))</f>
        <v/>
      </c>
      <c r="L1341">
        <f>IF($K$1="","",IFERROR(INDEX(Lines!$A:$AA,ROW()-2,$K$1),""))</f>
        <v/>
      </c>
      <c r="M1341">
        <f>IF($K$2="","",IFERROR(INDEX(Lines!$A:$AA,ROW()-2,$K$2),""))</f>
        <v/>
      </c>
      <c r="N1341">
        <f>IF(AND(L1341&lt;&gt;"",LEFT(L1341,1)="N",M1341&lt;&gt;"PICKING",M1341&lt;&gt;""),1,0)</f>
        <v/>
      </c>
      <c r="O1341">
        <f>IF(N1341=1,M1341&amp;"|"&amp;L1341,REPT("z",40))</f>
        <v/>
      </c>
      <c r="P1341">
        <f>IF(N1341=1,COUNTIF($O$4:$O$2003,"&lt;"&amp;O1341)+1,"")</f>
        <v/>
      </c>
      <c r="Q1341">
        <f>IF(OR($R1340="",$R1340="T"),"",IF($R1340="B",$Q1340,IF($Q1340+1&gt;$K$3,"",$Q1340+1)))</f>
        <v/>
      </c>
      <c r="R1341">
        <f>IF(OR($R1340="",$R1340="T"),"",IF($R1340="B","S",IF($Q1340+1&gt;$K$3,"T",IF(INDEX($M$4:$M$2003,MATCH($Q1340+1,$P$4:$P$2003,0))&lt;&gt;INDEX($M$4:$M$2003,MATCH($Q1340,$P$4:$P$2003,0)),"B","S"))))</f>
        <v/>
      </c>
      <c r="S1341">
        <f>IF(Q1341="","",IFERROR(MATCH(Q1341,$P$4:$P$2003,0),""))</f>
        <v/>
      </c>
    </row>
    <row r="1342">
      <c r="A1342" s="4">
        <f>IF($R1342="","",IF($R1342="T","Gesamtergebnis",IF($R1342="B",INDEX($M$4:$M$2003,$S1342),INDEX($L$4:$L$2003,$S1342))))</f>
        <v/>
      </c>
      <c r="B1342" s="4">
        <f>IF($R1342="","",IF($R1342="T",$K$3,IF($R1342="B",COUNTIFS($M$4:$M$2003,INDEX($M$4:$M$2003,$S1342),$N$4:$N$2003,1),1)))</f>
        <v/>
      </c>
      <c r="L1342">
        <f>IF($K$1="","",IFERROR(INDEX(Lines!$A:$AA,ROW()-2,$K$1),""))</f>
        <v/>
      </c>
      <c r="M1342">
        <f>IF($K$2="","",IFERROR(INDEX(Lines!$A:$AA,ROW()-2,$K$2),""))</f>
        <v/>
      </c>
      <c r="N1342">
        <f>IF(AND(L1342&lt;&gt;"",LEFT(L1342,1)="N",M1342&lt;&gt;"PICKING",M1342&lt;&gt;""),1,0)</f>
        <v/>
      </c>
      <c r="O1342">
        <f>IF(N1342=1,M1342&amp;"|"&amp;L1342,REPT("z",40))</f>
        <v/>
      </c>
      <c r="P1342">
        <f>IF(N1342=1,COUNTIF($O$4:$O$2003,"&lt;"&amp;O1342)+1,"")</f>
        <v/>
      </c>
      <c r="Q1342">
        <f>IF(OR($R1341="",$R1341="T"),"",IF($R1341="B",$Q1341,IF($Q1341+1&gt;$K$3,"",$Q1341+1)))</f>
        <v/>
      </c>
      <c r="R1342">
        <f>IF(OR($R1341="",$R1341="T"),"",IF($R1341="B","S",IF($Q1341+1&gt;$K$3,"T",IF(INDEX($M$4:$M$2003,MATCH($Q1341+1,$P$4:$P$2003,0))&lt;&gt;INDEX($M$4:$M$2003,MATCH($Q1341,$P$4:$P$2003,0)),"B","S"))))</f>
        <v/>
      </c>
      <c r="S1342">
        <f>IF(Q1342="","",IFERROR(MATCH(Q1342,$P$4:$P$2003,0),""))</f>
        <v/>
      </c>
    </row>
    <row r="1343">
      <c r="A1343" s="4">
        <f>IF($R1343="","",IF($R1343="T","Gesamtergebnis",IF($R1343="B",INDEX($M$4:$M$2003,$S1343),INDEX($L$4:$L$2003,$S1343))))</f>
        <v/>
      </c>
      <c r="B1343" s="4">
        <f>IF($R1343="","",IF($R1343="T",$K$3,IF($R1343="B",COUNTIFS($M$4:$M$2003,INDEX($M$4:$M$2003,$S1343),$N$4:$N$2003,1),1)))</f>
        <v/>
      </c>
      <c r="L1343">
        <f>IF($K$1="","",IFERROR(INDEX(Lines!$A:$AA,ROW()-2,$K$1),""))</f>
        <v/>
      </c>
      <c r="M1343">
        <f>IF($K$2="","",IFERROR(INDEX(Lines!$A:$AA,ROW()-2,$K$2),""))</f>
        <v/>
      </c>
      <c r="N1343">
        <f>IF(AND(L1343&lt;&gt;"",LEFT(L1343,1)="N",M1343&lt;&gt;"PICKING",M1343&lt;&gt;""),1,0)</f>
        <v/>
      </c>
      <c r="O1343">
        <f>IF(N1343=1,M1343&amp;"|"&amp;L1343,REPT("z",40))</f>
        <v/>
      </c>
      <c r="P1343">
        <f>IF(N1343=1,COUNTIF($O$4:$O$2003,"&lt;"&amp;O1343)+1,"")</f>
        <v/>
      </c>
      <c r="Q1343">
        <f>IF(OR($R1342="",$R1342="T"),"",IF($R1342="B",$Q1342,IF($Q1342+1&gt;$K$3,"",$Q1342+1)))</f>
        <v/>
      </c>
      <c r="R1343">
        <f>IF(OR($R1342="",$R1342="T"),"",IF($R1342="B","S",IF($Q1342+1&gt;$K$3,"T",IF(INDEX($M$4:$M$2003,MATCH($Q1342+1,$P$4:$P$2003,0))&lt;&gt;INDEX($M$4:$M$2003,MATCH($Q1342,$P$4:$P$2003,0)),"B","S"))))</f>
        <v/>
      </c>
      <c r="S1343">
        <f>IF(Q1343="","",IFERROR(MATCH(Q1343,$P$4:$P$2003,0),""))</f>
        <v/>
      </c>
    </row>
    <row r="1344">
      <c r="A1344" s="4">
        <f>IF($R1344="","",IF($R1344="T","Gesamtergebnis",IF($R1344="B",INDEX($M$4:$M$2003,$S1344),INDEX($L$4:$L$2003,$S1344))))</f>
        <v/>
      </c>
      <c r="B1344" s="4">
        <f>IF($R1344="","",IF($R1344="T",$K$3,IF($R1344="B",COUNTIFS($M$4:$M$2003,INDEX($M$4:$M$2003,$S1344),$N$4:$N$2003,1),1)))</f>
        <v/>
      </c>
      <c r="L1344">
        <f>IF($K$1="","",IFERROR(INDEX(Lines!$A:$AA,ROW()-2,$K$1),""))</f>
        <v/>
      </c>
      <c r="M1344">
        <f>IF($K$2="","",IFERROR(INDEX(Lines!$A:$AA,ROW()-2,$K$2),""))</f>
        <v/>
      </c>
      <c r="N1344">
        <f>IF(AND(L1344&lt;&gt;"",LEFT(L1344,1)="N",M1344&lt;&gt;"PICKING",M1344&lt;&gt;""),1,0)</f>
        <v/>
      </c>
      <c r="O1344">
        <f>IF(N1344=1,M1344&amp;"|"&amp;L1344,REPT("z",40))</f>
        <v/>
      </c>
      <c r="P1344">
        <f>IF(N1344=1,COUNTIF($O$4:$O$2003,"&lt;"&amp;O1344)+1,"")</f>
        <v/>
      </c>
      <c r="Q1344">
        <f>IF(OR($R1343="",$R1343="T"),"",IF($R1343="B",$Q1343,IF($Q1343+1&gt;$K$3,"",$Q1343+1)))</f>
        <v/>
      </c>
      <c r="R1344">
        <f>IF(OR($R1343="",$R1343="T"),"",IF($R1343="B","S",IF($Q1343+1&gt;$K$3,"T",IF(INDEX($M$4:$M$2003,MATCH($Q1343+1,$P$4:$P$2003,0))&lt;&gt;INDEX($M$4:$M$2003,MATCH($Q1343,$P$4:$P$2003,0)),"B","S"))))</f>
        <v/>
      </c>
      <c r="S1344">
        <f>IF(Q1344="","",IFERROR(MATCH(Q1344,$P$4:$P$2003,0),""))</f>
        <v/>
      </c>
    </row>
    <row r="1345">
      <c r="A1345" s="4">
        <f>IF($R1345="","",IF($R1345="T","Gesamtergebnis",IF($R1345="B",INDEX($M$4:$M$2003,$S1345),INDEX($L$4:$L$2003,$S1345))))</f>
        <v/>
      </c>
      <c r="B1345" s="4">
        <f>IF($R1345="","",IF($R1345="T",$K$3,IF($R1345="B",COUNTIFS($M$4:$M$2003,INDEX($M$4:$M$2003,$S1345),$N$4:$N$2003,1),1)))</f>
        <v/>
      </c>
      <c r="L1345">
        <f>IF($K$1="","",IFERROR(INDEX(Lines!$A:$AA,ROW()-2,$K$1),""))</f>
        <v/>
      </c>
      <c r="M1345">
        <f>IF($K$2="","",IFERROR(INDEX(Lines!$A:$AA,ROW()-2,$K$2),""))</f>
        <v/>
      </c>
      <c r="N1345">
        <f>IF(AND(L1345&lt;&gt;"",LEFT(L1345,1)="N",M1345&lt;&gt;"PICKING",M1345&lt;&gt;""),1,0)</f>
        <v/>
      </c>
      <c r="O1345">
        <f>IF(N1345=1,M1345&amp;"|"&amp;L1345,REPT("z",40))</f>
        <v/>
      </c>
      <c r="P1345">
        <f>IF(N1345=1,COUNTIF($O$4:$O$2003,"&lt;"&amp;O1345)+1,"")</f>
        <v/>
      </c>
      <c r="Q1345">
        <f>IF(OR($R1344="",$R1344="T"),"",IF($R1344="B",$Q1344,IF($Q1344+1&gt;$K$3,"",$Q1344+1)))</f>
        <v/>
      </c>
      <c r="R1345">
        <f>IF(OR($R1344="",$R1344="T"),"",IF($R1344="B","S",IF($Q1344+1&gt;$K$3,"T",IF(INDEX($M$4:$M$2003,MATCH($Q1344+1,$P$4:$P$2003,0))&lt;&gt;INDEX($M$4:$M$2003,MATCH($Q1344,$P$4:$P$2003,0)),"B","S"))))</f>
        <v/>
      </c>
      <c r="S1345">
        <f>IF(Q1345="","",IFERROR(MATCH(Q1345,$P$4:$P$2003,0),""))</f>
        <v/>
      </c>
    </row>
    <row r="1346">
      <c r="A1346" s="4">
        <f>IF($R1346="","",IF($R1346="T","Gesamtergebnis",IF($R1346="B",INDEX($M$4:$M$2003,$S1346),INDEX($L$4:$L$2003,$S1346))))</f>
        <v/>
      </c>
      <c r="B1346" s="4">
        <f>IF($R1346="","",IF($R1346="T",$K$3,IF($R1346="B",COUNTIFS($M$4:$M$2003,INDEX($M$4:$M$2003,$S1346),$N$4:$N$2003,1),1)))</f>
        <v/>
      </c>
      <c r="L1346">
        <f>IF($K$1="","",IFERROR(INDEX(Lines!$A:$AA,ROW()-2,$K$1),""))</f>
        <v/>
      </c>
      <c r="M1346">
        <f>IF($K$2="","",IFERROR(INDEX(Lines!$A:$AA,ROW()-2,$K$2),""))</f>
        <v/>
      </c>
      <c r="N1346">
        <f>IF(AND(L1346&lt;&gt;"",LEFT(L1346,1)="N",M1346&lt;&gt;"PICKING",M1346&lt;&gt;""),1,0)</f>
        <v/>
      </c>
      <c r="O1346">
        <f>IF(N1346=1,M1346&amp;"|"&amp;L1346,REPT("z",40))</f>
        <v/>
      </c>
      <c r="P1346">
        <f>IF(N1346=1,COUNTIF($O$4:$O$2003,"&lt;"&amp;O1346)+1,"")</f>
        <v/>
      </c>
      <c r="Q1346">
        <f>IF(OR($R1345="",$R1345="T"),"",IF($R1345="B",$Q1345,IF($Q1345+1&gt;$K$3,"",$Q1345+1)))</f>
        <v/>
      </c>
      <c r="R1346">
        <f>IF(OR($R1345="",$R1345="T"),"",IF($R1345="B","S",IF($Q1345+1&gt;$K$3,"T",IF(INDEX($M$4:$M$2003,MATCH($Q1345+1,$P$4:$P$2003,0))&lt;&gt;INDEX($M$4:$M$2003,MATCH($Q1345,$P$4:$P$2003,0)),"B","S"))))</f>
        <v/>
      </c>
      <c r="S1346">
        <f>IF(Q1346="","",IFERROR(MATCH(Q1346,$P$4:$P$2003,0),""))</f>
        <v/>
      </c>
    </row>
    <row r="1347">
      <c r="A1347" s="4">
        <f>IF($R1347="","",IF($R1347="T","Gesamtergebnis",IF($R1347="B",INDEX($M$4:$M$2003,$S1347),INDEX($L$4:$L$2003,$S1347))))</f>
        <v/>
      </c>
      <c r="B1347" s="4">
        <f>IF($R1347="","",IF($R1347="T",$K$3,IF($R1347="B",COUNTIFS($M$4:$M$2003,INDEX($M$4:$M$2003,$S1347),$N$4:$N$2003,1),1)))</f>
        <v/>
      </c>
      <c r="L1347">
        <f>IF($K$1="","",IFERROR(INDEX(Lines!$A:$AA,ROW()-2,$K$1),""))</f>
        <v/>
      </c>
      <c r="M1347">
        <f>IF($K$2="","",IFERROR(INDEX(Lines!$A:$AA,ROW()-2,$K$2),""))</f>
        <v/>
      </c>
      <c r="N1347">
        <f>IF(AND(L1347&lt;&gt;"",LEFT(L1347,1)="N",M1347&lt;&gt;"PICKING",M1347&lt;&gt;""),1,0)</f>
        <v/>
      </c>
      <c r="O1347">
        <f>IF(N1347=1,M1347&amp;"|"&amp;L1347,REPT("z",40))</f>
        <v/>
      </c>
      <c r="P1347">
        <f>IF(N1347=1,COUNTIF($O$4:$O$2003,"&lt;"&amp;O1347)+1,"")</f>
        <v/>
      </c>
      <c r="Q1347">
        <f>IF(OR($R1346="",$R1346="T"),"",IF($R1346="B",$Q1346,IF($Q1346+1&gt;$K$3,"",$Q1346+1)))</f>
        <v/>
      </c>
      <c r="R1347">
        <f>IF(OR($R1346="",$R1346="T"),"",IF($R1346="B","S",IF($Q1346+1&gt;$K$3,"T",IF(INDEX($M$4:$M$2003,MATCH($Q1346+1,$P$4:$P$2003,0))&lt;&gt;INDEX($M$4:$M$2003,MATCH($Q1346,$P$4:$P$2003,0)),"B","S"))))</f>
        <v/>
      </c>
      <c r="S1347">
        <f>IF(Q1347="","",IFERROR(MATCH(Q1347,$P$4:$P$2003,0),""))</f>
        <v/>
      </c>
    </row>
    <row r="1348">
      <c r="A1348" s="4">
        <f>IF($R1348="","",IF($R1348="T","Gesamtergebnis",IF($R1348="B",INDEX($M$4:$M$2003,$S1348),INDEX($L$4:$L$2003,$S1348))))</f>
        <v/>
      </c>
      <c r="B1348" s="4">
        <f>IF($R1348="","",IF($R1348="T",$K$3,IF($R1348="B",COUNTIFS($M$4:$M$2003,INDEX($M$4:$M$2003,$S1348),$N$4:$N$2003,1),1)))</f>
        <v/>
      </c>
      <c r="L1348">
        <f>IF($K$1="","",IFERROR(INDEX(Lines!$A:$AA,ROW()-2,$K$1),""))</f>
        <v/>
      </c>
      <c r="M1348">
        <f>IF($K$2="","",IFERROR(INDEX(Lines!$A:$AA,ROW()-2,$K$2),""))</f>
        <v/>
      </c>
      <c r="N1348">
        <f>IF(AND(L1348&lt;&gt;"",LEFT(L1348,1)="N",M1348&lt;&gt;"PICKING",M1348&lt;&gt;""),1,0)</f>
        <v/>
      </c>
      <c r="O1348">
        <f>IF(N1348=1,M1348&amp;"|"&amp;L1348,REPT("z",40))</f>
        <v/>
      </c>
      <c r="P1348">
        <f>IF(N1348=1,COUNTIF($O$4:$O$2003,"&lt;"&amp;O1348)+1,"")</f>
        <v/>
      </c>
      <c r="Q1348">
        <f>IF(OR($R1347="",$R1347="T"),"",IF($R1347="B",$Q1347,IF($Q1347+1&gt;$K$3,"",$Q1347+1)))</f>
        <v/>
      </c>
      <c r="R1348">
        <f>IF(OR($R1347="",$R1347="T"),"",IF($R1347="B","S",IF($Q1347+1&gt;$K$3,"T",IF(INDEX($M$4:$M$2003,MATCH($Q1347+1,$P$4:$P$2003,0))&lt;&gt;INDEX($M$4:$M$2003,MATCH($Q1347,$P$4:$P$2003,0)),"B","S"))))</f>
        <v/>
      </c>
      <c r="S1348">
        <f>IF(Q1348="","",IFERROR(MATCH(Q1348,$P$4:$P$2003,0),""))</f>
        <v/>
      </c>
    </row>
    <row r="1349">
      <c r="A1349" s="4">
        <f>IF($R1349="","",IF($R1349="T","Gesamtergebnis",IF($R1349="B",INDEX($M$4:$M$2003,$S1349),INDEX($L$4:$L$2003,$S1349))))</f>
        <v/>
      </c>
      <c r="B1349" s="4">
        <f>IF($R1349="","",IF($R1349="T",$K$3,IF($R1349="B",COUNTIFS($M$4:$M$2003,INDEX($M$4:$M$2003,$S1349),$N$4:$N$2003,1),1)))</f>
        <v/>
      </c>
      <c r="L1349">
        <f>IF($K$1="","",IFERROR(INDEX(Lines!$A:$AA,ROW()-2,$K$1),""))</f>
        <v/>
      </c>
      <c r="M1349">
        <f>IF($K$2="","",IFERROR(INDEX(Lines!$A:$AA,ROW()-2,$K$2),""))</f>
        <v/>
      </c>
      <c r="N1349">
        <f>IF(AND(L1349&lt;&gt;"",LEFT(L1349,1)="N",M1349&lt;&gt;"PICKING",M1349&lt;&gt;""),1,0)</f>
        <v/>
      </c>
      <c r="O1349">
        <f>IF(N1349=1,M1349&amp;"|"&amp;L1349,REPT("z",40))</f>
        <v/>
      </c>
      <c r="P1349">
        <f>IF(N1349=1,COUNTIF($O$4:$O$2003,"&lt;"&amp;O1349)+1,"")</f>
        <v/>
      </c>
      <c r="Q1349">
        <f>IF(OR($R1348="",$R1348="T"),"",IF($R1348="B",$Q1348,IF($Q1348+1&gt;$K$3,"",$Q1348+1)))</f>
        <v/>
      </c>
      <c r="R1349">
        <f>IF(OR($R1348="",$R1348="T"),"",IF($R1348="B","S",IF($Q1348+1&gt;$K$3,"T",IF(INDEX($M$4:$M$2003,MATCH($Q1348+1,$P$4:$P$2003,0))&lt;&gt;INDEX($M$4:$M$2003,MATCH($Q1348,$P$4:$P$2003,0)),"B","S"))))</f>
        <v/>
      </c>
      <c r="S1349">
        <f>IF(Q1349="","",IFERROR(MATCH(Q1349,$P$4:$P$2003,0),""))</f>
        <v/>
      </c>
    </row>
    <row r="1350">
      <c r="A1350" s="4">
        <f>IF($R1350="","",IF($R1350="T","Gesamtergebnis",IF($R1350="B",INDEX($M$4:$M$2003,$S1350),INDEX($L$4:$L$2003,$S1350))))</f>
        <v/>
      </c>
      <c r="B1350" s="4">
        <f>IF($R1350="","",IF($R1350="T",$K$3,IF($R1350="B",COUNTIFS($M$4:$M$2003,INDEX($M$4:$M$2003,$S1350),$N$4:$N$2003,1),1)))</f>
        <v/>
      </c>
      <c r="L1350">
        <f>IF($K$1="","",IFERROR(INDEX(Lines!$A:$AA,ROW()-2,$K$1),""))</f>
        <v/>
      </c>
      <c r="M1350">
        <f>IF($K$2="","",IFERROR(INDEX(Lines!$A:$AA,ROW()-2,$K$2),""))</f>
        <v/>
      </c>
      <c r="N1350">
        <f>IF(AND(L1350&lt;&gt;"",LEFT(L1350,1)="N",M1350&lt;&gt;"PICKING",M1350&lt;&gt;""),1,0)</f>
        <v/>
      </c>
      <c r="O1350">
        <f>IF(N1350=1,M1350&amp;"|"&amp;L1350,REPT("z",40))</f>
        <v/>
      </c>
      <c r="P1350">
        <f>IF(N1350=1,COUNTIF($O$4:$O$2003,"&lt;"&amp;O1350)+1,"")</f>
        <v/>
      </c>
      <c r="Q1350">
        <f>IF(OR($R1349="",$R1349="T"),"",IF($R1349="B",$Q1349,IF($Q1349+1&gt;$K$3,"",$Q1349+1)))</f>
        <v/>
      </c>
      <c r="R1350">
        <f>IF(OR($R1349="",$R1349="T"),"",IF($R1349="B","S",IF($Q1349+1&gt;$K$3,"T",IF(INDEX($M$4:$M$2003,MATCH($Q1349+1,$P$4:$P$2003,0))&lt;&gt;INDEX($M$4:$M$2003,MATCH($Q1349,$P$4:$P$2003,0)),"B","S"))))</f>
        <v/>
      </c>
      <c r="S1350">
        <f>IF(Q1350="","",IFERROR(MATCH(Q1350,$P$4:$P$2003,0),""))</f>
        <v/>
      </c>
    </row>
    <row r="1351">
      <c r="A1351" s="4">
        <f>IF($R1351="","",IF($R1351="T","Gesamtergebnis",IF($R1351="B",INDEX($M$4:$M$2003,$S1351),INDEX($L$4:$L$2003,$S1351))))</f>
        <v/>
      </c>
      <c r="B1351" s="4">
        <f>IF($R1351="","",IF($R1351="T",$K$3,IF($R1351="B",COUNTIFS($M$4:$M$2003,INDEX($M$4:$M$2003,$S1351),$N$4:$N$2003,1),1)))</f>
        <v/>
      </c>
      <c r="L1351">
        <f>IF($K$1="","",IFERROR(INDEX(Lines!$A:$AA,ROW()-2,$K$1),""))</f>
        <v/>
      </c>
      <c r="M1351">
        <f>IF($K$2="","",IFERROR(INDEX(Lines!$A:$AA,ROW()-2,$K$2),""))</f>
        <v/>
      </c>
      <c r="N1351">
        <f>IF(AND(L1351&lt;&gt;"",LEFT(L1351,1)="N",M1351&lt;&gt;"PICKING",M1351&lt;&gt;""),1,0)</f>
        <v/>
      </c>
      <c r="O1351">
        <f>IF(N1351=1,M1351&amp;"|"&amp;L1351,REPT("z",40))</f>
        <v/>
      </c>
      <c r="P1351">
        <f>IF(N1351=1,COUNTIF($O$4:$O$2003,"&lt;"&amp;O1351)+1,"")</f>
        <v/>
      </c>
      <c r="Q1351">
        <f>IF(OR($R1350="",$R1350="T"),"",IF($R1350="B",$Q1350,IF($Q1350+1&gt;$K$3,"",$Q1350+1)))</f>
        <v/>
      </c>
      <c r="R1351">
        <f>IF(OR($R1350="",$R1350="T"),"",IF($R1350="B","S",IF($Q1350+1&gt;$K$3,"T",IF(INDEX($M$4:$M$2003,MATCH($Q1350+1,$P$4:$P$2003,0))&lt;&gt;INDEX($M$4:$M$2003,MATCH($Q1350,$P$4:$P$2003,0)),"B","S"))))</f>
        <v/>
      </c>
      <c r="S1351">
        <f>IF(Q1351="","",IFERROR(MATCH(Q1351,$P$4:$P$2003,0),""))</f>
        <v/>
      </c>
    </row>
    <row r="1352">
      <c r="A1352" s="4">
        <f>IF($R1352="","",IF($R1352="T","Gesamtergebnis",IF($R1352="B",INDEX($M$4:$M$2003,$S1352),INDEX($L$4:$L$2003,$S1352))))</f>
        <v/>
      </c>
      <c r="B1352" s="4">
        <f>IF($R1352="","",IF($R1352="T",$K$3,IF($R1352="B",COUNTIFS($M$4:$M$2003,INDEX($M$4:$M$2003,$S1352),$N$4:$N$2003,1),1)))</f>
        <v/>
      </c>
      <c r="L1352">
        <f>IF($K$1="","",IFERROR(INDEX(Lines!$A:$AA,ROW()-2,$K$1),""))</f>
        <v/>
      </c>
      <c r="M1352">
        <f>IF($K$2="","",IFERROR(INDEX(Lines!$A:$AA,ROW()-2,$K$2),""))</f>
        <v/>
      </c>
      <c r="N1352">
        <f>IF(AND(L1352&lt;&gt;"",LEFT(L1352,1)="N",M1352&lt;&gt;"PICKING",M1352&lt;&gt;""),1,0)</f>
        <v/>
      </c>
      <c r="O1352">
        <f>IF(N1352=1,M1352&amp;"|"&amp;L1352,REPT("z",40))</f>
        <v/>
      </c>
      <c r="P1352">
        <f>IF(N1352=1,COUNTIF($O$4:$O$2003,"&lt;"&amp;O1352)+1,"")</f>
        <v/>
      </c>
      <c r="Q1352">
        <f>IF(OR($R1351="",$R1351="T"),"",IF($R1351="B",$Q1351,IF($Q1351+1&gt;$K$3,"",$Q1351+1)))</f>
        <v/>
      </c>
      <c r="R1352">
        <f>IF(OR($R1351="",$R1351="T"),"",IF($R1351="B","S",IF($Q1351+1&gt;$K$3,"T",IF(INDEX($M$4:$M$2003,MATCH($Q1351+1,$P$4:$P$2003,0))&lt;&gt;INDEX($M$4:$M$2003,MATCH($Q1351,$P$4:$P$2003,0)),"B","S"))))</f>
        <v/>
      </c>
      <c r="S1352">
        <f>IF(Q1352="","",IFERROR(MATCH(Q1352,$P$4:$P$2003,0),""))</f>
        <v/>
      </c>
    </row>
    <row r="1353">
      <c r="A1353" s="4">
        <f>IF($R1353="","",IF($R1353="T","Gesamtergebnis",IF($R1353="B",INDEX($M$4:$M$2003,$S1353),INDEX($L$4:$L$2003,$S1353))))</f>
        <v/>
      </c>
      <c r="B1353" s="4">
        <f>IF($R1353="","",IF($R1353="T",$K$3,IF($R1353="B",COUNTIFS($M$4:$M$2003,INDEX($M$4:$M$2003,$S1353),$N$4:$N$2003,1),1)))</f>
        <v/>
      </c>
      <c r="L1353">
        <f>IF($K$1="","",IFERROR(INDEX(Lines!$A:$AA,ROW()-2,$K$1),""))</f>
        <v/>
      </c>
      <c r="M1353">
        <f>IF($K$2="","",IFERROR(INDEX(Lines!$A:$AA,ROW()-2,$K$2),""))</f>
        <v/>
      </c>
      <c r="N1353">
        <f>IF(AND(L1353&lt;&gt;"",LEFT(L1353,1)="N",M1353&lt;&gt;"PICKING",M1353&lt;&gt;""),1,0)</f>
        <v/>
      </c>
      <c r="O1353">
        <f>IF(N1353=1,M1353&amp;"|"&amp;L1353,REPT("z",40))</f>
        <v/>
      </c>
      <c r="P1353">
        <f>IF(N1353=1,COUNTIF($O$4:$O$2003,"&lt;"&amp;O1353)+1,"")</f>
        <v/>
      </c>
      <c r="Q1353">
        <f>IF(OR($R1352="",$R1352="T"),"",IF($R1352="B",$Q1352,IF($Q1352+1&gt;$K$3,"",$Q1352+1)))</f>
        <v/>
      </c>
      <c r="R1353">
        <f>IF(OR($R1352="",$R1352="T"),"",IF($R1352="B","S",IF($Q1352+1&gt;$K$3,"T",IF(INDEX($M$4:$M$2003,MATCH($Q1352+1,$P$4:$P$2003,0))&lt;&gt;INDEX($M$4:$M$2003,MATCH($Q1352,$P$4:$P$2003,0)),"B","S"))))</f>
        <v/>
      </c>
      <c r="S1353">
        <f>IF(Q1353="","",IFERROR(MATCH(Q1353,$P$4:$P$2003,0),""))</f>
        <v/>
      </c>
    </row>
    <row r="1354">
      <c r="A1354" s="4">
        <f>IF($R1354="","",IF($R1354="T","Gesamtergebnis",IF($R1354="B",INDEX($M$4:$M$2003,$S1354),INDEX($L$4:$L$2003,$S1354))))</f>
        <v/>
      </c>
      <c r="B1354" s="4">
        <f>IF($R1354="","",IF($R1354="T",$K$3,IF($R1354="B",COUNTIFS($M$4:$M$2003,INDEX($M$4:$M$2003,$S1354),$N$4:$N$2003,1),1)))</f>
        <v/>
      </c>
      <c r="L1354">
        <f>IF($K$1="","",IFERROR(INDEX(Lines!$A:$AA,ROW()-2,$K$1),""))</f>
        <v/>
      </c>
      <c r="M1354">
        <f>IF($K$2="","",IFERROR(INDEX(Lines!$A:$AA,ROW()-2,$K$2),""))</f>
        <v/>
      </c>
      <c r="N1354">
        <f>IF(AND(L1354&lt;&gt;"",LEFT(L1354,1)="N",M1354&lt;&gt;"PICKING",M1354&lt;&gt;""),1,0)</f>
        <v/>
      </c>
      <c r="O1354">
        <f>IF(N1354=1,M1354&amp;"|"&amp;L1354,REPT("z",40))</f>
        <v/>
      </c>
      <c r="P1354">
        <f>IF(N1354=1,COUNTIF($O$4:$O$2003,"&lt;"&amp;O1354)+1,"")</f>
        <v/>
      </c>
      <c r="Q1354">
        <f>IF(OR($R1353="",$R1353="T"),"",IF($R1353="B",$Q1353,IF($Q1353+1&gt;$K$3,"",$Q1353+1)))</f>
        <v/>
      </c>
      <c r="R1354">
        <f>IF(OR($R1353="",$R1353="T"),"",IF($R1353="B","S",IF($Q1353+1&gt;$K$3,"T",IF(INDEX($M$4:$M$2003,MATCH($Q1353+1,$P$4:$P$2003,0))&lt;&gt;INDEX($M$4:$M$2003,MATCH($Q1353,$P$4:$P$2003,0)),"B","S"))))</f>
        <v/>
      </c>
      <c r="S1354">
        <f>IF(Q1354="","",IFERROR(MATCH(Q1354,$P$4:$P$2003,0),""))</f>
        <v/>
      </c>
    </row>
    <row r="1355">
      <c r="A1355" s="4">
        <f>IF($R1355="","",IF($R1355="T","Gesamtergebnis",IF($R1355="B",INDEX($M$4:$M$2003,$S1355),INDEX($L$4:$L$2003,$S1355))))</f>
        <v/>
      </c>
      <c r="B1355" s="4">
        <f>IF($R1355="","",IF($R1355="T",$K$3,IF($R1355="B",COUNTIFS($M$4:$M$2003,INDEX($M$4:$M$2003,$S1355),$N$4:$N$2003,1),1)))</f>
        <v/>
      </c>
      <c r="L1355">
        <f>IF($K$1="","",IFERROR(INDEX(Lines!$A:$AA,ROW()-2,$K$1),""))</f>
        <v/>
      </c>
      <c r="M1355">
        <f>IF($K$2="","",IFERROR(INDEX(Lines!$A:$AA,ROW()-2,$K$2),""))</f>
        <v/>
      </c>
      <c r="N1355">
        <f>IF(AND(L1355&lt;&gt;"",LEFT(L1355,1)="N",M1355&lt;&gt;"PICKING",M1355&lt;&gt;""),1,0)</f>
        <v/>
      </c>
      <c r="O1355">
        <f>IF(N1355=1,M1355&amp;"|"&amp;L1355,REPT("z",40))</f>
        <v/>
      </c>
      <c r="P1355">
        <f>IF(N1355=1,COUNTIF($O$4:$O$2003,"&lt;"&amp;O1355)+1,"")</f>
        <v/>
      </c>
      <c r="Q1355">
        <f>IF(OR($R1354="",$R1354="T"),"",IF($R1354="B",$Q1354,IF($Q1354+1&gt;$K$3,"",$Q1354+1)))</f>
        <v/>
      </c>
      <c r="R1355">
        <f>IF(OR($R1354="",$R1354="T"),"",IF($R1354="B","S",IF($Q1354+1&gt;$K$3,"T",IF(INDEX($M$4:$M$2003,MATCH($Q1354+1,$P$4:$P$2003,0))&lt;&gt;INDEX($M$4:$M$2003,MATCH($Q1354,$P$4:$P$2003,0)),"B","S"))))</f>
        <v/>
      </c>
      <c r="S1355">
        <f>IF(Q1355="","",IFERROR(MATCH(Q1355,$P$4:$P$2003,0),""))</f>
        <v/>
      </c>
    </row>
    <row r="1356">
      <c r="A1356" s="4">
        <f>IF($R1356="","",IF($R1356="T","Gesamtergebnis",IF($R1356="B",INDEX($M$4:$M$2003,$S1356),INDEX($L$4:$L$2003,$S1356))))</f>
        <v/>
      </c>
      <c r="B1356" s="4">
        <f>IF($R1356="","",IF($R1356="T",$K$3,IF($R1356="B",COUNTIFS($M$4:$M$2003,INDEX($M$4:$M$2003,$S1356),$N$4:$N$2003,1),1)))</f>
        <v/>
      </c>
      <c r="L1356">
        <f>IF($K$1="","",IFERROR(INDEX(Lines!$A:$AA,ROW()-2,$K$1),""))</f>
        <v/>
      </c>
      <c r="M1356">
        <f>IF($K$2="","",IFERROR(INDEX(Lines!$A:$AA,ROW()-2,$K$2),""))</f>
        <v/>
      </c>
      <c r="N1356">
        <f>IF(AND(L1356&lt;&gt;"",LEFT(L1356,1)="N",M1356&lt;&gt;"PICKING",M1356&lt;&gt;""),1,0)</f>
        <v/>
      </c>
      <c r="O1356">
        <f>IF(N1356=1,M1356&amp;"|"&amp;L1356,REPT("z",40))</f>
        <v/>
      </c>
      <c r="P1356">
        <f>IF(N1356=1,COUNTIF($O$4:$O$2003,"&lt;"&amp;O1356)+1,"")</f>
        <v/>
      </c>
      <c r="Q1356">
        <f>IF(OR($R1355="",$R1355="T"),"",IF($R1355="B",$Q1355,IF($Q1355+1&gt;$K$3,"",$Q1355+1)))</f>
        <v/>
      </c>
      <c r="R1356">
        <f>IF(OR($R1355="",$R1355="T"),"",IF($R1355="B","S",IF($Q1355+1&gt;$K$3,"T",IF(INDEX($M$4:$M$2003,MATCH($Q1355+1,$P$4:$P$2003,0))&lt;&gt;INDEX($M$4:$M$2003,MATCH($Q1355,$P$4:$P$2003,0)),"B","S"))))</f>
        <v/>
      </c>
      <c r="S1356">
        <f>IF(Q1356="","",IFERROR(MATCH(Q1356,$P$4:$P$2003,0),""))</f>
        <v/>
      </c>
    </row>
    <row r="1357">
      <c r="A1357" s="4">
        <f>IF($R1357="","",IF($R1357="T","Gesamtergebnis",IF($R1357="B",INDEX($M$4:$M$2003,$S1357),INDEX($L$4:$L$2003,$S1357))))</f>
        <v/>
      </c>
      <c r="B1357" s="4">
        <f>IF($R1357="","",IF($R1357="T",$K$3,IF($R1357="B",COUNTIFS($M$4:$M$2003,INDEX($M$4:$M$2003,$S1357),$N$4:$N$2003,1),1)))</f>
        <v/>
      </c>
      <c r="L1357">
        <f>IF($K$1="","",IFERROR(INDEX(Lines!$A:$AA,ROW()-2,$K$1),""))</f>
        <v/>
      </c>
      <c r="M1357">
        <f>IF($K$2="","",IFERROR(INDEX(Lines!$A:$AA,ROW()-2,$K$2),""))</f>
        <v/>
      </c>
      <c r="N1357">
        <f>IF(AND(L1357&lt;&gt;"",LEFT(L1357,1)="N",M1357&lt;&gt;"PICKING",M1357&lt;&gt;""),1,0)</f>
        <v/>
      </c>
      <c r="O1357">
        <f>IF(N1357=1,M1357&amp;"|"&amp;L1357,REPT("z",40))</f>
        <v/>
      </c>
      <c r="P1357">
        <f>IF(N1357=1,COUNTIF($O$4:$O$2003,"&lt;"&amp;O1357)+1,"")</f>
        <v/>
      </c>
      <c r="Q1357">
        <f>IF(OR($R1356="",$R1356="T"),"",IF($R1356="B",$Q1356,IF($Q1356+1&gt;$K$3,"",$Q1356+1)))</f>
        <v/>
      </c>
      <c r="R1357">
        <f>IF(OR($R1356="",$R1356="T"),"",IF($R1356="B","S",IF($Q1356+1&gt;$K$3,"T",IF(INDEX($M$4:$M$2003,MATCH($Q1356+1,$P$4:$P$2003,0))&lt;&gt;INDEX($M$4:$M$2003,MATCH($Q1356,$P$4:$P$2003,0)),"B","S"))))</f>
        <v/>
      </c>
      <c r="S1357">
        <f>IF(Q1357="","",IFERROR(MATCH(Q1357,$P$4:$P$2003,0),""))</f>
        <v/>
      </c>
    </row>
    <row r="1358">
      <c r="A1358" s="4">
        <f>IF($R1358="","",IF($R1358="T","Gesamtergebnis",IF($R1358="B",INDEX($M$4:$M$2003,$S1358),INDEX($L$4:$L$2003,$S1358))))</f>
        <v/>
      </c>
      <c r="B1358" s="4">
        <f>IF($R1358="","",IF($R1358="T",$K$3,IF($R1358="B",COUNTIFS($M$4:$M$2003,INDEX($M$4:$M$2003,$S1358),$N$4:$N$2003,1),1)))</f>
        <v/>
      </c>
      <c r="L1358">
        <f>IF($K$1="","",IFERROR(INDEX(Lines!$A:$AA,ROW()-2,$K$1),""))</f>
        <v/>
      </c>
      <c r="M1358">
        <f>IF($K$2="","",IFERROR(INDEX(Lines!$A:$AA,ROW()-2,$K$2),""))</f>
        <v/>
      </c>
      <c r="N1358">
        <f>IF(AND(L1358&lt;&gt;"",LEFT(L1358,1)="N",M1358&lt;&gt;"PICKING",M1358&lt;&gt;""),1,0)</f>
        <v/>
      </c>
      <c r="O1358">
        <f>IF(N1358=1,M1358&amp;"|"&amp;L1358,REPT("z",40))</f>
        <v/>
      </c>
      <c r="P1358">
        <f>IF(N1358=1,COUNTIF($O$4:$O$2003,"&lt;"&amp;O1358)+1,"")</f>
        <v/>
      </c>
      <c r="Q1358">
        <f>IF(OR($R1357="",$R1357="T"),"",IF($R1357="B",$Q1357,IF($Q1357+1&gt;$K$3,"",$Q1357+1)))</f>
        <v/>
      </c>
      <c r="R1358">
        <f>IF(OR($R1357="",$R1357="T"),"",IF($R1357="B","S",IF($Q1357+1&gt;$K$3,"T",IF(INDEX($M$4:$M$2003,MATCH($Q1357+1,$P$4:$P$2003,0))&lt;&gt;INDEX($M$4:$M$2003,MATCH($Q1357,$P$4:$P$2003,0)),"B","S"))))</f>
        <v/>
      </c>
      <c r="S1358">
        <f>IF(Q1358="","",IFERROR(MATCH(Q1358,$P$4:$P$2003,0),""))</f>
        <v/>
      </c>
    </row>
    <row r="1359">
      <c r="A1359" s="4">
        <f>IF($R1359="","",IF($R1359="T","Gesamtergebnis",IF($R1359="B",INDEX($M$4:$M$2003,$S1359),INDEX($L$4:$L$2003,$S1359))))</f>
        <v/>
      </c>
      <c r="B1359" s="4">
        <f>IF($R1359="","",IF($R1359="T",$K$3,IF($R1359="B",COUNTIFS($M$4:$M$2003,INDEX($M$4:$M$2003,$S1359),$N$4:$N$2003,1),1)))</f>
        <v/>
      </c>
      <c r="L1359">
        <f>IF($K$1="","",IFERROR(INDEX(Lines!$A:$AA,ROW()-2,$K$1),""))</f>
        <v/>
      </c>
      <c r="M1359">
        <f>IF($K$2="","",IFERROR(INDEX(Lines!$A:$AA,ROW()-2,$K$2),""))</f>
        <v/>
      </c>
      <c r="N1359">
        <f>IF(AND(L1359&lt;&gt;"",LEFT(L1359,1)="N",M1359&lt;&gt;"PICKING",M1359&lt;&gt;""),1,0)</f>
        <v/>
      </c>
      <c r="O1359">
        <f>IF(N1359=1,M1359&amp;"|"&amp;L1359,REPT("z",40))</f>
        <v/>
      </c>
      <c r="P1359">
        <f>IF(N1359=1,COUNTIF($O$4:$O$2003,"&lt;"&amp;O1359)+1,"")</f>
        <v/>
      </c>
      <c r="Q1359">
        <f>IF(OR($R1358="",$R1358="T"),"",IF($R1358="B",$Q1358,IF($Q1358+1&gt;$K$3,"",$Q1358+1)))</f>
        <v/>
      </c>
      <c r="R1359">
        <f>IF(OR($R1358="",$R1358="T"),"",IF($R1358="B","S",IF($Q1358+1&gt;$K$3,"T",IF(INDEX($M$4:$M$2003,MATCH($Q1358+1,$P$4:$P$2003,0))&lt;&gt;INDEX($M$4:$M$2003,MATCH($Q1358,$P$4:$P$2003,0)),"B","S"))))</f>
        <v/>
      </c>
      <c r="S1359">
        <f>IF(Q1359="","",IFERROR(MATCH(Q1359,$P$4:$P$2003,0),""))</f>
        <v/>
      </c>
    </row>
    <row r="1360">
      <c r="A1360" s="4">
        <f>IF($R1360="","",IF($R1360="T","Gesamtergebnis",IF($R1360="B",INDEX($M$4:$M$2003,$S1360),INDEX($L$4:$L$2003,$S1360))))</f>
        <v/>
      </c>
      <c r="B1360" s="4">
        <f>IF($R1360="","",IF($R1360="T",$K$3,IF($R1360="B",COUNTIFS($M$4:$M$2003,INDEX($M$4:$M$2003,$S1360),$N$4:$N$2003,1),1)))</f>
        <v/>
      </c>
      <c r="L1360">
        <f>IF($K$1="","",IFERROR(INDEX(Lines!$A:$AA,ROW()-2,$K$1),""))</f>
        <v/>
      </c>
      <c r="M1360">
        <f>IF($K$2="","",IFERROR(INDEX(Lines!$A:$AA,ROW()-2,$K$2),""))</f>
        <v/>
      </c>
      <c r="N1360">
        <f>IF(AND(L1360&lt;&gt;"",LEFT(L1360,1)="N",M1360&lt;&gt;"PICKING",M1360&lt;&gt;""),1,0)</f>
        <v/>
      </c>
      <c r="O1360">
        <f>IF(N1360=1,M1360&amp;"|"&amp;L1360,REPT("z",40))</f>
        <v/>
      </c>
      <c r="P1360">
        <f>IF(N1360=1,COUNTIF($O$4:$O$2003,"&lt;"&amp;O1360)+1,"")</f>
        <v/>
      </c>
      <c r="Q1360">
        <f>IF(OR($R1359="",$R1359="T"),"",IF($R1359="B",$Q1359,IF($Q1359+1&gt;$K$3,"",$Q1359+1)))</f>
        <v/>
      </c>
      <c r="R1360">
        <f>IF(OR($R1359="",$R1359="T"),"",IF($R1359="B","S",IF($Q1359+1&gt;$K$3,"T",IF(INDEX($M$4:$M$2003,MATCH($Q1359+1,$P$4:$P$2003,0))&lt;&gt;INDEX($M$4:$M$2003,MATCH($Q1359,$P$4:$P$2003,0)),"B","S"))))</f>
        <v/>
      </c>
      <c r="S1360">
        <f>IF(Q1360="","",IFERROR(MATCH(Q1360,$P$4:$P$2003,0),""))</f>
        <v/>
      </c>
    </row>
    <row r="1361">
      <c r="A1361" s="4">
        <f>IF($R1361="","",IF($R1361="T","Gesamtergebnis",IF($R1361="B",INDEX($M$4:$M$2003,$S1361),INDEX($L$4:$L$2003,$S1361))))</f>
        <v/>
      </c>
      <c r="B1361" s="4">
        <f>IF($R1361="","",IF($R1361="T",$K$3,IF($R1361="B",COUNTIFS($M$4:$M$2003,INDEX($M$4:$M$2003,$S1361),$N$4:$N$2003,1),1)))</f>
        <v/>
      </c>
      <c r="L1361">
        <f>IF($K$1="","",IFERROR(INDEX(Lines!$A:$AA,ROW()-2,$K$1),""))</f>
        <v/>
      </c>
      <c r="M1361">
        <f>IF($K$2="","",IFERROR(INDEX(Lines!$A:$AA,ROW()-2,$K$2),""))</f>
        <v/>
      </c>
      <c r="N1361">
        <f>IF(AND(L1361&lt;&gt;"",LEFT(L1361,1)="N",M1361&lt;&gt;"PICKING",M1361&lt;&gt;""),1,0)</f>
        <v/>
      </c>
      <c r="O1361">
        <f>IF(N1361=1,M1361&amp;"|"&amp;L1361,REPT("z",40))</f>
        <v/>
      </c>
      <c r="P1361">
        <f>IF(N1361=1,COUNTIF($O$4:$O$2003,"&lt;"&amp;O1361)+1,"")</f>
        <v/>
      </c>
      <c r="Q1361">
        <f>IF(OR($R1360="",$R1360="T"),"",IF($R1360="B",$Q1360,IF($Q1360+1&gt;$K$3,"",$Q1360+1)))</f>
        <v/>
      </c>
      <c r="R1361">
        <f>IF(OR($R1360="",$R1360="T"),"",IF($R1360="B","S",IF($Q1360+1&gt;$K$3,"T",IF(INDEX($M$4:$M$2003,MATCH($Q1360+1,$P$4:$P$2003,0))&lt;&gt;INDEX($M$4:$M$2003,MATCH($Q1360,$P$4:$P$2003,0)),"B","S"))))</f>
        <v/>
      </c>
      <c r="S1361">
        <f>IF(Q1361="","",IFERROR(MATCH(Q1361,$P$4:$P$2003,0),""))</f>
        <v/>
      </c>
    </row>
    <row r="1362">
      <c r="A1362" s="4">
        <f>IF($R1362="","",IF($R1362="T","Gesamtergebnis",IF($R1362="B",INDEX($M$4:$M$2003,$S1362),INDEX($L$4:$L$2003,$S1362))))</f>
        <v/>
      </c>
      <c r="B1362" s="4">
        <f>IF($R1362="","",IF($R1362="T",$K$3,IF($R1362="B",COUNTIFS($M$4:$M$2003,INDEX($M$4:$M$2003,$S1362),$N$4:$N$2003,1),1)))</f>
        <v/>
      </c>
      <c r="L1362">
        <f>IF($K$1="","",IFERROR(INDEX(Lines!$A:$AA,ROW()-2,$K$1),""))</f>
        <v/>
      </c>
      <c r="M1362">
        <f>IF($K$2="","",IFERROR(INDEX(Lines!$A:$AA,ROW()-2,$K$2),""))</f>
        <v/>
      </c>
      <c r="N1362">
        <f>IF(AND(L1362&lt;&gt;"",LEFT(L1362,1)="N",M1362&lt;&gt;"PICKING",M1362&lt;&gt;""),1,0)</f>
        <v/>
      </c>
      <c r="O1362">
        <f>IF(N1362=1,M1362&amp;"|"&amp;L1362,REPT("z",40))</f>
        <v/>
      </c>
      <c r="P1362">
        <f>IF(N1362=1,COUNTIF($O$4:$O$2003,"&lt;"&amp;O1362)+1,"")</f>
        <v/>
      </c>
      <c r="Q1362">
        <f>IF(OR($R1361="",$R1361="T"),"",IF($R1361="B",$Q1361,IF($Q1361+1&gt;$K$3,"",$Q1361+1)))</f>
        <v/>
      </c>
      <c r="R1362">
        <f>IF(OR($R1361="",$R1361="T"),"",IF($R1361="B","S",IF($Q1361+1&gt;$K$3,"T",IF(INDEX($M$4:$M$2003,MATCH($Q1361+1,$P$4:$P$2003,0))&lt;&gt;INDEX($M$4:$M$2003,MATCH($Q1361,$P$4:$P$2003,0)),"B","S"))))</f>
        <v/>
      </c>
      <c r="S1362">
        <f>IF(Q1362="","",IFERROR(MATCH(Q1362,$P$4:$P$2003,0),""))</f>
        <v/>
      </c>
    </row>
    <row r="1363">
      <c r="A1363" s="4">
        <f>IF($R1363="","",IF($R1363="T","Gesamtergebnis",IF($R1363="B",INDEX($M$4:$M$2003,$S1363),INDEX($L$4:$L$2003,$S1363))))</f>
        <v/>
      </c>
      <c r="B1363" s="4">
        <f>IF($R1363="","",IF($R1363="T",$K$3,IF($R1363="B",COUNTIFS($M$4:$M$2003,INDEX($M$4:$M$2003,$S1363),$N$4:$N$2003,1),1)))</f>
        <v/>
      </c>
      <c r="L1363">
        <f>IF($K$1="","",IFERROR(INDEX(Lines!$A:$AA,ROW()-2,$K$1),""))</f>
        <v/>
      </c>
      <c r="M1363">
        <f>IF($K$2="","",IFERROR(INDEX(Lines!$A:$AA,ROW()-2,$K$2),""))</f>
        <v/>
      </c>
      <c r="N1363">
        <f>IF(AND(L1363&lt;&gt;"",LEFT(L1363,1)="N",M1363&lt;&gt;"PICKING",M1363&lt;&gt;""),1,0)</f>
        <v/>
      </c>
      <c r="O1363">
        <f>IF(N1363=1,M1363&amp;"|"&amp;L1363,REPT("z",40))</f>
        <v/>
      </c>
      <c r="P1363">
        <f>IF(N1363=1,COUNTIF($O$4:$O$2003,"&lt;"&amp;O1363)+1,"")</f>
        <v/>
      </c>
      <c r="Q1363">
        <f>IF(OR($R1362="",$R1362="T"),"",IF($R1362="B",$Q1362,IF($Q1362+1&gt;$K$3,"",$Q1362+1)))</f>
        <v/>
      </c>
      <c r="R1363">
        <f>IF(OR($R1362="",$R1362="T"),"",IF($R1362="B","S",IF($Q1362+1&gt;$K$3,"T",IF(INDEX($M$4:$M$2003,MATCH($Q1362+1,$P$4:$P$2003,0))&lt;&gt;INDEX($M$4:$M$2003,MATCH($Q1362,$P$4:$P$2003,0)),"B","S"))))</f>
        <v/>
      </c>
      <c r="S1363">
        <f>IF(Q1363="","",IFERROR(MATCH(Q1363,$P$4:$P$2003,0),""))</f>
        <v/>
      </c>
    </row>
    <row r="1364">
      <c r="A1364" s="4">
        <f>IF($R1364="","",IF($R1364="T","Gesamtergebnis",IF($R1364="B",INDEX($M$4:$M$2003,$S1364),INDEX($L$4:$L$2003,$S1364))))</f>
        <v/>
      </c>
      <c r="B1364" s="4">
        <f>IF($R1364="","",IF($R1364="T",$K$3,IF($R1364="B",COUNTIFS($M$4:$M$2003,INDEX($M$4:$M$2003,$S1364),$N$4:$N$2003,1),1)))</f>
        <v/>
      </c>
      <c r="L1364">
        <f>IF($K$1="","",IFERROR(INDEX(Lines!$A:$AA,ROW()-2,$K$1),""))</f>
        <v/>
      </c>
      <c r="M1364">
        <f>IF($K$2="","",IFERROR(INDEX(Lines!$A:$AA,ROW()-2,$K$2),""))</f>
        <v/>
      </c>
      <c r="N1364">
        <f>IF(AND(L1364&lt;&gt;"",LEFT(L1364,1)="N",M1364&lt;&gt;"PICKING",M1364&lt;&gt;""),1,0)</f>
        <v/>
      </c>
      <c r="O1364">
        <f>IF(N1364=1,M1364&amp;"|"&amp;L1364,REPT("z",40))</f>
        <v/>
      </c>
      <c r="P1364">
        <f>IF(N1364=1,COUNTIF($O$4:$O$2003,"&lt;"&amp;O1364)+1,"")</f>
        <v/>
      </c>
      <c r="Q1364">
        <f>IF(OR($R1363="",$R1363="T"),"",IF($R1363="B",$Q1363,IF($Q1363+1&gt;$K$3,"",$Q1363+1)))</f>
        <v/>
      </c>
      <c r="R1364">
        <f>IF(OR($R1363="",$R1363="T"),"",IF($R1363="B","S",IF($Q1363+1&gt;$K$3,"T",IF(INDEX($M$4:$M$2003,MATCH($Q1363+1,$P$4:$P$2003,0))&lt;&gt;INDEX($M$4:$M$2003,MATCH($Q1363,$P$4:$P$2003,0)),"B","S"))))</f>
        <v/>
      </c>
      <c r="S1364">
        <f>IF(Q1364="","",IFERROR(MATCH(Q1364,$P$4:$P$2003,0),""))</f>
        <v/>
      </c>
    </row>
    <row r="1365">
      <c r="A1365" s="4">
        <f>IF($R1365="","",IF($R1365="T","Gesamtergebnis",IF($R1365="B",INDEX($M$4:$M$2003,$S1365),INDEX($L$4:$L$2003,$S1365))))</f>
        <v/>
      </c>
      <c r="B1365" s="4">
        <f>IF($R1365="","",IF($R1365="T",$K$3,IF($R1365="B",COUNTIFS($M$4:$M$2003,INDEX($M$4:$M$2003,$S1365),$N$4:$N$2003,1),1)))</f>
        <v/>
      </c>
      <c r="L1365">
        <f>IF($K$1="","",IFERROR(INDEX(Lines!$A:$AA,ROW()-2,$K$1),""))</f>
        <v/>
      </c>
      <c r="M1365">
        <f>IF($K$2="","",IFERROR(INDEX(Lines!$A:$AA,ROW()-2,$K$2),""))</f>
        <v/>
      </c>
      <c r="N1365">
        <f>IF(AND(L1365&lt;&gt;"",LEFT(L1365,1)="N",M1365&lt;&gt;"PICKING",M1365&lt;&gt;""),1,0)</f>
        <v/>
      </c>
      <c r="O1365">
        <f>IF(N1365=1,M1365&amp;"|"&amp;L1365,REPT("z",40))</f>
        <v/>
      </c>
      <c r="P1365">
        <f>IF(N1365=1,COUNTIF($O$4:$O$2003,"&lt;"&amp;O1365)+1,"")</f>
        <v/>
      </c>
      <c r="Q1365">
        <f>IF(OR($R1364="",$R1364="T"),"",IF($R1364="B",$Q1364,IF($Q1364+1&gt;$K$3,"",$Q1364+1)))</f>
        <v/>
      </c>
      <c r="R1365">
        <f>IF(OR($R1364="",$R1364="T"),"",IF($R1364="B","S",IF($Q1364+1&gt;$K$3,"T",IF(INDEX($M$4:$M$2003,MATCH($Q1364+1,$P$4:$P$2003,0))&lt;&gt;INDEX($M$4:$M$2003,MATCH($Q1364,$P$4:$P$2003,0)),"B","S"))))</f>
        <v/>
      </c>
      <c r="S1365">
        <f>IF(Q1365="","",IFERROR(MATCH(Q1365,$P$4:$P$2003,0),""))</f>
        <v/>
      </c>
    </row>
    <row r="1366">
      <c r="A1366" s="4">
        <f>IF($R1366="","",IF($R1366="T","Gesamtergebnis",IF($R1366="B",INDEX($M$4:$M$2003,$S1366),INDEX($L$4:$L$2003,$S1366))))</f>
        <v/>
      </c>
      <c r="B1366" s="4">
        <f>IF($R1366="","",IF($R1366="T",$K$3,IF($R1366="B",COUNTIFS($M$4:$M$2003,INDEX($M$4:$M$2003,$S1366),$N$4:$N$2003,1),1)))</f>
        <v/>
      </c>
      <c r="L1366">
        <f>IF($K$1="","",IFERROR(INDEX(Lines!$A:$AA,ROW()-2,$K$1),""))</f>
        <v/>
      </c>
      <c r="M1366">
        <f>IF($K$2="","",IFERROR(INDEX(Lines!$A:$AA,ROW()-2,$K$2),""))</f>
        <v/>
      </c>
      <c r="N1366">
        <f>IF(AND(L1366&lt;&gt;"",LEFT(L1366,1)="N",M1366&lt;&gt;"PICKING",M1366&lt;&gt;""),1,0)</f>
        <v/>
      </c>
      <c r="O1366">
        <f>IF(N1366=1,M1366&amp;"|"&amp;L1366,REPT("z",40))</f>
        <v/>
      </c>
      <c r="P1366">
        <f>IF(N1366=1,COUNTIF($O$4:$O$2003,"&lt;"&amp;O1366)+1,"")</f>
        <v/>
      </c>
      <c r="Q1366">
        <f>IF(OR($R1365="",$R1365="T"),"",IF($R1365="B",$Q1365,IF($Q1365+1&gt;$K$3,"",$Q1365+1)))</f>
        <v/>
      </c>
      <c r="R1366">
        <f>IF(OR($R1365="",$R1365="T"),"",IF($R1365="B","S",IF($Q1365+1&gt;$K$3,"T",IF(INDEX($M$4:$M$2003,MATCH($Q1365+1,$P$4:$P$2003,0))&lt;&gt;INDEX($M$4:$M$2003,MATCH($Q1365,$P$4:$P$2003,0)),"B","S"))))</f>
        <v/>
      </c>
      <c r="S1366">
        <f>IF(Q1366="","",IFERROR(MATCH(Q1366,$P$4:$P$2003,0),""))</f>
        <v/>
      </c>
    </row>
    <row r="1367">
      <c r="A1367" s="4">
        <f>IF($R1367="","",IF($R1367="T","Gesamtergebnis",IF($R1367="B",INDEX($M$4:$M$2003,$S1367),INDEX($L$4:$L$2003,$S1367))))</f>
        <v/>
      </c>
      <c r="B1367" s="4">
        <f>IF($R1367="","",IF($R1367="T",$K$3,IF($R1367="B",COUNTIFS($M$4:$M$2003,INDEX($M$4:$M$2003,$S1367),$N$4:$N$2003,1),1)))</f>
        <v/>
      </c>
      <c r="L1367">
        <f>IF($K$1="","",IFERROR(INDEX(Lines!$A:$AA,ROW()-2,$K$1),""))</f>
        <v/>
      </c>
      <c r="M1367">
        <f>IF($K$2="","",IFERROR(INDEX(Lines!$A:$AA,ROW()-2,$K$2),""))</f>
        <v/>
      </c>
      <c r="N1367">
        <f>IF(AND(L1367&lt;&gt;"",LEFT(L1367,1)="N",M1367&lt;&gt;"PICKING",M1367&lt;&gt;""),1,0)</f>
        <v/>
      </c>
      <c r="O1367">
        <f>IF(N1367=1,M1367&amp;"|"&amp;L1367,REPT("z",40))</f>
        <v/>
      </c>
      <c r="P1367">
        <f>IF(N1367=1,COUNTIF($O$4:$O$2003,"&lt;"&amp;O1367)+1,"")</f>
        <v/>
      </c>
      <c r="Q1367">
        <f>IF(OR($R1366="",$R1366="T"),"",IF($R1366="B",$Q1366,IF($Q1366+1&gt;$K$3,"",$Q1366+1)))</f>
        <v/>
      </c>
      <c r="R1367">
        <f>IF(OR($R1366="",$R1366="T"),"",IF($R1366="B","S",IF($Q1366+1&gt;$K$3,"T",IF(INDEX($M$4:$M$2003,MATCH($Q1366+1,$P$4:$P$2003,0))&lt;&gt;INDEX($M$4:$M$2003,MATCH($Q1366,$P$4:$P$2003,0)),"B","S"))))</f>
        <v/>
      </c>
      <c r="S1367">
        <f>IF(Q1367="","",IFERROR(MATCH(Q1367,$P$4:$P$2003,0),""))</f>
        <v/>
      </c>
    </row>
    <row r="1368">
      <c r="A1368" s="4">
        <f>IF($R1368="","",IF($R1368="T","Gesamtergebnis",IF($R1368="B",INDEX($M$4:$M$2003,$S1368),INDEX($L$4:$L$2003,$S1368))))</f>
        <v/>
      </c>
      <c r="B1368" s="4">
        <f>IF($R1368="","",IF($R1368="T",$K$3,IF($R1368="B",COUNTIFS($M$4:$M$2003,INDEX($M$4:$M$2003,$S1368),$N$4:$N$2003,1),1)))</f>
        <v/>
      </c>
      <c r="L1368">
        <f>IF($K$1="","",IFERROR(INDEX(Lines!$A:$AA,ROW()-2,$K$1),""))</f>
        <v/>
      </c>
      <c r="M1368">
        <f>IF($K$2="","",IFERROR(INDEX(Lines!$A:$AA,ROW()-2,$K$2),""))</f>
        <v/>
      </c>
      <c r="N1368">
        <f>IF(AND(L1368&lt;&gt;"",LEFT(L1368,1)="N",M1368&lt;&gt;"PICKING",M1368&lt;&gt;""),1,0)</f>
        <v/>
      </c>
      <c r="O1368">
        <f>IF(N1368=1,M1368&amp;"|"&amp;L1368,REPT("z",40))</f>
        <v/>
      </c>
      <c r="P1368">
        <f>IF(N1368=1,COUNTIF($O$4:$O$2003,"&lt;"&amp;O1368)+1,"")</f>
        <v/>
      </c>
      <c r="Q1368">
        <f>IF(OR($R1367="",$R1367="T"),"",IF($R1367="B",$Q1367,IF($Q1367+1&gt;$K$3,"",$Q1367+1)))</f>
        <v/>
      </c>
      <c r="R1368">
        <f>IF(OR($R1367="",$R1367="T"),"",IF($R1367="B","S",IF($Q1367+1&gt;$K$3,"T",IF(INDEX($M$4:$M$2003,MATCH($Q1367+1,$P$4:$P$2003,0))&lt;&gt;INDEX($M$4:$M$2003,MATCH($Q1367,$P$4:$P$2003,0)),"B","S"))))</f>
        <v/>
      </c>
      <c r="S1368">
        <f>IF(Q1368="","",IFERROR(MATCH(Q1368,$P$4:$P$2003,0),""))</f>
        <v/>
      </c>
    </row>
    <row r="1369">
      <c r="A1369" s="4">
        <f>IF($R1369="","",IF($R1369="T","Gesamtergebnis",IF($R1369="B",INDEX($M$4:$M$2003,$S1369),INDEX($L$4:$L$2003,$S1369))))</f>
        <v/>
      </c>
      <c r="B1369" s="4">
        <f>IF($R1369="","",IF($R1369="T",$K$3,IF($R1369="B",COUNTIFS($M$4:$M$2003,INDEX($M$4:$M$2003,$S1369),$N$4:$N$2003,1),1)))</f>
        <v/>
      </c>
      <c r="L1369">
        <f>IF($K$1="","",IFERROR(INDEX(Lines!$A:$AA,ROW()-2,$K$1),""))</f>
        <v/>
      </c>
      <c r="M1369">
        <f>IF($K$2="","",IFERROR(INDEX(Lines!$A:$AA,ROW()-2,$K$2),""))</f>
        <v/>
      </c>
      <c r="N1369">
        <f>IF(AND(L1369&lt;&gt;"",LEFT(L1369,1)="N",M1369&lt;&gt;"PICKING",M1369&lt;&gt;""),1,0)</f>
        <v/>
      </c>
      <c r="O1369">
        <f>IF(N1369=1,M1369&amp;"|"&amp;L1369,REPT("z",40))</f>
        <v/>
      </c>
      <c r="P1369">
        <f>IF(N1369=1,COUNTIF($O$4:$O$2003,"&lt;"&amp;O1369)+1,"")</f>
        <v/>
      </c>
      <c r="Q1369">
        <f>IF(OR($R1368="",$R1368="T"),"",IF($R1368="B",$Q1368,IF($Q1368+1&gt;$K$3,"",$Q1368+1)))</f>
        <v/>
      </c>
      <c r="R1369">
        <f>IF(OR($R1368="",$R1368="T"),"",IF($R1368="B","S",IF($Q1368+1&gt;$K$3,"T",IF(INDEX($M$4:$M$2003,MATCH($Q1368+1,$P$4:$P$2003,0))&lt;&gt;INDEX($M$4:$M$2003,MATCH($Q1368,$P$4:$P$2003,0)),"B","S"))))</f>
        <v/>
      </c>
      <c r="S1369">
        <f>IF(Q1369="","",IFERROR(MATCH(Q1369,$P$4:$P$2003,0),""))</f>
        <v/>
      </c>
    </row>
    <row r="1370">
      <c r="A1370" s="4">
        <f>IF($R1370="","",IF($R1370="T","Gesamtergebnis",IF($R1370="B",INDEX($M$4:$M$2003,$S1370),INDEX($L$4:$L$2003,$S1370))))</f>
        <v/>
      </c>
      <c r="B1370" s="4">
        <f>IF($R1370="","",IF($R1370="T",$K$3,IF($R1370="B",COUNTIFS($M$4:$M$2003,INDEX($M$4:$M$2003,$S1370),$N$4:$N$2003,1),1)))</f>
        <v/>
      </c>
      <c r="L1370">
        <f>IF($K$1="","",IFERROR(INDEX(Lines!$A:$AA,ROW()-2,$K$1),""))</f>
        <v/>
      </c>
      <c r="M1370">
        <f>IF($K$2="","",IFERROR(INDEX(Lines!$A:$AA,ROW()-2,$K$2),""))</f>
        <v/>
      </c>
      <c r="N1370">
        <f>IF(AND(L1370&lt;&gt;"",LEFT(L1370,1)="N",M1370&lt;&gt;"PICKING",M1370&lt;&gt;""),1,0)</f>
        <v/>
      </c>
      <c r="O1370">
        <f>IF(N1370=1,M1370&amp;"|"&amp;L1370,REPT("z",40))</f>
        <v/>
      </c>
      <c r="P1370">
        <f>IF(N1370=1,COUNTIF($O$4:$O$2003,"&lt;"&amp;O1370)+1,"")</f>
        <v/>
      </c>
      <c r="Q1370">
        <f>IF(OR($R1369="",$R1369="T"),"",IF($R1369="B",$Q1369,IF($Q1369+1&gt;$K$3,"",$Q1369+1)))</f>
        <v/>
      </c>
      <c r="R1370">
        <f>IF(OR($R1369="",$R1369="T"),"",IF($R1369="B","S",IF($Q1369+1&gt;$K$3,"T",IF(INDEX($M$4:$M$2003,MATCH($Q1369+1,$P$4:$P$2003,0))&lt;&gt;INDEX($M$4:$M$2003,MATCH($Q1369,$P$4:$P$2003,0)),"B","S"))))</f>
        <v/>
      </c>
      <c r="S1370">
        <f>IF(Q1370="","",IFERROR(MATCH(Q1370,$P$4:$P$2003,0),""))</f>
        <v/>
      </c>
    </row>
    <row r="1371">
      <c r="A1371" s="4">
        <f>IF($R1371="","",IF($R1371="T","Gesamtergebnis",IF($R1371="B",INDEX($M$4:$M$2003,$S1371),INDEX($L$4:$L$2003,$S1371))))</f>
        <v/>
      </c>
      <c r="B1371" s="4">
        <f>IF($R1371="","",IF($R1371="T",$K$3,IF($R1371="B",COUNTIFS($M$4:$M$2003,INDEX($M$4:$M$2003,$S1371),$N$4:$N$2003,1),1)))</f>
        <v/>
      </c>
      <c r="L1371">
        <f>IF($K$1="","",IFERROR(INDEX(Lines!$A:$AA,ROW()-2,$K$1),""))</f>
        <v/>
      </c>
      <c r="M1371">
        <f>IF($K$2="","",IFERROR(INDEX(Lines!$A:$AA,ROW()-2,$K$2),""))</f>
        <v/>
      </c>
      <c r="N1371">
        <f>IF(AND(L1371&lt;&gt;"",LEFT(L1371,1)="N",M1371&lt;&gt;"PICKING",M1371&lt;&gt;""),1,0)</f>
        <v/>
      </c>
      <c r="O1371">
        <f>IF(N1371=1,M1371&amp;"|"&amp;L1371,REPT("z",40))</f>
        <v/>
      </c>
      <c r="P1371">
        <f>IF(N1371=1,COUNTIF($O$4:$O$2003,"&lt;"&amp;O1371)+1,"")</f>
        <v/>
      </c>
      <c r="Q1371">
        <f>IF(OR($R1370="",$R1370="T"),"",IF($R1370="B",$Q1370,IF($Q1370+1&gt;$K$3,"",$Q1370+1)))</f>
        <v/>
      </c>
      <c r="R1371">
        <f>IF(OR($R1370="",$R1370="T"),"",IF($R1370="B","S",IF($Q1370+1&gt;$K$3,"T",IF(INDEX($M$4:$M$2003,MATCH($Q1370+1,$P$4:$P$2003,0))&lt;&gt;INDEX($M$4:$M$2003,MATCH($Q1370,$P$4:$P$2003,0)),"B","S"))))</f>
        <v/>
      </c>
      <c r="S1371">
        <f>IF(Q1371="","",IFERROR(MATCH(Q1371,$P$4:$P$2003,0),""))</f>
        <v/>
      </c>
    </row>
    <row r="1372">
      <c r="A1372" s="4">
        <f>IF($R1372="","",IF($R1372="T","Gesamtergebnis",IF($R1372="B",INDEX($M$4:$M$2003,$S1372),INDEX($L$4:$L$2003,$S1372))))</f>
        <v/>
      </c>
      <c r="B1372" s="4">
        <f>IF($R1372="","",IF($R1372="T",$K$3,IF($R1372="B",COUNTIFS($M$4:$M$2003,INDEX($M$4:$M$2003,$S1372),$N$4:$N$2003,1),1)))</f>
        <v/>
      </c>
      <c r="L1372">
        <f>IF($K$1="","",IFERROR(INDEX(Lines!$A:$AA,ROW()-2,$K$1),""))</f>
        <v/>
      </c>
      <c r="M1372">
        <f>IF($K$2="","",IFERROR(INDEX(Lines!$A:$AA,ROW()-2,$K$2),""))</f>
        <v/>
      </c>
      <c r="N1372">
        <f>IF(AND(L1372&lt;&gt;"",LEFT(L1372,1)="N",M1372&lt;&gt;"PICKING",M1372&lt;&gt;""),1,0)</f>
        <v/>
      </c>
      <c r="O1372">
        <f>IF(N1372=1,M1372&amp;"|"&amp;L1372,REPT("z",40))</f>
        <v/>
      </c>
      <c r="P1372">
        <f>IF(N1372=1,COUNTIF($O$4:$O$2003,"&lt;"&amp;O1372)+1,"")</f>
        <v/>
      </c>
      <c r="Q1372">
        <f>IF(OR($R1371="",$R1371="T"),"",IF($R1371="B",$Q1371,IF($Q1371+1&gt;$K$3,"",$Q1371+1)))</f>
        <v/>
      </c>
      <c r="R1372">
        <f>IF(OR($R1371="",$R1371="T"),"",IF($R1371="B","S",IF($Q1371+1&gt;$K$3,"T",IF(INDEX($M$4:$M$2003,MATCH($Q1371+1,$P$4:$P$2003,0))&lt;&gt;INDEX($M$4:$M$2003,MATCH($Q1371,$P$4:$P$2003,0)),"B","S"))))</f>
        <v/>
      </c>
      <c r="S1372">
        <f>IF(Q1372="","",IFERROR(MATCH(Q1372,$P$4:$P$2003,0),""))</f>
        <v/>
      </c>
    </row>
    <row r="1373">
      <c r="A1373" s="4">
        <f>IF($R1373="","",IF($R1373="T","Gesamtergebnis",IF($R1373="B",INDEX($M$4:$M$2003,$S1373),INDEX($L$4:$L$2003,$S1373))))</f>
        <v/>
      </c>
      <c r="B1373" s="4">
        <f>IF($R1373="","",IF($R1373="T",$K$3,IF($R1373="B",COUNTIFS($M$4:$M$2003,INDEX($M$4:$M$2003,$S1373),$N$4:$N$2003,1),1)))</f>
        <v/>
      </c>
      <c r="L1373">
        <f>IF($K$1="","",IFERROR(INDEX(Lines!$A:$AA,ROW()-2,$K$1),""))</f>
        <v/>
      </c>
      <c r="M1373">
        <f>IF($K$2="","",IFERROR(INDEX(Lines!$A:$AA,ROW()-2,$K$2),""))</f>
        <v/>
      </c>
      <c r="N1373">
        <f>IF(AND(L1373&lt;&gt;"",LEFT(L1373,1)="N",M1373&lt;&gt;"PICKING",M1373&lt;&gt;""),1,0)</f>
        <v/>
      </c>
      <c r="O1373">
        <f>IF(N1373=1,M1373&amp;"|"&amp;L1373,REPT("z",40))</f>
        <v/>
      </c>
      <c r="P1373">
        <f>IF(N1373=1,COUNTIF($O$4:$O$2003,"&lt;"&amp;O1373)+1,"")</f>
        <v/>
      </c>
      <c r="Q1373">
        <f>IF(OR($R1372="",$R1372="T"),"",IF($R1372="B",$Q1372,IF($Q1372+1&gt;$K$3,"",$Q1372+1)))</f>
        <v/>
      </c>
      <c r="R1373">
        <f>IF(OR($R1372="",$R1372="T"),"",IF($R1372="B","S",IF($Q1372+1&gt;$K$3,"T",IF(INDEX($M$4:$M$2003,MATCH($Q1372+1,$P$4:$P$2003,0))&lt;&gt;INDEX($M$4:$M$2003,MATCH($Q1372,$P$4:$P$2003,0)),"B","S"))))</f>
        <v/>
      </c>
      <c r="S1373">
        <f>IF(Q1373="","",IFERROR(MATCH(Q1373,$P$4:$P$2003,0),""))</f>
        <v/>
      </c>
    </row>
    <row r="1374">
      <c r="A1374" s="4">
        <f>IF($R1374="","",IF($R1374="T","Gesamtergebnis",IF($R1374="B",INDEX($M$4:$M$2003,$S1374),INDEX($L$4:$L$2003,$S1374))))</f>
        <v/>
      </c>
      <c r="B1374" s="4">
        <f>IF($R1374="","",IF($R1374="T",$K$3,IF($R1374="B",COUNTIFS($M$4:$M$2003,INDEX($M$4:$M$2003,$S1374),$N$4:$N$2003,1),1)))</f>
        <v/>
      </c>
      <c r="L1374">
        <f>IF($K$1="","",IFERROR(INDEX(Lines!$A:$AA,ROW()-2,$K$1),""))</f>
        <v/>
      </c>
      <c r="M1374">
        <f>IF($K$2="","",IFERROR(INDEX(Lines!$A:$AA,ROW()-2,$K$2),""))</f>
        <v/>
      </c>
      <c r="N1374">
        <f>IF(AND(L1374&lt;&gt;"",LEFT(L1374,1)="N",M1374&lt;&gt;"PICKING",M1374&lt;&gt;""),1,0)</f>
        <v/>
      </c>
      <c r="O1374">
        <f>IF(N1374=1,M1374&amp;"|"&amp;L1374,REPT("z",40))</f>
        <v/>
      </c>
      <c r="P1374">
        <f>IF(N1374=1,COUNTIF($O$4:$O$2003,"&lt;"&amp;O1374)+1,"")</f>
        <v/>
      </c>
      <c r="Q1374">
        <f>IF(OR($R1373="",$R1373="T"),"",IF($R1373="B",$Q1373,IF($Q1373+1&gt;$K$3,"",$Q1373+1)))</f>
        <v/>
      </c>
      <c r="R1374">
        <f>IF(OR($R1373="",$R1373="T"),"",IF($R1373="B","S",IF($Q1373+1&gt;$K$3,"T",IF(INDEX($M$4:$M$2003,MATCH($Q1373+1,$P$4:$P$2003,0))&lt;&gt;INDEX($M$4:$M$2003,MATCH($Q1373,$P$4:$P$2003,0)),"B","S"))))</f>
        <v/>
      </c>
      <c r="S1374">
        <f>IF(Q1374="","",IFERROR(MATCH(Q1374,$P$4:$P$2003,0),""))</f>
        <v/>
      </c>
    </row>
    <row r="1375">
      <c r="A1375" s="4">
        <f>IF($R1375="","",IF($R1375="T","Gesamtergebnis",IF($R1375="B",INDEX($M$4:$M$2003,$S1375),INDEX($L$4:$L$2003,$S1375))))</f>
        <v/>
      </c>
      <c r="B1375" s="4">
        <f>IF($R1375="","",IF($R1375="T",$K$3,IF($R1375="B",COUNTIFS($M$4:$M$2003,INDEX($M$4:$M$2003,$S1375),$N$4:$N$2003,1),1)))</f>
        <v/>
      </c>
      <c r="L1375">
        <f>IF($K$1="","",IFERROR(INDEX(Lines!$A:$AA,ROW()-2,$K$1),""))</f>
        <v/>
      </c>
      <c r="M1375">
        <f>IF($K$2="","",IFERROR(INDEX(Lines!$A:$AA,ROW()-2,$K$2),""))</f>
        <v/>
      </c>
      <c r="N1375">
        <f>IF(AND(L1375&lt;&gt;"",LEFT(L1375,1)="N",M1375&lt;&gt;"PICKING",M1375&lt;&gt;""),1,0)</f>
        <v/>
      </c>
      <c r="O1375">
        <f>IF(N1375=1,M1375&amp;"|"&amp;L1375,REPT("z",40))</f>
        <v/>
      </c>
      <c r="P1375">
        <f>IF(N1375=1,COUNTIF($O$4:$O$2003,"&lt;"&amp;O1375)+1,"")</f>
        <v/>
      </c>
      <c r="Q1375">
        <f>IF(OR($R1374="",$R1374="T"),"",IF($R1374="B",$Q1374,IF($Q1374+1&gt;$K$3,"",$Q1374+1)))</f>
        <v/>
      </c>
      <c r="R1375">
        <f>IF(OR($R1374="",$R1374="T"),"",IF($R1374="B","S",IF($Q1374+1&gt;$K$3,"T",IF(INDEX($M$4:$M$2003,MATCH($Q1374+1,$P$4:$P$2003,0))&lt;&gt;INDEX($M$4:$M$2003,MATCH($Q1374,$P$4:$P$2003,0)),"B","S"))))</f>
        <v/>
      </c>
      <c r="S1375">
        <f>IF(Q1375="","",IFERROR(MATCH(Q1375,$P$4:$P$2003,0),""))</f>
        <v/>
      </c>
    </row>
    <row r="1376">
      <c r="A1376" s="4">
        <f>IF($R1376="","",IF($R1376="T","Gesamtergebnis",IF($R1376="B",INDEX($M$4:$M$2003,$S1376),INDEX($L$4:$L$2003,$S1376))))</f>
        <v/>
      </c>
      <c r="B1376" s="4">
        <f>IF($R1376="","",IF($R1376="T",$K$3,IF($R1376="B",COUNTIFS($M$4:$M$2003,INDEX($M$4:$M$2003,$S1376),$N$4:$N$2003,1),1)))</f>
        <v/>
      </c>
      <c r="L1376">
        <f>IF($K$1="","",IFERROR(INDEX(Lines!$A:$AA,ROW()-2,$K$1),""))</f>
        <v/>
      </c>
      <c r="M1376">
        <f>IF($K$2="","",IFERROR(INDEX(Lines!$A:$AA,ROW()-2,$K$2),""))</f>
        <v/>
      </c>
      <c r="N1376">
        <f>IF(AND(L1376&lt;&gt;"",LEFT(L1376,1)="N",M1376&lt;&gt;"PICKING",M1376&lt;&gt;""),1,0)</f>
        <v/>
      </c>
      <c r="O1376">
        <f>IF(N1376=1,M1376&amp;"|"&amp;L1376,REPT("z",40))</f>
        <v/>
      </c>
      <c r="P1376">
        <f>IF(N1376=1,COUNTIF($O$4:$O$2003,"&lt;"&amp;O1376)+1,"")</f>
        <v/>
      </c>
      <c r="Q1376">
        <f>IF(OR($R1375="",$R1375="T"),"",IF($R1375="B",$Q1375,IF($Q1375+1&gt;$K$3,"",$Q1375+1)))</f>
        <v/>
      </c>
      <c r="R1376">
        <f>IF(OR($R1375="",$R1375="T"),"",IF($R1375="B","S",IF($Q1375+1&gt;$K$3,"T",IF(INDEX($M$4:$M$2003,MATCH($Q1375+1,$P$4:$P$2003,0))&lt;&gt;INDEX($M$4:$M$2003,MATCH($Q1375,$P$4:$P$2003,0)),"B","S"))))</f>
        <v/>
      </c>
      <c r="S1376">
        <f>IF(Q1376="","",IFERROR(MATCH(Q1376,$P$4:$P$2003,0),""))</f>
        <v/>
      </c>
    </row>
    <row r="1377">
      <c r="A1377" s="4">
        <f>IF($R1377="","",IF($R1377="T","Gesamtergebnis",IF($R1377="B",INDEX($M$4:$M$2003,$S1377),INDEX($L$4:$L$2003,$S1377))))</f>
        <v/>
      </c>
      <c r="B1377" s="4">
        <f>IF($R1377="","",IF($R1377="T",$K$3,IF($R1377="B",COUNTIFS($M$4:$M$2003,INDEX($M$4:$M$2003,$S1377),$N$4:$N$2003,1),1)))</f>
        <v/>
      </c>
      <c r="L1377">
        <f>IF($K$1="","",IFERROR(INDEX(Lines!$A:$AA,ROW()-2,$K$1),""))</f>
        <v/>
      </c>
      <c r="M1377">
        <f>IF($K$2="","",IFERROR(INDEX(Lines!$A:$AA,ROW()-2,$K$2),""))</f>
        <v/>
      </c>
      <c r="N1377">
        <f>IF(AND(L1377&lt;&gt;"",LEFT(L1377,1)="N",M1377&lt;&gt;"PICKING",M1377&lt;&gt;""),1,0)</f>
        <v/>
      </c>
      <c r="O1377">
        <f>IF(N1377=1,M1377&amp;"|"&amp;L1377,REPT("z",40))</f>
        <v/>
      </c>
      <c r="P1377">
        <f>IF(N1377=1,COUNTIF($O$4:$O$2003,"&lt;"&amp;O1377)+1,"")</f>
        <v/>
      </c>
      <c r="Q1377">
        <f>IF(OR($R1376="",$R1376="T"),"",IF($R1376="B",$Q1376,IF($Q1376+1&gt;$K$3,"",$Q1376+1)))</f>
        <v/>
      </c>
      <c r="R1377">
        <f>IF(OR($R1376="",$R1376="T"),"",IF($R1376="B","S",IF($Q1376+1&gt;$K$3,"T",IF(INDEX($M$4:$M$2003,MATCH($Q1376+1,$P$4:$P$2003,0))&lt;&gt;INDEX($M$4:$M$2003,MATCH($Q1376,$P$4:$P$2003,0)),"B","S"))))</f>
        <v/>
      </c>
      <c r="S1377">
        <f>IF(Q1377="","",IFERROR(MATCH(Q1377,$P$4:$P$2003,0),""))</f>
        <v/>
      </c>
    </row>
    <row r="1378">
      <c r="A1378" s="4">
        <f>IF($R1378="","",IF($R1378="T","Gesamtergebnis",IF($R1378="B",INDEX($M$4:$M$2003,$S1378),INDEX($L$4:$L$2003,$S1378))))</f>
        <v/>
      </c>
      <c r="B1378" s="4">
        <f>IF($R1378="","",IF($R1378="T",$K$3,IF($R1378="B",COUNTIFS($M$4:$M$2003,INDEX($M$4:$M$2003,$S1378),$N$4:$N$2003,1),1)))</f>
        <v/>
      </c>
      <c r="L1378">
        <f>IF($K$1="","",IFERROR(INDEX(Lines!$A:$AA,ROW()-2,$K$1),""))</f>
        <v/>
      </c>
      <c r="M1378">
        <f>IF($K$2="","",IFERROR(INDEX(Lines!$A:$AA,ROW()-2,$K$2),""))</f>
        <v/>
      </c>
      <c r="N1378">
        <f>IF(AND(L1378&lt;&gt;"",LEFT(L1378,1)="N",M1378&lt;&gt;"PICKING",M1378&lt;&gt;""),1,0)</f>
        <v/>
      </c>
      <c r="O1378">
        <f>IF(N1378=1,M1378&amp;"|"&amp;L1378,REPT("z",40))</f>
        <v/>
      </c>
      <c r="P1378">
        <f>IF(N1378=1,COUNTIF($O$4:$O$2003,"&lt;"&amp;O1378)+1,"")</f>
        <v/>
      </c>
      <c r="Q1378">
        <f>IF(OR($R1377="",$R1377="T"),"",IF($R1377="B",$Q1377,IF($Q1377+1&gt;$K$3,"",$Q1377+1)))</f>
        <v/>
      </c>
      <c r="R1378">
        <f>IF(OR($R1377="",$R1377="T"),"",IF($R1377="B","S",IF($Q1377+1&gt;$K$3,"T",IF(INDEX($M$4:$M$2003,MATCH($Q1377+1,$P$4:$P$2003,0))&lt;&gt;INDEX($M$4:$M$2003,MATCH($Q1377,$P$4:$P$2003,0)),"B","S"))))</f>
        <v/>
      </c>
      <c r="S1378">
        <f>IF(Q1378="","",IFERROR(MATCH(Q1378,$P$4:$P$2003,0),""))</f>
        <v/>
      </c>
    </row>
    <row r="1379">
      <c r="A1379" s="4">
        <f>IF($R1379="","",IF($R1379="T","Gesamtergebnis",IF($R1379="B",INDEX($M$4:$M$2003,$S1379),INDEX($L$4:$L$2003,$S1379))))</f>
        <v/>
      </c>
      <c r="B1379" s="4">
        <f>IF($R1379="","",IF($R1379="T",$K$3,IF($R1379="B",COUNTIFS($M$4:$M$2003,INDEX($M$4:$M$2003,$S1379),$N$4:$N$2003,1),1)))</f>
        <v/>
      </c>
      <c r="L1379">
        <f>IF($K$1="","",IFERROR(INDEX(Lines!$A:$AA,ROW()-2,$K$1),""))</f>
        <v/>
      </c>
      <c r="M1379">
        <f>IF($K$2="","",IFERROR(INDEX(Lines!$A:$AA,ROW()-2,$K$2),""))</f>
        <v/>
      </c>
      <c r="N1379">
        <f>IF(AND(L1379&lt;&gt;"",LEFT(L1379,1)="N",M1379&lt;&gt;"PICKING",M1379&lt;&gt;""),1,0)</f>
        <v/>
      </c>
      <c r="O1379">
        <f>IF(N1379=1,M1379&amp;"|"&amp;L1379,REPT("z",40))</f>
        <v/>
      </c>
      <c r="P1379">
        <f>IF(N1379=1,COUNTIF($O$4:$O$2003,"&lt;"&amp;O1379)+1,"")</f>
        <v/>
      </c>
      <c r="Q1379">
        <f>IF(OR($R1378="",$R1378="T"),"",IF($R1378="B",$Q1378,IF($Q1378+1&gt;$K$3,"",$Q1378+1)))</f>
        <v/>
      </c>
      <c r="R1379">
        <f>IF(OR($R1378="",$R1378="T"),"",IF($R1378="B","S",IF($Q1378+1&gt;$K$3,"T",IF(INDEX($M$4:$M$2003,MATCH($Q1378+1,$P$4:$P$2003,0))&lt;&gt;INDEX($M$4:$M$2003,MATCH($Q1378,$P$4:$P$2003,0)),"B","S"))))</f>
        <v/>
      </c>
      <c r="S1379">
        <f>IF(Q1379="","",IFERROR(MATCH(Q1379,$P$4:$P$2003,0),""))</f>
        <v/>
      </c>
    </row>
    <row r="1380">
      <c r="A1380" s="4">
        <f>IF($R1380="","",IF($R1380="T","Gesamtergebnis",IF($R1380="B",INDEX($M$4:$M$2003,$S1380),INDEX($L$4:$L$2003,$S1380))))</f>
        <v/>
      </c>
      <c r="B1380" s="4">
        <f>IF($R1380="","",IF($R1380="T",$K$3,IF($R1380="B",COUNTIFS($M$4:$M$2003,INDEX($M$4:$M$2003,$S1380),$N$4:$N$2003,1),1)))</f>
        <v/>
      </c>
      <c r="L1380">
        <f>IF($K$1="","",IFERROR(INDEX(Lines!$A:$AA,ROW()-2,$K$1),""))</f>
        <v/>
      </c>
      <c r="M1380">
        <f>IF($K$2="","",IFERROR(INDEX(Lines!$A:$AA,ROW()-2,$K$2),""))</f>
        <v/>
      </c>
      <c r="N1380">
        <f>IF(AND(L1380&lt;&gt;"",LEFT(L1380,1)="N",M1380&lt;&gt;"PICKING",M1380&lt;&gt;""),1,0)</f>
        <v/>
      </c>
      <c r="O1380">
        <f>IF(N1380=1,M1380&amp;"|"&amp;L1380,REPT("z",40))</f>
        <v/>
      </c>
      <c r="P1380">
        <f>IF(N1380=1,COUNTIF($O$4:$O$2003,"&lt;"&amp;O1380)+1,"")</f>
        <v/>
      </c>
      <c r="Q1380">
        <f>IF(OR($R1379="",$R1379="T"),"",IF($R1379="B",$Q1379,IF($Q1379+1&gt;$K$3,"",$Q1379+1)))</f>
        <v/>
      </c>
      <c r="R1380">
        <f>IF(OR($R1379="",$R1379="T"),"",IF($R1379="B","S",IF($Q1379+1&gt;$K$3,"T",IF(INDEX($M$4:$M$2003,MATCH($Q1379+1,$P$4:$P$2003,0))&lt;&gt;INDEX($M$4:$M$2003,MATCH($Q1379,$P$4:$P$2003,0)),"B","S"))))</f>
        <v/>
      </c>
      <c r="S1380">
        <f>IF(Q1380="","",IFERROR(MATCH(Q1380,$P$4:$P$2003,0),""))</f>
        <v/>
      </c>
    </row>
    <row r="1381">
      <c r="A1381" s="4">
        <f>IF($R1381="","",IF($R1381="T","Gesamtergebnis",IF($R1381="B",INDEX($M$4:$M$2003,$S1381),INDEX($L$4:$L$2003,$S1381))))</f>
        <v/>
      </c>
      <c r="B1381" s="4">
        <f>IF($R1381="","",IF($R1381="T",$K$3,IF($R1381="B",COUNTIFS($M$4:$M$2003,INDEX($M$4:$M$2003,$S1381),$N$4:$N$2003,1),1)))</f>
        <v/>
      </c>
      <c r="L1381">
        <f>IF($K$1="","",IFERROR(INDEX(Lines!$A:$AA,ROW()-2,$K$1),""))</f>
        <v/>
      </c>
      <c r="M1381">
        <f>IF($K$2="","",IFERROR(INDEX(Lines!$A:$AA,ROW()-2,$K$2),""))</f>
        <v/>
      </c>
      <c r="N1381">
        <f>IF(AND(L1381&lt;&gt;"",LEFT(L1381,1)="N",M1381&lt;&gt;"PICKING",M1381&lt;&gt;""),1,0)</f>
        <v/>
      </c>
      <c r="O1381">
        <f>IF(N1381=1,M1381&amp;"|"&amp;L1381,REPT("z",40))</f>
        <v/>
      </c>
      <c r="P1381">
        <f>IF(N1381=1,COUNTIF($O$4:$O$2003,"&lt;"&amp;O1381)+1,"")</f>
        <v/>
      </c>
      <c r="Q1381">
        <f>IF(OR($R1380="",$R1380="T"),"",IF($R1380="B",$Q1380,IF($Q1380+1&gt;$K$3,"",$Q1380+1)))</f>
        <v/>
      </c>
      <c r="R1381">
        <f>IF(OR($R1380="",$R1380="T"),"",IF($R1380="B","S",IF($Q1380+1&gt;$K$3,"T",IF(INDEX($M$4:$M$2003,MATCH($Q1380+1,$P$4:$P$2003,0))&lt;&gt;INDEX($M$4:$M$2003,MATCH($Q1380,$P$4:$P$2003,0)),"B","S"))))</f>
        <v/>
      </c>
      <c r="S1381">
        <f>IF(Q1381="","",IFERROR(MATCH(Q1381,$P$4:$P$2003,0),""))</f>
        <v/>
      </c>
    </row>
    <row r="1382">
      <c r="A1382" s="4">
        <f>IF($R1382="","",IF($R1382="T","Gesamtergebnis",IF($R1382="B",INDEX($M$4:$M$2003,$S1382),INDEX($L$4:$L$2003,$S1382))))</f>
        <v/>
      </c>
      <c r="B1382" s="4">
        <f>IF($R1382="","",IF($R1382="T",$K$3,IF($R1382="B",COUNTIFS($M$4:$M$2003,INDEX($M$4:$M$2003,$S1382),$N$4:$N$2003,1),1)))</f>
        <v/>
      </c>
      <c r="L1382">
        <f>IF($K$1="","",IFERROR(INDEX(Lines!$A:$AA,ROW()-2,$K$1),""))</f>
        <v/>
      </c>
      <c r="M1382">
        <f>IF($K$2="","",IFERROR(INDEX(Lines!$A:$AA,ROW()-2,$K$2),""))</f>
        <v/>
      </c>
      <c r="N1382">
        <f>IF(AND(L1382&lt;&gt;"",LEFT(L1382,1)="N",M1382&lt;&gt;"PICKING",M1382&lt;&gt;""),1,0)</f>
        <v/>
      </c>
      <c r="O1382">
        <f>IF(N1382=1,M1382&amp;"|"&amp;L1382,REPT("z",40))</f>
        <v/>
      </c>
      <c r="P1382">
        <f>IF(N1382=1,COUNTIF($O$4:$O$2003,"&lt;"&amp;O1382)+1,"")</f>
        <v/>
      </c>
      <c r="Q1382">
        <f>IF(OR($R1381="",$R1381="T"),"",IF($R1381="B",$Q1381,IF($Q1381+1&gt;$K$3,"",$Q1381+1)))</f>
        <v/>
      </c>
      <c r="R1382">
        <f>IF(OR($R1381="",$R1381="T"),"",IF($R1381="B","S",IF($Q1381+1&gt;$K$3,"T",IF(INDEX($M$4:$M$2003,MATCH($Q1381+1,$P$4:$P$2003,0))&lt;&gt;INDEX($M$4:$M$2003,MATCH($Q1381,$P$4:$P$2003,0)),"B","S"))))</f>
        <v/>
      </c>
      <c r="S1382">
        <f>IF(Q1382="","",IFERROR(MATCH(Q1382,$P$4:$P$2003,0),""))</f>
        <v/>
      </c>
    </row>
    <row r="1383">
      <c r="A1383" s="4">
        <f>IF($R1383="","",IF($R1383="T","Gesamtergebnis",IF($R1383="B",INDEX($M$4:$M$2003,$S1383),INDEX($L$4:$L$2003,$S1383))))</f>
        <v/>
      </c>
      <c r="B1383" s="4">
        <f>IF($R1383="","",IF($R1383="T",$K$3,IF($R1383="B",COUNTIFS($M$4:$M$2003,INDEX($M$4:$M$2003,$S1383),$N$4:$N$2003,1),1)))</f>
        <v/>
      </c>
      <c r="L1383">
        <f>IF($K$1="","",IFERROR(INDEX(Lines!$A:$AA,ROW()-2,$K$1),""))</f>
        <v/>
      </c>
      <c r="M1383">
        <f>IF($K$2="","",IFERROR(INDEX(Lines!$A:$AA,ROW()-2,$K$2),""))</f>
        <v/>
      </c>
      <c r="N1383">
        <f>IF(AND(L1383&lt;&gt;"",LEFT(L1383,1)="N",M1383&lt;&gt;"PICKING",M1383&lt;&gt;""),1,0)</f>
        <v/>
      </c>
      <c r="O1383">
        <f>IF(N1383=1,M1383&amp;"|"&amp;L1383,REPT("z",40))</f>
        <v/>
      </c>
      <c r="P1383">
        <f>IF(N1383=1,COUNTIF($O$4:$O$2003,"&lt;"&amp;O1383)+1,"")</f>
        <v/>
      </c>
      <c r="Q1383">
        <f>IF(OR($R1382="",$R1382="T"),"",IF($R1382="B",$Q1382,IF($Q1382+1&gt;$K$3,"",$Q1382+1)))</f>
        <v/>
      </c>
      <c r="R1383">
        <f>IF(OR($R1382="",$R1382="T"),"",IF($R1382="B","S",IF($Q1382+1&gt;$K$3,"T",IF(INDEX($M$4:$M$2003,MATCH($Q1382+1,$P$4:$P$2003,0))&lt;&gt;INDEX($M$4:$M$2003,MATCH($Q1382,$P$4:$P$2003,0)),"B","S"))))</f>
        <v/>
      </c>
      <c r="S1383">
        <f>IF(Q1383="","",IFERROR(MATCH(Q1383,$P$4:$P$2003,0),""))</f>
        <v/>
      </c>
    </row>
    <row r="1384">
      <c r="A1384" s="4">
        <f>IF($R1384="","",IF($R1384="T","Gesamtergebnis",IF($R1384="B",INDEX($M$4:$M$2003,$S1384),INDEX($L$4:$L$2003,$S1384))))</f>
        <v/>
      </c>
      <c r="B1384" s="4">
        <f>IF($R1384="","",IF($R1384="T",$K$3,IF($R1384="B",COUNTIFS($M$4:$M$2003,INDEX($M$4:$M$2003,$S1384),$N$4:$N$2003,1),1)))</f>
        <v/>
      </c>
      <c r="L1384">
        <f>IF($K$1="","",IFERROR(INDEX(Lines!$A:$AA,ROW()-2,$K$1),""))</f>
        <v/>
      </c>
      <c r="M1384">
        <f>IF($K$2="","",IFERROR(INDEX(Lines!$A:$AA,ROW()-2,$K$2),""))</f>
        <v/>
      </c>
      <c r="N1384">
        <f>IF(AND(L1384&lt;&gt;"",LEFT(L1384,1)="N",M1384&lt;&gt;"PICKING",M1384&lt;&gt;""),1,0)</f>
        <v/>
      </c>
      <c r="O1384">
        <f>IF(N1384=1,M1384&amp;"|"&amp;L1384,REPT("z",40))</f>
        <v/>
      </c>
      <c r="P1384">
        <f>IF(N1384=1,COUNTIF($O$4:$O$2003,"&lt;"&amp;O1384)+1,"")</f>
        <v/>
      </c>
      <c r="Q1384">
        <f>IF(OR($R1383="",$R1383="T"),"",IF($R1383="B",$Q1383,IF($Q1383+1&gt;$K$3,"",$Q1383+1)))</f>
        <v/>
      </c>
      <c r="R1384">
        <f>IF(OR($R1383="",$R1383="T"),"",IF($R1383="B","S",IF($Q1383+1&gt;$K$3,"T",IF(INDEX($M$4:$M$2003,MATCH($Q1383+1,$P$4:$P$2003,0))&lt;&gt;INDEX($M$4:$M$2003,MATCH($Q1383,$P$4:$P$2003,0)),"B","S"))))</f>
        <v/>
      </c>
      <c r="S1384">
        <f>IF(Q1384="","",IFERROR(MATCH(Q1384,$P$4:$P$2003,0),""))</f>
        <v/>
      </c>
    </row>
    <row r="1385">
      <c r="A1385" s="4">
        <f>IF($R1385="","",IF($R1385="T","Gesamtergebnis",IF($R1385="B",INDEX($M$4:$M$2003,$S1385),INDEX($L$4:$L$2003,$S1385))))</f>
        <v/>
      </c>
      <c r="B1385" s="4">
        <f>IF($R1385="","",IF($R1385="T",$K$3,IF($R1385="B",COUNTIFS($M$4:$M$2003,INDEX($M$4:$M$2003,$S1385),$N$4:$N$2003,1),1)))</f>
        <v/>
      </c>
      <c r="L1385">
        <f>IF($K$1="","",IFERROR(INDEX(Lines!$A:$AA,ROW()-2,$K$1),""))</f>
        <v/>
      </c>
      <c r="M1385">
        <f>IF($K$2="","",IFERROR(INDEX(Lines!$A:$AA,ROW()-2,$K$2),""))</f>
        <v/>
      </c>
      <c r="N1385">
        <f>IF(AND(L1385&lt;&gt;"",LEFT(L1385,1)="N",M1385&lt;&gt;"PICKING",M1385&lt;&gt;""),1,0)</f>
        <v/>
      </c>
      <c r="O1385">
        <f>IF(N1385=1,M1385&amp;"|"&amp;L1385,REPT("z",40))</f>
        <v/>
      </c>
      <c r="P1385">
        <f>IF(N1385=1,COUNTIF($O$4:$O$2003,"&lt;"&amp;O1385)+1,"")</f>
        <v/>
      </c>
      <c r="Q1385">
        <f>IF(OR($R1384="",$R1384="T"),"",IF($R1384="B",$Q1384,IF($Q1384+1&gt;$K$3,"",$Q1384+1)))</f>
        <v/>
      </c>
      <c r="R1385">
        <f>IF(OR($R1384="",$R1384="T"),"",IF($R1384="B","S",IF($Q1384+1&gt;$K$3,"T",IF(INDEX($M$4:$M$2003,MATCH($Q1384+1,$P$4:$P$2003,0))&lt;&gt;INDEX($M$4:$M$2003,MATCH($Q1384,$P$4:$P$2003,0)),"B","S"))))</f>
        <v/>
      </c>
      <c r="S1385">
        <f>IF(Q1385="","",IFERROR(MATCH(Q1385,$P$4:$P$2003,0),""))</f>
        <v/>
      </c>
    </row>
    <row r="1386">
      <c r="A1386" s="4">
        <f>IF($R1386="","",IF($R1386="T","Gesamtergebnis",IF($R1386="B",INDEX($M$4:$M$2003,$S1386),INDEX($L$4:$L$2003,$S1386))))</f>
        <v/>
      </c>
      <c r="B1386" s="4">
        <f>IF($R1386="","",IF($R1386="T",$K$3,IF($R1386="B",COUNTIFS($M$4:$M$2003,INDEX($M$4:$M$2003,$S1386),$N$4:$N$2003,1),1)))</f>
        <v/>
      </c>
      <c r="L1386">
        <f>IF($K$1="","",IFERROR(INDEX(Lines!$A:$AA,ROW()-2,$K$1),""))</f>
        <v/>
      </c>
      <c r="M1386">
        <f>IF($K$2="","",IFERROR(INDEX(Lines!$A:$AA,ROW()-2,$K$2),""))</f>
        <v/>
      </c>
      <c r="N1386">
        <f>IF(AND(L1386&lt;&gt;"",LEFT(L1386,1)="N",M1386&lt;&gt;"PICKING",M1386&lt;&gt;""),1,0)</f>
        <v/>
      </c>
      <c r="O1386">
        <f>IF(N1386=1,M1386&amp;"|"&amp;L1386,REPT("z",40))</f>
        <v/>
      </c>
      <c r="P1386">
        <f>IF(N1386=1,COUNTIF($O$4:$O$2003,"&lt;"&amp;O1386)+1,"")</f>
        <v/>
      </c>
      <c r="Q1386">
        <f>IF(OR($R1385="",$R1385="T"),"",IF($R1385="B",$Q1385,IF($Q1385+1&gt;$K$3,"",$Q1385+1)))</f>
        <v/>
      </c>
      <c r="R1386">
        <f>IF(OR($R1385="",$R1385="T"),"",IF($R1385="B","S",IF($Q1385+1&gt;$K$3,"T",IF(INDEX($M$4:$M$2003,MATCH($Q1385+1,$P$4:$P$2003,0))&lt;&gt;INDEX($M$4:$M$2003,MATCH($Q1385,$P$4:$P$2003,0)),"B","S"))))</f>
        <v/>
      </c>
      <c r="S1386">
        <f>IF(Q1386="","",IFERROR(MATCH(Q1386,$P$4:$P$2003,0),""))</f>
        <v/>
      </c>
    </row>
    <row r="1387">
      <c r="A1387" s="4">
        <f>IF($R1387="","",IF($R1387="T","Gesamtergebnis",IF($R1387="B",INDEX($M$4:$M$2003,$S1387),INDEX($L$4:$L$2003,$S1387))))</f>
        <v/>
      </c>
      <c r="B1387" s="4">
        <f>IF($R1387="","",IF($R1387="T",$K$3,IF($R1387="B",COUNTIFS($M$4:$M$2003,INDEX($M$4:$M$2003,$S1387),$N$4:$N$2003,1),1)))</f>
        <v/>
      </c>
      <c r="L1387">
        <f>IF($K$1="","",IFERROR(INDEX(Lines!$A:$AA,ROW()-2,$K$1),""))</f>
        <v/>
      </c>
      <c r="M1387">
        <f>IF($K$2="","",IFERROR(INDEX(Lines!$A:$AA,ROW()-2,$K$2),""))</f>
        <v/>
      </c>
      <c r="N1387">
        <f>IF(AND(L1387&lt;&gt;"",LEFT(L1387,1)="N",M1387&lt;&gt;"PICKING",M1387&lt;&gt;""),1,0)</f>
        <v/>
      </c>
      <c r="O1387">
        <f>IF(N1387=1,M1387&amp;"|"&amp;L1387,REPT("z",40))</f>
        <v/>
      </c>
      <c r="P1387">
        <f>IF(N1387=1,COUNTIF($O$4:$O$2003,"&lt;"&amp;O1387)+1,"")</f>
        <v/>
      </c>
      <c r="Q1387">
        <f>IF(OR($R1386="",$R1386="T"),"",IF($R1386="B",$Q1386,IF($Q1386+1&gt;$K$3,"",$Q1386+1)))</f>
        <v/>
      </c>
      <c r="R1387">
        <f>IF(OR($R1386="",$R1386="T"),"",IF($R1386="B","S",IF($Q1386+1&gt;$K$3,"T",IF(INDEX($M$4:$M$2003,MATCH($Q1386+1,$P$4:$P$2003,0))&lt;&gt;INDEX($M$4:$M$2003,MATCH($Q1386,$P$4:$P$2003,0)),"B","S"))))</f>
        <v/>
      </c>
      <c r="S1387">
        <f>IF(Q1387="","",IFERROR(MATCH(Q1387,$P$4:$P$2003,0),""))</f>
        <v/>
      </c>
    </row>
    <row r="1388">
      <c r="A1388" s="4">
        <f>IF($R1388="","",IF($R1388="T","Gesamtergebnis",IF($R1388="B",INDEX($M$4:$M$2003,$S1388),INDEX($L$4:$L$2003,$S1388))))</f>
        <v/>
      </c>
      <c r="B1388" s="4">
        <f>IF($R1388="","",IF($R1388="T",$K$3,IF($R1388="B",COUNTIFS($M$4:$M$2003,INDEX($M$4:$M$2003,$S1388),$N$4:$N$2003,1),1)))</f>
        <v/>
      </c>
      <c r="L1388">
        <f>IF($K$1="","",IFERROR(INDEX(Lines!$A:$AA,ROW()-2,$K$1),""))</f>
        <v/>
      </c>
      <c r="M1388">
        <f>IF($K$2="","",IFERROR(INDEX(Lines!$A:$AA,ROW()-2,$K$2),""))</f>
        <v/>
      </c>
      <c r="N1388">
        <f>IF(AND(L1388&lt;&gt;"",LEFT(L1388,1)="N",M1388&lt;&gt;"PICKING",M1388&lt;&gt;""),1,0)</f>
        <v/>
      </c>
      <c r="O1388">
        <f>IF(N1388=1,M1388&amp;"|"&amp;L1388,REPT("z",40))</f>
        <v/>
      </c>
      <c r="P1388">
        <f>IF(N1388=1,COUNTIF($O$4:$O$2003,"&lt;"&amp;O1388)+1,"")</f>
        <v/>
      </c>
      <c r="Q1388">
        <f>IF(OR($R1387="",$R1387="T"),"",IF($R1387="B",$Q1387,IF($Q1387+1&gt;$K$3,"",$Q1387+1)))</f>
        <v/>
      </c>
      <c r="R1388">
        <f>IF(OR($R1387="",$R1387="T"),"",IF($R1387="B","S",IF($Q1387+1&gt;$K$3,"T",IF(INDEX($M$4:$M$2003,MATCH($Q1387+1,$P$4:$P$2003,0))&lt;&gt;INDEX($M$4:$M$2003,MATCH($Q1387,$P$4:$P$2003,0)),"B","S"))))</f>
        <v/>
      </c>
      <c r="S1388">
        <f>IF(Q1388="","",IFERROR(MATCH(Q1388,$P$4:$P$2003,0),""))</f>
        <v/>
      </c>
    </row>
    <row r="1389">
      <c r="A1389" s="4">
        <f>IF($R1389="","",IF($R1389="T","Gesamtergebnis",IF($R1389="B",INDEX($M$4:$M$2003,$S1389),INDEX($L$4:$L$2003,$S1389))))</f>
        <v/>
      </c>
      <c r="B1389" s="4">
        <f>IF($R1389="","",IF($R1389="T",$K$3,IF($R1389="B",COUNTIFS($M$4:$M$2003,INDEX($M$4:$M$2003,$S1389),$N$4:$N$2003,1),1)))</f>
        <v/>
      </c>
      <c r="L1389">
        <f>IF($K$1="","",IFERROR(INDEX(Lines!$A:$AA,ROW()-2,$K$1),""))</f>
        <v/>
      </c>
      <c r="M1389">
        <f>IF($K$2="","",IFERROR(INDEX(Lines!$A:$AA,ROW()-2,$K$2),""))</f>
        <v/>
      </c>
      <c r="N1389">
        <f>IF(AND(L1389&lt;&gt;"",LEFT(L1389,1)="N",M1389&lt;&gt;"PICKING",M1389&lt;&gt;""),1,0)</f>
        <v/>
      </c>
      <c r="O1389">
        <f>IF(N1389=1,M1389&amp;"|"&amp;L1389,REPT("z",40))</f>
        <v/>
      </c>
      <c r="P1389">
        <f>IF(N1389=1,COUNTIF($O$4:$O$2003,"&lt;"&amp;O1389)+1,"")</f>
        <v/>
      </c>
      <c r="Q1389">
        <f>IF(OR($R1388="",$R1388="T"),"",IF($R1388="B",$Q1388,IF($Q1388+1&gt;$K$3,"",$Q1388+1)))</f>
        <v/>
      </c>
      <c r="R1389">
        <f>IF(OR($R1388="",$R1388="T"),"",IF($R1388="B","S",IF($Q1388+1&gt;$K$3,"T",IF(INDEX($M$4:$M$2003,MATCH($Q1388+1,$P$4:$P$2003,0))&lt;&gt;INDEX($M$4:$M$2003,MATCH($Q1388,$P$4:$P$2003,0)),"B","S"))))</f>
        <v/>
      </c>
      <c r="S1389">
        <f>IF(Q1389="","",IFERROR(MATCH(Q1389,$P$4:$P$2003,0),""))</f>
        <v/>
      </c>
    </row>
    <row r="1390">
      <c r="A1390" s="4">
        <f>IF($R1390="","",IF($R1390="T","Gesamtergebnis",IF($R1390="B",INDEX($M$4:$M$2003,$S1390),INDEX($L$4:$L$2003,$S1390))))</f>
        <v/>
      </c>
      <c r="B1390" s="4">
        <f>IF($R1390="","",IF($R1390="T",$K$3,IF($R1390="B",COUNTIFS($M$4:$M$2003,INDEX($M$4:$M$2003,$S1390),$N$4:$N$2003,1),1)))</f>
        <v/>
      </c>
      <c r="L1390">
        <f>IF($K$1="","",IFERROR(INDEX(Lines!$A:$AA,ROW()-2,$K$1),""))</f>
        <v/>
      </c>
      <c r="M1390">
        <f>IF($K$2="","",IFERROR(INDEX(Lines!$A:$AA,ROW()-2,$K$2),""))</f>
        <v/>
      </c>
      <c r="N1390">
        <f>IF(AND(L1390&lt;&gt;"",LEFT(L1390,1)="N",M1390&lt;&gt;"PICKING",M1390&lt;&gt;""),1,0)</f>
        <v/>
      </c>
      <c r="O1390">
        <f>IF(N1390=1,M1390&amp;"|"&amp;L1390,REPT("z",40))</f>
        <v/>
      </c>
      <c r="P1390">
        <f>IF(N1390=1,COUNTIF($O$4:$O$2003,"&lt;"&amp;O1390)+1,"")</f>
        <v/>
      </c>
      <c r="Q1390">
        <f>IF(OR($R1389="",$R1389="T"),"",IF($R1389="B",$Q1389,IF($Q1389+1&gt;$K$3,"",$Q1389+1)))</f>
        <v/>
      </c>
      <c r="R1390">
        <f>IF(OR($R1389="",$R1389="T"),"",IF($R1389="B","S",IF($Q1389+1&gt;$K$3,"T",IF(INDEX($M$4:$M$2003,MATCH($Q1389+1,$P$4:$P$2003,0))&lt;&gt;INDEX($M$4:$M$2003,MATCH($Q1389,$P$4:$P$2003,0)),"B","S"))))</f>
        <v/>
      </c>
      <c r="S1390">
        <f>IF(Q1390="","",IFERROR(MATCH(Q1390,$P$4:$P$2003,0),""))</f>
        <v/>
      </c>
    </row>
    <row r="1391">
      <c r="A1391" s="4">
        <f>IF($R1391="","",IF($R1391="T","Gesamtergebnis",IF($R1391="B",INDEX($M$4:$M$2003,$S1391),INDEX($L$4:$L$2003,$S1391))))</f>
        <v/>
      </c>
      <c r="B1391" s="4">
        <f>IF($R1391="","",IF($R1391="T",$K$3,IF($R1391="B",COUNTIFS($M$4:$M$2003,INDEX($M$4:$M$2003,$S1391),$N$4:$N$2003,1),1)))</f>
        <v/>
      </c>
      <c r="L1391">
        <f>IF($K$1="","",IFERROR(INDEX(Lines!$A:$AA,ROW()-2,$K$1),""))</f>
        <v/>
      </c>
      <c r="M1391">
        <f>IF($K$2="","",IFERROR(INDEX(Lines!$A:$AA,ROW()-2,$K$2),""))</f>
        <v/>
      </c>
      <c r="N1391">
        <f>IF(AND(L1391&lt;&gt;"",LEFT(L1391,1)="N",M1391&lt;&gt;"PICKING",M1391&lt;&gt;""),1,0)</f>
        <v/>
      </c>
      <c r="O1391">
        <f>IF(N1391=1,M1391&amp;"|"&amp;L1391,REPT("z",40))</f>
        <v/>
      </c>
      <c r="P1391">
        <f>IF(N1391=1,COUNTIF($O$4:$O$2003,"&lt;"&amp;O1391)+1,"")</f>
        <v/>
      </c>
      <c r="Q1391">
        <f>IF(OR($R1390="",$R1390="T"),"",IF($R1390="B",$Q1390,IF($Q1390+1&gt;$K$3,"",$Q1390+1)))</f>
        <v/>
      </c>
      <c r="R1391">
        <f>IF(OR($R1390="",$R1390="T"),"",IF($R1390="B","S",IF($Q1390+1&gt;$K$3,"T",IF(INDEX($M$4:$M$2003,MATCH($Q1390+1,$P$4:$P$2003,0))&lt;&gt;INDEX($M$4:$M$2003,MATCH($Q1390,$P$4:$P$2003,0)),"B","S"))))</f>
        <v/>
      </c>
      <c r="S1391">
        <f>IF(Q1391="","",IFERROR(MATCH(Q1391,$P$4:$P$2003,0),""))</f>
        <v/>
      </c>
    </row>
    <row r="1392">
      <c r="A1392" s="4">
        <f>IF($R1392="","",IF($R1392="T","Gesamtergebnis",IF($R1392="B",INDEX($M$4:$M$2003,$S1392),INDEX($L$4:$L$2003,$S1392))))</f>
        <v/>
      </c>
      <c r="B1392" s="4">
        <f>IF($R1392="","",IF($R1392="T",$K$3,IF($R1392="B",COUNTIFS($M$4:$M$2003,INDEX($M$4:$M$2003,$S1392),$N$4:$N$2003,1),1)))</f>
        <v/>
      </c>
      <c r="L1392">
        <f>IF($K$1="","",IFERROR(INDEX(Lines!$A:$AA,ROW()-2,$K$1),""))</f>
        <v/>
      </c>
      <c r="M1392">
        <f>IF($K$2="","",IFERROR(INDEX(Lines!$A:$AA,ROW()-2,$K$2),""))</f>
        <v/>
      </c>
      <c r="N1392">
        <f>IF(AND(L1392&lt;&gt;"",LEFT(L1392,1)="N",M1392&lt;&gt;"PICKING",M1392&lt;&gt;""),1,0)</f>
        <v/>
      </c>
      <c r="O1392">
        <f>IF(N1392=1,M1392&amp;"|"&amp;L1392,REPT("z",40))</f>
        <v/>
      </c>
      <c r="P1392">
        <f>IF(N1392=1,COUNTIF($O$4:$O$2003,"&lt;"&amp;O1392)+1,"")</f>
        <v/>
      </c>
      <c r="Q1392">
        <f>IF(OR($R1391="",$R1391="T"),"",IF($R1391="B",$Q1391,IF($Q1391+1&gt;$K$3,"",$Q1391+1)))</f>
        <v/>
      </c>
      <c r="R1392">
        <f>IF(OR($R1391="",$R1391="T"),"",IF($R1391="B","S",IF($Q1391+1&gt;$K$3,"T",IF(INDEX($M$4:$M$2003,MATCH($Q1391+1,$P$4:$P$2003,0))&lt;&gt;INDEX($M$4:$M$2003,MATCH($Q1391,$P$4:$P$2003,0)),"B","S"))))</f>
        <v/>
      </c>
      <c r="S1392">
        <f>IF(Q1392="","",IFERROR(MATCH(Q1392,$P$4:$P$2003,0),""))</f>
        <v/>
      </c>
    </row>
    <row r="1393">
      <c r="A1393" s="4">
        <f>IF($R1393="","",IF($R1393="T","Gesamtergebnis",IF($R1393="B",INDEX($M$4:$M$2003,$S1393),INDEX($L$4:$L$2003,$S1393))))</f>
        <v/>
      </c>
      <c r="B1393" s="4">
        <f>IF($R1393="","",IF($R1393="T",$K$3,IF($R1393="B",COUNTIFS($M$4:$M$2003,INDEX($M$4:$M$2003,$S1393),$N$4:$N$2003,1),1)))</f>
        <v/>
      </c>
      <c r="L1393">
        <f>IF($K$1="","",IFERROR(INDEX(Lines!$A:$AA,ROW()-2,$K$1),""))</f>
        <v/>
      </c>
      <c r="M1393">
        <f>IF($K$2="","",IFERROR(INDEX(Lines!$A:$AA,ROW()-2,$K$2),""))</f>
        <v/>
      </c>
      <c r="N1393">
        <f>IF(AND(L1393&lt;&gt;"",LEFT(L1393,1)="N",M1393&lt;&gt;"PICKING",M1393&lt;&gt;""),1,0)</f>
        <v/>
      </c>
      <c r="O1393">
        <f>IF(N1393=1,M1393&amp;"|"&amp;L1393,REPT("z",40))</f>
        <v/>
      </c>
      <c r="P1393">
        <f>IF(N1393=1,COUNTIF($O$4:$O$2003,"&lt;"&amp;O1393)+1,"")</f>
        <v/>
      </c>
      <c r="Q1393">
        <f>IF(OR($R1392="",$R1392="T"),"",IF($R1392="B",$Q1392,IF($Q1392+1&gt;$K$3,"",$Q1392+1)))</f>
        <v/>
      </c>
      <c r="R1393">
        <f>IF(OR($R1392="",$R1392="T"),"",IF($R1392="B","S",IF($Q1392+1&gt;$K$3,"T",IF(INDEX($M$4:$M$2003,MATCH($Q1392+1,$P$4:$P$2003,0))&lt;&gt;INDEX($M$4:$M$2003,MATCH($Q1392,$P$4:$P$2003,0)),"B","S"))))</f>
        <v/>
      </c>
      <c r="S1393">
        <f>IF(Q1393="","",IFERROR(MATCH(Q1393,$P$4:$P$2003,0),""))</f>
        <v/>
      </c>
    </row>
    <row r="1394">
      <c r="A1394" s="4">
        <f>IF($R1394="","",IF($R1394="T","Gesamtergebnis",IF($R1394="B",INDEX($M$4:$M$2003,$S1394),INDEX($L$4:$L$2003,$S1394))))</f>
        <v/>
      </c>
      <c r="B1394" s="4">
        <f>IF($R1394="","",IF($R1394="T",$K$3,IF($R1394="B",COUNTIFS($M$4:$M$2003,INDEX($M$4:$M$2003,$S1394),$N$4:$N$2003,1),1)))</f>
        <v/>
      </c>
      <c r="L1394">
        <f>IF($K$1="","",IFERROR(INDEX(Lines!$A:$AA,ROW()-2,$K$1),""))</f>
        <v/>
      </c>
      <c r="M1394">
        <f>IF($K$2="","",IFERROR(INDEX(Lines!$A:$AA,ROW()-2,$K$2),""))</f>
        <v/>
      </c>
      <c r="N1394">
        <f>IF(AND(L1394&lt;&gt;"",LEFT(L1394,1)="N",M1394&lt;&gt;"PICKING",M1394&lt;&gt;""),1,0)</f>
        <v/>
      </c>
      <c r="O1394">
        <f>IF(N1394=1,M1394&amp;"|"&amp;L1394,REPT("z",40))</f>
        <v/>
      </c>
      <c r="P1394">
        <f>IF(N1394=1,COUNTIF($O$4:$O$2003,"&lt;"&amp;O1394)+1,"")</f>
        <v/>
      </c>
      <c r="Q1394">
        <f>IF(OR($R1393="",$R1393="T"),"",IF($R1393="B",$Q1393,IF($Q1393+1&gt;$K$3,"",$Q1393+1)))</f>
        <v/>
      </c>
      <c r="R1394">
        <f>IF(OR($R1393="",$R1393="T"),"",IF($R1393="B","S",IF($Q1393+1&gt;$K$3,"T",IF(INDEX($M$4:$M$2003,MATCH($Q1393+1,$P$4:$P$2003,0))&lt;&gt;INDEX($M$4:$M$2003,MATCH($Q1393,$P$4:$P$2003,0)),"B","S"))))</f>
        <v/>
      </c>
      <c r="S1394">
        <f>IF(Q1394="","",IFERROR(MATCH(Q1394,$P$4:$P$2003,0),""))</f>
        <v/>
      </c>
    </row>
    <row r="1395">
      <c r="A1395" s="4">
        <f>IF($R1395="","",IF($R1395="T","Gesamtergebnis",IF($R1395="B",INDEX($M$4:$M$2003,$S1395),INDEX($L$4:$L$2003,$S1395))))</f>
        <v/>
      </c>
      <c r="B1395" s="4">
        <f>IF($R1395="","",IF($R1395="T",$K$3,IF($R1395="B",COUNTIFS($M$4:$M$2003,INDEX($M$4:$M$2003,$S1395),$N$4:$N$2003,1),1)))</f>
        <v/>
      </c>
      <c r="L1395">
        <f>IF($K$1="","",IFERROR(INDEX(Lines!$A:$AA,ROW()-2,$K$1),""))</f>
        <v/>
      </c>
      <c r="M1395">
        <f>IF($K$2="","",IFERROR(INDEX(Lines!$A:$AA,ROW()-2,$K$2),""))</f>
        <v/>
      </c>
      <c r="N1395">
        <f>IF(AND(L1395&lt;&gt;"",LEFT(L1395,1)="N",M1395&lt;&gt;"PICKING",M1395&lt;&gt;""),1,0)</f>
        <v/>
      </c>
      <c r="O1395">
        <f>IF(N1395=1,M1395&amp;"|"&amp;L1395,REPT("z",40))</f>
        <v/>
      </c>
      <c r="P1395">
        <f>IF(N1395=1,COUNTIF($O$4:$O$2003,"&lt;"&amp;O1395)+1,"")</f>
        <v/>
      </c>
      <c r="Q1395">
        <f>IF(OR($R1394="",$R1394="T"),"",IF($R1394="B",$Q1394,IF($Q1394+1&gt;$K$3,"",$Q1394+1)))</f>
        <v/>
      </c>
      <c r="R1395">
        <f>IF(OR($R1394="",$R1394="T"),"",IF($R1394="B","S",IF($Q1394+1&gt;$K$3,"T",IF(INDEX($M$4:$M$2003,MATCH($Q1394+1,$P$4:$P$2003,0))&lt;&gt;INDEX($M$4:$M$2003,MATCH($Q1394,$P$4:$P$2003,0)),"B","S"))))</f>
        <v/>
      </c>
      <c r="S1395">
        <f>IF(Q1395="","",IFERROR(MATCH(Q1395,$P$4:$P$2003,0),""))</f>
        <v/>
      </c>
    </row>
    <row r="1396">
      <c r="A1396" s="4">
        <f>IF($R1396="","",IF($R1396="T","Gesamtergebnis",IF($R1396="B",INDEX($M$4:$M$2003,$S1396),INDEX($L$4:$L$2003,$S1396))))</f>
        <v/>
      </c>
      <c r="B1396" s="4">
        <f>IF($R1396="","",IF($R1396="T",$K$3,IF($R1396="B",COUNTIFS($M$4:$M$2003,INDEX($M$4:$M$2003,$S1396),$N$4:$N$2003,1),1)))</f>
        <v/>
      </c>
      <c r="L1396">
        <f>IF($K$1="","",IFERROR(INDEX(Lines!$A:$AA,ROW()-2,$K$1),""))</f>
        <v/>
      </c>
      <c r="M1396">
        <f>IF($K$2="","",IFERROR(INDEX(Lines!$A:$AA,ROW()-2,$K$2),""))</f>
        <v/>
      </c>
      <c r="N1396">
        <f>IF(AND(L1396&lt;&gt;"",LEFT(L1396,1)="N",M1396&lt;&gt;"PICKING",M1396&lt;&gt;""),1,0)</f>
        <v/>
      </c>
      <c r="O1396">
        <f>IF(N1396=1,M1396&amp;"|"&amp;L1396,REPT("z",40))</f>
        <v/>
      </c>
      <c r="P1396">
        <f>IF(N1396=1,COUNTIF($O$4:$O$2003,"&lt;"&amp;O1396)+1,"")</f>
        <v/>
      </c>
      <c r="Q1396">
        <f>IF(OR($R1395="",$R1395="T"),"",IF($R1395="B",$Q1395,IF($Q1395+1&gt;$K$3,"",$Q1395+1)))</f>
        <v/>
      </c>
      <c r="R1396">
        <f>IF(OR($R1395="",$R1395="T"),"",IF($R1395="B","S",IF($Q1395+1&gt;$K$3,"T",IF(INDEX($M$4:$M$2003,MATCH($Q1395+1,$P$4:$P$2003,0))&lt;&gt;INDEX($M$4:$M$2003,MATCH($Q1395,$P$4:$P$2003,0)),"B","S"))))</f>
        <v/>
      </c>
      <c r="S1396">
        <f>IF(Q1396="","",IFERROR(MATCH(Q1396,$P$4:$P$2003,0),""))</f>
        <v/>
      </c>
    </row>
    <row r="1397">
      <c r="A1397" s="4">
        <f>IF($R1397="","",IF($R1397="T","Gesamtergebnis",IF($R1397="B",INDEX($M$4:$M$2003,$S1397),INDEX($L$4:$L$2003,$S1397))))</f>
        <v/>
      </c>
      <c r="B1397" s="4">
        <f>IF($R1397="","",IF($R1397="T",$K$3,IF($R1397="B",COUNTIFS($M$4:$M$2003,INDEX($M$4:$M$2003,$S1397),$N$4:$N$2003,1),1)))</f>
        <v/>
      </c>
      <c r="L1397">
        <f>IF($K$1="","",IFERROR(INDEX(Lines!$A:$AA,ROW()-2,$K$1),""))</f>
        <v/>
      </c>
      <c r="M1397">
        <f>IF($K$2="","",IFERROR(INDEX(Lines!$A:$AA,ROW()-2,$K$2),""))</f>
        <v/>
      </c>
      <c r="N1397">
        <f>IF(AND(L1397&lt;&gt;"",LEFT(L1397,1)="N",M1397&lt;&gt;"PICKING",M1397&lt;&gt;""),1,0)</f>
        <v/>
      </c>
      <c r="O1397">
        <f>IF(N1397=1,M1397&amp;"|"&amp;L1397,REPT("z",40))</f>
        <v/>
      </c>
      <c r="P1397">
        <f>IF(N1397=1,COUNTIF($O$4:$O$2003,"&lt;"&amp;O1397)+1,"")</f>
        <v/>
      </c>
      <c r="Q1397">
        <f>IF(OR($R1396="",$R1396="T"),"",IF($R1396="B",$Q1396,IF($Q1396+1&gt;$K$3,"",$Q1396+1)))</f>
        <v/>
      </c>
      <c r="R1397">
        <f>IF(OR($R1396="",$R1396="T"),"",IF($R1396="B","S",IF($Q1396+1&gt;$K$3,"T",IF(INDEX($M$4:$M$2003,MATCH($Q1396+1,$P$4:$P$2003,0))&lt;&gt;INDEX($M$4:$M$2003,MATCH($Q1396,$P$4:$P$2003,0)),"B","S"))))</f>
        <v/>
      </c>
      <c r="S1397">
        <f>IF(Q1397="","",IFERROR(MATCH(Q1397,$P$4:$P$2003,0),""))</f>
        <v/>
      </c>
    </row>
    <row r="1398">
      <c r="A1398" s="4">
        <f>IF($R1398="","",IF($R1398="T","Gesamtergebnis",IF($R1398="B",INDEX($M$4:$M$2003,$S1398),INDEX($L$4:$L$2003,$S1398))))</f>
        <v/>
      </c>
      <c r="B1398" s="4">
        <f>IF($R1398="","",IF($R1398="T",$K$3,IF($R1398="B",COUNTIFS($M$4:$M$2003,INDEX($M$4:$M$2003,$S1398),$N$4:$N$2003,1),1)))</f>
        <v/>
      </c>
      <c r="L1398">
        <f>IF($K$1="","",IFERROR(INDEX(Lines!$A:$AA,ROW()-2,$K$1),""))</f>
        <v/>
      </c>
      <c r="M1398">
        <f>IF($K$2="","",IFERROR(INDEX(Lines!$A:$AA,ROW()-2,$K$2),""))</f>
        <v/>
      </c>
      <c r="N1398">
        <f>IF(AND(L1398&lt;&gt;"",LEFT(L1398,1)="N",M1398&lt;&gt;"PICKING",M1398&lt;&gt;""),1,0)</f>
        <v/>
      </c>
      <c r="O1398">
        <f>IF(N1398=1,M1398&amp;"|"&amp;L1398,REPT("z",40))</f>
        <v/>
      </c>
      <c r="P1398">
        <f>IF(N1398=1,COUNTIF($O$4:$O$2003,"&lt;"&amp;O1398)+1,"")</f>
        <v/>
      </c>
      <c r="Q1398">
        <f>IF(OR($R1397="",$R1397="T"),"",IF($R1397="B",$Q1397,IF($Q1397+1&gt;$K$3,"",$Q1397+1)))</f>
        <v/>
      </c>
      <c r="R1398">
        <f>IF(OR($R1397="",$R1397="T"),"",IF($R1397="B","S",IF($Q1397+1&gt;$K$3,"T",IF(INDEX($M$4:$M$2003,MATCH($Q1397+1,$P$4:$P$2003,0))&lt;&gt;INDEX($M$4:$M$2003,MATCH($Q1397,$P$4:$P$2003,0)),"B","S"))))</f>
        <v/>
      </c>
      <c r="S1398">
        <f>IF(Q1398="","",IFERROR(MATCH(Q1398,$P$4:$P$2003,0),""))</f>
        <v/>
      </c>
    </row>
    <row r="1399">
      <c r="A1399" s="4">
        <f>IF($R1399="","",IF($R1399="T","Gesamtergebnis",IF($R1399="B",INDEX($M$4:$M$2003,$S1399),INDEX($L$4:$L$2003,$S1399))))</f>
        <v/>
      </c>
      <c r="B1399" s="4">
        <f>IF($R1399="","",IF($R1399="T",$K$3,IF($R1399="B",COUNTIFS($M$4:$M$2003,INDEX($M$4:$M$2003,$S1399),$N$4:$N$2003,1),1)))</f>
        <v/>
      </c>
      <c r="L1399">
        <f>IF($K$1="","",IFERROR(INDEX(Lines!$A:$AA,ROW()-2,$K$1),""))</f>
        <v/>
      </c>
      <c r="M1399">
        <f>IF($K$2="","",IFERROR(INDEX(Lines!$A:$AA,ROW()-2,$K$2),""))</f>
        <v/>
      </c>
      <c r="N1399">
        <f>IF(AND(L1399&lt;&gt;"",LEFT(L1399,1)="N",M1399&lt;&gt;"PICKING",M1399&lt;&gt;""),1,0)</f>
        <v/>
      </c>
      <c r="O1399">
        <f>IF(N1399=1,M1399&amp;"|"&amp;L1399,REPT("z",40))</f>
        <v/>
      </c>
      <c r="P1399">
        <f>IF(N1399=1,COUNTIF($O$4:$O$2003,"&lt;"&amp;O1399)+1,"")</f>
        <v/>
      </c>
      <c r="Q1399">
        <f>IF(OR($R1398="",$R1398="T"),"",IF($R1398="B",$Q1398,IF($Q1398+1&gt;$K$3,"",$Q1398+1)))</f>
        <v/>
      </c>
      <c r="R1399">
        <f>IF(OR($R1398="",$R1398="T"),"",IF($R1398="B","S",IF($Q1398+1&gt;$K$3,"T",IF(INDEX($M$4:$M$2003,MATCH($Q1398+1,$P$4:$P$2003,0))&lt;&gt;INDEX($M$4:$M$2003,MATCH($Q1398,$P$4:$P$2003,0)),"B","S"))))</f>
        <v/>
      </c>
      <c r="S1399">
        <f>IF(Q1399="","",IFERROR(MATCH(Q1399,$P$4:$P$2003,0),""))</f>
        <v/>
      </c>
    </row>
    <row r="1400">
      <c r="A1400" s="4">
        <f>IF($R1400="","",IF($R1400="T","Gesamtergebnis",IF($R1400="B",INDEX($M$4:$M$2003,$S1400),INDEX($L$4:$L$2003,$S1400))))</f>
        <v/>
      </c>
      <c r="B1400" s="4">
        <f>IF($R1400="","",IF($R1400="T",$K$3,IF($R1400="B",COUNTIFS($M$4:$M$2003,INDEX($M$4:$M$2003,$S1400),$N$4:$N$2003,1),1)))</f>
        <v/>
      </c>
      <c r="L1400">
        <f>IF($K$1="","",IFERROR(INDEX(Lines!$A:$AA,ROW()-2,$K$1),""))</f>
        <v/>
      </c>
      <c r="M1400">
        <f>IF($K$2="","",IFERROR(INDEX(Lines!$A:$AA,ROW()-2,$K$2),""))</f>
        <v/>
      </c>
      <c r="N1400">
        <f>IF(AND(L1400&lt;&gt;"",LEFT(L1400,1)="N",M1400&lt;&gt;"PICKING",M1400&lt;&gt;""),1,0)</f>
        <v/>
      </c>
      <c r="O1400">
        <f>IF(N1400=1,M1400&amp;"|"&amp;L1400,REPT("z",40))</f>
        <v/>
      </c>
      <c r="P1400">
        <f>IF(N1400=1,COUNTIF($O$4:$O$2003,"&lt;"&amp;O1400)+1,"")</f>
        <v/>
      </c>
      <c r="Q1400">
        <f>IF(OR($R1399="",$R1399="T"),"",IF($R1399="B",$Q1399,IF($Q1399+1&gt;$K$3,"",$Q1399+1)))</f>
        <v/>
      </c>
      <c r="R1400">
        <f>IF(OR($R1399="",$R1399="T"),"",IF($R1399="B","S",IF($Q1399+1&gt;$K$3,"T",IF(INDEX($M$4:$M$2003,MATCH($Q1399+1,$P$4:$P$2003,0))&lt;&gt;INDEX($M$4:$M$2003,MATCH($Q1399,$P$4:$P$2003,0)),"B","S"))))</f>
        <v/>
      </c>
      <c r="S1400">
        <f>IF(Q1400="","",IFERROR(MATCH(Q1400,$P$4:$P$2003,0),""))</f>
        <v/>
      </c>
    </row>
    <row r="1401">
      <c r="A1401" s="4">
        <f>IF($R1401="","",IF($R1401="T","Gesamtergebnis",IF($R1401="B",INDEX($M$4:$M$2003,$S1401),INDEX($L$4:$L$2003,$S1401))))</f>
        <v/>
      </c>
      <c r="B1401" s="4">
        <f>IF($R1401="","",IF($R1401="T",$K$3,IF($R1401="B",COUNTIFS($M$4:$M$2003,INDEX($M$4:$M$2003,$S1401),$N$4:$N$2003,1),1)))</f>
        <v/>
      </c>
      <c r="L1401">
        <f>IF($K$1="","",IFERROR(INDEX(Lines!$A:$AA,ROW()-2,$K$1),""))</f>
        <v/>
      </c>
      <c r="M1401">
        <f>IF($K$2="","",IFERROR(INDEX(Lines!$A:$AA,ROW()-2,$K$2),""))</f>
        <v/>
      </c>
      <c r="N1401">
        <f>IF(AND(L1401&lt;&gt;"",LEFT(L1401,1)="N",M1401&lt;&gt;"PICKING",M1401&lt;&gt;""),1,0)</f>
        <v/>
      </c>
      <c r="O1401">
        <f>IF(N1401=1,M1401&amp;"|"&amp;L1401,REPT("z",40))</f>
        <v/>
      </c>
      <c r="P1401">
        <f>IF(N1401=1,COUNTIF($O$4:$O$2003,"&lt;"&amp;O1401)+1,"")</f>
        <v/>
      </c>
      <c r="Q1401">
        <f>IF(OR($R1400="",$R1400="T"),"",IF($R1400="B",$Q1400,IF($Q1400+1&gt;$K$3,"",$Q1400+1)))</f>
        <v/>
      </c>
      <c r="R1401">
        <f>IF(OR($R1400="",$R1400="T"),"",IF($R1400="B","S",IF($Q1400+1&gt;$K$3,"T",IF(INDEX($M$4:$M$2003,MATCH($Q1400+1,$P$4:$P$2003,0))&lt;&gt;INDEX($M$4:$M$2003,MATCH($Q1400,$P$4:$P$2003,0)),"B","S"))))</f>
        <v/>
      </c>
      <c r="S1401">
        <f>IF(Q1401="","",IFERROR(MATCH(Q1401,$P$4:$P$2003,0),""))</f>
        <v/>
      </c>
    </row>
    <row r="1402">
      <c r="A1402" s="4">
        <f>IF($R1402="","",IF($R1402="T","Gesamtergebnis",IF($R1402="B",INDEX($M$4:$M$2003,$S1402),INDEX($L$4:$L$2003,$S1402))))</f>
        <v/>
      </c>
      <c r="B1402" s="4">
        <f>IF($R1402="","",IF($R1402="T",$K$3,IF($R1402="B",COUNTIFS($M$4:$M$2003,INDEX($M$4:$M$2003,$S1402),$N$4:$N$2003,1),1)))</f>
        <v/>
      </c>
      <c r="L1402">
        <f>IF($K$1="","",IFERROR(INDEX(Lines!$A:$AA,ROW()-2,$K$1),""))</f>
        <v/>
      </c>
      <c r="M1402">
        <f>IF($K$2="","",IFERROR(INDEX(Lines!$A:$AA,ROW()-2,$K$2),""))</f>
        <v/>
      </c>
      <c r="N1402">
        <f>IF(AND(L1402&lt;&gt;"",LEFT(L1402,1)="N",M1402&lt;&gt;"PICKING",M1402&lt;&gt;""),1,0)</f>
        <v/>
      </c>
      <c r="O1402">
        <f>IF(N1402=1,M1402&amp;"|"&amp;L1402,REPT("z",40))</f>
        <v/>
      </c>
      <c r="P1402">
        <f>IF(N1402=1,COUNTIF($O$4:$O$2003,"&lt;"&amp;O1402)+1,"")</f>
        <v/>
      </c>
      <c r="Q1402">
        <f>IF(OR($R1401="",$R1401="T"),"",IF($R1401="B",$Q1401,IF($Q1401+1&gt;$K$3,"",$Q1401+1)))</f>
        <v/>
      </c>
      <c r="R1402">
        <f>IF(OR($R1401="",$R1401="T"),"",IF($R1401="B","S",IF($Q1401+1&gt;$K$3,"T",IF(INDEX($M$4:$M$2003,MATCH($Q1401+1,$P$4:$P$2003,0))&lt;&gt;INDEX($M$4:$M$2003,MATCH($Q1401,$P$4:$P$2003,0)),"B","S"))))</f>
        <v/>
      </c>
      <c r="S1402">
        <f>IF(Q1402="","",IFERROR(MATCH(Q1402,$P$4:$P$2003,0),""))</f>
        <v/>
      </c>
    </row>
    <row r="1403">
      <c r="A1403" s="4">
        <f>IF($R1403="","",IF($R1403="T","Gesamtergebnis",IF($R1403="B",INDEX($M$4:$M$2003,$S1403),INDEX($L$4:$L$2003,$S1403))))</f>
        <v/>
      </c>
      <c r="B1403" s="4">
        <f>IF($R1403="","",IF($R1403="T",$K$3,IF($R1403="B",COUNTIFS($M$4:$M$2003,INDEX($M$4:$M$2003,$S1403),$N$4:$N$2003,1),1)))</f>
        <v/>
      </c>
      <c r="L1403">
        <f>IF($K$1="","",IFERROR(INDEX(Lines!$A:$AA,ROW()-2,$K$1),""))</f>
        <v/>
      </c>
      <c r="M1403">
        <f>IF($K$2="","",IFERROR(INDEX(Lines!$A:$AA,ROW()-2,$K$2),""))</f>
        <v/>
      </c>
      <c r="N1403">
        <f>IF(AND(L1403&lt;&gt;"",LEFT(L1403,1)="N",M1403&lt;&gt;"PICKING",M1403&lt;&gt;""),1,0)</f>
        <v/>
      </c>
      <c r="O1403">
        <f>IF(N1403=1,M1403&amp;"|"&amp;L1403,REPT("z",40))</f>
        <v/>
      </c>
      <c r="P1403">
        <f>IF(N1403=1,COUNTIF($O$4:$O$2003,"&lt;"&amp;O1403)+1,"")</f>
        <v/>
      </c>
      <c r="Q1403">
        <f>IF(OR($R1402="",$R1402="T"),"",IF($R1402="B",$Q1402,IF($Q1402+1&gt;$K$3,"",$Q1402+1)))</f>
        <v/>
      </c>
      <c r="R1403">
        <f>IF(OR($R1402="",$R1402="T"),"",IF($R1402="B","S",IF($Q1402+1&gt;$K$3,"T",IF(INDEX($M$4:$M$2003,MATCH($Q1402+1,$P$4:$P$2003,0))&lt;&gt;INDEX($M$4:$M$2003,MATCH($Q1402,$P$4:$P$2003,0)),"B","S"))))</f>
        <v/>
      </c>
      <c r="S1403">
        <f>IF(Q1403="","",IFERROR(MATCH(Q1403,$P$4:$P$2003,0),""))</f>
        <v/>
      </c>
    </row>
    <row r="1404">
      <c r="A1404" s="4">
        <f>IF($R1404="","",IF($R1404="T","Gesamtergebnis",IF($R1404="B",INDEX($M$4:$M$2003,$S1404),INDEX($L$4:$L$2003,$S1404))))</f>
        <v/>
      </c>
      <c r="B1404" s="4">
        <f>IF($R1404="","",IF($R1404="T",$K$3,IF($R1404="B",COUNTIFS($M$4:$M$2003,INDEX($M$4:$M$2003,$S1404),$N$4:$N$2003,1),1)))</f>
        <v/>
      </c>
      <c r="L1404">
        <f>IF($K$1="","",IFERROR(INDEX(Lines!$A:$AA,ROW()-2,$K$1),""))</f>
        <v/>
      </c>
      <c r="M1404">
        <f>IF($K$2="","",IFERROR(INDEX(Lines!$A:$AA,ROW()-2,$K$2),""))</f>
        <v/>
      </c>
      <c r="N1404">
        <f>IF(AND(L1404&lt;&gt;"",LEFT(L1404,1)="N",M1404&lt;&gt;"PICKING",M1404&lt;&gt;""),1,0)</f>
        <v/>
      </c>
      <c r="O1404">
        <f>IF(N1404=1,M1404&amp;"|"&amp;L1404,REPT("z",40))</f>
        <v/>
      </c>
      <c r="P1404">
        <f>IF(N1404=1,COUNTIF($O$4:$O$2003,"&lt;"&amp;O1404)+1,"")</f>
        <v/>
      </c>
      <c r="Q1404">
        <f>IF(OR($R1403="",$R1403="T"),"",IF($R1403="B",$Q1403,IF($Q1403+1&gt;$K$3,"",$Q1403+1)))</f>
        <v/>
      </c>
      <c r="R1404">
        <f>IF(OR($R1403="",$R1403="T"),"",IF($R1403="B","S",IF($Q1403+1&gt;$K$3,"T",IF(INDEX($M$4:$M$2003,MATCH($Q1403+1,$P$4:$P$2003,0))&lt;&gt;INDEX($M$4:$M$2003,MATCH($Q1403,$P$4:$P$2003,0)),"B","S"))))</f>
        <v/>
      </c>
      <c r="S1404">
        <f>IF(Q1404="","",IFERROR(MATCH(Q1404,$P$4:$P$2003,0),""))</f>
        <v/>
      </c>
    </row>
    <row r="1405">
      <c r="A1405" s="4">
        <f>IF($R1405="","",IF($R1405="T","Gesamtergebnis",IF($R1405="B",INDEX($M$4:$M$2003,$S1405),INDEX($L$4:$L$2003,$S1405))))</f>
        <v/>
      </c>
      <c r="B1405" s="4">
        <f>IF($R1405="","",IF($R1405="T",$K$3,IF($R1405="B",COUNTIFS($M$4:$M$2003,INDEX($M$4:$M$2003,$S1405),$N$4:$N$2003,1),1)))</f>
        <v/>
      </c>
      <c r="L1405">
        <f>IF($K$1="","",IFERROR(INDEX(Lines!$A:$AA,ROW()-2,$K$1),""))</f>
        <v/>
      </c>
      <c r="M1405">
        <f>IF($K$2="","",IFERROR(INDEX(Lines!$A:$AA,ROW()-2,$K$2),""))</f>
        <v/>
      </c>
      <c r="N1405">
        <f>IF(AND(L1405&lt;&gt;"",LEFT(L1405,1)="N",M1405&lt;&gt;"PICKING",M1405&lt;&gt;""),1,0)</f>
        <v/>
      </c>
      <c r="O1405">
        <f>IF(N1405=1,M1405&amp;"|"&amp;L1405,REPT("z",40))</f>
        <v/>
      </c>
      <c r="P1405">
        <f>IF(N1405=1,COUNTIF($O$4:$O$2003,"&lt;"&amp;O1405)+1,"")</f>
        <v/>
      </c>
      <c r="Q1405">
        <f>IF(OR($R1404="",$R1404="T"),"",IF($R1404="B",$Q1404,IF($Q1404+1&gt;$K$3,"",$Q1404+1)))</f>
        <v/>
      </c>
      <c r="R1405">
        <f>IF(OR($R1404="",$R1404="T"),"",IF($R1404="B","S",IF($Q1404+1&gt;$K$3,"T",IF(INDEX($M$4:$M$2003,MATCH($Q1404+1,$P$4:$P$2003,0))&lt;&gt;INDEX($M$4:$M$2003,MATCH($Q1404,$P$4:$P$2003,0)),"B","S"))))</f>
        <v/>
      </c>
      <c r="S1405">
        <f>IF(Q1405="","",IFERROR(MATCH(Q1405,$P$4:$P$2003,0),""))</f>
        <v/>
      </c>
    </row>
    <row r="1406">
      <c r="A1406" s="4">
        <f>IF($R1406="","",IF($R1406="T","Gesamtergebnis",IF($R1406="B",INDEX($M$4:$M$2003,$S1406),INDEX($L$4:$L$2003,$S1406))))</f>
        <v/>
      </c>
      <c r="B1406" s="4">
        <f>IF($R1406="","",IF($R1406="T",$K$3,IF($R1406="B",COUNTIFS($M$4:$M$2003,INDEX($M$4:$M$2003,$S1406),$N$4:$N$2003,1),1)))</f>
        <v/>
      </c>
      <c r="L1406">
        <f>IF($K$1="","",IFERROR(INDEX(Lines!$A:$AA,ROW()-2,$K$1),""))</f>
        <v/>
      </c>
      <c r="M1406">
        <f>IF($K$2="","",IFERROR(INDEX(Lines!$A:$AA,ROW()-2,$K$2),""))</f>
        <v/>
      </c>
      <c r="N1406">
        <f>IF(AND(L1406&lt;&gt;"",LEFT(L1406,1)="N",M1406&lt;&gt;"PICKING",M1406&lt;&gt;""),1,0)</f>
        <v/>
      </c>
      <c r="O1406">
        <f>IF(N1406=1,M1406&amp;"|"&amp;L1406,REPT("z",40))</f>
        <v/>
      </c>
      <c r="P1406">
        <f>IF(N1406=1,COUNTIF($O$4:$O$2003,"&lt;"&amp;O1406)+1,"")</f>
        <v/>
      </c>
      <c r="Q1406">
        <f>IF(OR($R1405="",$R1405="T"),"",IF($R1405="B",$Q1405,IF($Q1405+1&gt;$K$3,"",$Q1405+1)))</f>
        <v/>
      </c>
      <c r="R1406">
        <f>IF(OR($R1405="",$R1405="T"),"",IF($R1405="B","S",IF($Q1405+1&gt;$K$3,"T",IF(INDEX($M$4:$M$2003,MATCH($Q1405+1,$P$4:$P$2003,0))&lt;&gt;INDEX($M$4:$M$2003,MATCH($Q1405,$P$4:$P$2003,0)),"B","S"))))</f>
        <v/>
      </c>
      <c r="S1406">
        <f>IF(Q1406="","",IFERROR(MATCH(Q1406,$P$4:$P$2003,0),""))</f>
        <v/>
      </c>
    </row>
    <row r="1407">
      <c r="A1407" s="4">
        <f>IF($R1407="","",IF($R1407="T","Gesamtergebnis",IF($R1407="B",INDEX($M$4:$M$2003,$S1407),INDEX($L$4:$L$2003,$S1407))))</f>
        <v/>
      </c>
      <c r="B1407" s="4">
        <f>IF($R1407="","",IF($R1407="T",$K$3,IF($R1407="B",COUNTIFS($M$4:$M$2003,INDEX($M$4:$M$2003,$S1407),$N$4:$N$2003,1),1)))</f>
        <v/>
      </c>
      <c r="L1407">
        <f>IF($K$1="","",IFERROR(INDEX(Lines!$A:$AA,ROW()-2,$K$1),""))</f>
        <v/>
      </c>
      <c r="M1407">
        <f>IF($K$2="","",IFERROR(INDEX(Lines!$A:$AA,ROW()-2,$K$2),""))</f>
        <v/>
      </c>
      <c r="N1407">
        <f>IF(AND(L1407&lt;&gt;"",LEFT(L1407,1)="N",M1407&lt;&gt;"PICKING",M1407&lt;&gt;""),1,0)</f>
        <v/>
      </c>
      <c r="O1407">
        <f>IF(N1407=1,M1407&amp;"|"&amp;L1407,REPT("z",40))</f>
        <v/>
      </c>
      <c r="P1407">
        <f>IF(N1407=1,COUNTIF($O$4:$O$2003,"&lt;"&amp;O1407)+1,"")</f>
        <v/>
      </c>
      <c r="Q1407">
        <f>IF(OR($R1406="",$R1406="T"),"",IF($R1406="B",$Q1406,IF($Q1406+1&gt;$K$3,"",$Q1406+1)))</f>
        <v/>
      </c>
      <c r="R1407">
        <f>IF(OR($R1406="",$R1406="T"),"",IF($R1406="B","S",IF($Q1406+1&gt;$K$3,"T",IF(INDEX($M$4:$M$2003,MATCH($Q1406+1,$P$4:$P$2003,0))&lt;&gt;INDEX($M$4:$M$2003,MATCH($Q1406,$P$4:$P$2003,0)),"B","S"))))</f>
        <v/>
      </c>
      <c r="S1407">
        <f>IF(Q1407="","",IFERROR(MATCH(Q1407,$P$4:$P$2003,0),""))</f>
        <v/>
      </c>
    </row>
    <row r="1408">
      <c r="A1408" s="4">
        <f>IF($R1408="","",IF($R1408="T","Gesamtergebnis",IF($R1408="B",INDEX($M$4:$M$2003,$S1408),INDEX($L$4:$L$2003,$S1408))))</f>
        <v/>
      </c>
      <c r="B1408" s="4">
        <f>IF($R1408="","",IF($R1408="T",$K$3,IF($R1408="B",COUNTIFS($M$4:$M$2003,INDEX($M$4:$M$2003,$S1408),$N$4:$N$2003,1),1)))</f>
        <v/>
      </c>
      <c r="L1408">
        <f>IF($K$1="","",IFERROR(INDEX(Lines!$A:$AA,ROW()-2,$K$1),""))</f>
        <v/>
      </c>
      <c r="M1408">
        <f>IF($K$2="","",IFERROR(INDEX(Lines!$A:$AA,ROW()-2,$K$2),""))</f>
        <v/>
      </c>
      <c r="N1408">
        <f>IF(AND(L1408&lt;&gt;"",LEFT(L1408,1)="N",M1408&lt;&gt;"PICKING",M1408&lt;&gt;""),1,0)</f>
        <v/>
      </c>
      <c r="O1408">
        <f>IF(N1408=1,M1408&amp;"|"&amp;L1408,REPT("z",40))</f>
        <v/>
      </c>
      <c r="P1408">
        <f>IF(N1408=1,COUNTIF($O$4:$O$2003,"&lt;"&amp;O1408)+1,"")</f>
        <v/>
      </c>
      <c r="Q1408">
        <f>IF(OR($R1407="",$R1407="T"),"",IF($R1407="B",$Q1407,IF($Q1407+1&gt;$K$3,"",$Q1407+1)))</f>
        <v/>
      </c>
      <c r="R1408">
        <f>IF(OR($R1407="",$R1407="T"),"",IF($R1407="B","S",IF($Q1407+1&gt;$K$3,"T",IF(INDEX($M$4:$M$2003,MATCH($Q1407+1,$P$4:$P$2003,0))&lt;&gt;INDEX($M$4:$M$2003,MATCH($Q1407,$P$4:$P$2003,0)),"B","S"))))</f>
        <v/>
      </c>
      <c r="S1408">
        <f>IF(Q1408="","",IFERROR(MATCH(Q1408,$P$4:$P$2003,0),""))</f>
        <v/>
      </c>
    </row>
    <row r="1409">
      <c r="A1409" s="4">
        <f>IF($R1409="","",IF($R1409="T","Gesamtergebnis",IF($R1409="B",INDEX($M$4:$M$2003,$S1409),INDEX($L$4:$L$2003,$S1409))))</f>
        <v/>
      </c>
      <c r="B1409" s="4">
        <f>IF($R1409="","",IF($R1409="T",$K$3,IF($R1409="B",COUNTIFS($M$4:$M$2003,INDEX($M$4:$M$2003,$S1409),$N$4:$N$2003,1),1)))</f>
        <v/>
      </c>
      <c r="L1409">
        <f>IF($K$1="","",IFERROR(INDEX(Lines!$A:$AA,ROW()-2,$K$1),""))</f>
        <v/>
      </c>
      <c r="M1409">
        <f>IF($K$2="","",IFERROR(INDEX(Lines!$A:$AA,ROW()-2,$K$2),""))</f>
        <v/>
      </c>
      <c r="N1409">
        <f>IF(AND(L1409&lt;&gt;"",LEFT(L1409,1)="N",M1409&lt;&gt;"PICKING",M1409&lt;&gt;""),1,0)</f>
        <v/>
      </c>
      <c r="O1409">
        <f>IF(N1409=1,M1409&amp;"|"&amp;L1409,REPT("z",40))</f>
        <v/>
      </c>
      <c r="P1409">
        <f>IF(N1409=1,COUNTIF($O$4:$O$2003,"&lt;"&amp;O1409)+1,"")</f>
        <v/>
      </c>
      <c r="Q1409">
        <f>IF(OR($R1408="",$R1408="T"),"",IF($R1408="B",$Q1408,IF($Q1408+1&gt;$K$3,"",$Q1408+1)))</f>
        <v/>
      </c>
      <c r="R1409">
        <f>IF(OR($R1408="",$R1408="T"),"",IF($R1408="B","S",IF($Q1408+1&gt;$K$3,"T",IF(INDEX($M$4:$M$2003,MATCH($Q1408+1,$P$4:$P$2003,0))&lt;&gt;INDEX($M$4:$M$2003,MATCH($Q1408,$P$4:$P$2003,0)),"B","S"))))</f>
        <v/>
      </c>
      <c r="S1409">
        <f>IF(Q1409="","",IFERROR(MATCH(Q1409,$P$4:$P$2003,0),""))</f>
        <v/>
      </c>
    </row>
    <row r="1410">
      <c r="A1410" s="4">
        <f>IF($R1410="","",IF($R1410="T","Gesamtergebnis",IF($R1410="B",INDEX($M$4:$M$2003,$S1410),INDEX($L$4:$L$2003,$S1410))))</f>
        <v/>
      </c>
      <c r="B1410" s="4">
        <f>IF($R1410="","",IF($R1410="T",$K$3,IF($R1410="B",COUNTIFS($M$4:$M$2003,INDEX($M$4:$M$2003,$S1410),$N$4:$N$2003,1),1)))</f>
        <v/>
      </c>
      <c r="L1410">
        <f>IF($K$1="","",IFERROR(INDEX(Lines!$A:$AA,ROW()-2,$K$1),""))</f>
        <v/>
      </c>
      <c r="M1410">
        <f>IF($K$2="","",IFERROR(INDEX(Lines!$A:$AA,ROW()-2,$K$2),""))</f>
        <v/>
      </c>
      <c r="N1410">
        <f>IF(AND(L1410&lt;&gt;"",LEFT(L1410,1)="N",M1410&lt;&gt;"PICKING",M1410&lt;&gt;""),1,0)</f>
        <v/>
      </c>
      <c r="O1410">
        <f>IF(N1410=1,M1410&amp;"|"&amp;L1410,REPT("z",40))</f>
        <v/>
      </c>
      <c r="P1410">
        <f>IF(N1410=1,COUNTIF($O$4:$O$2003,"&lt;"&amp;O1410)+1,"")</f>
        <v/>
      </c>
      <c r="Q1410">
        <f>IF(OR($R1409="",$R1409="T"),"",IF($R1409="B",$Q1409,IF($Q1409+1&gt;$K$3,"",$Q1409+1)))</f>
        <v/>
      </c>
      <c r="R1410">
        <f>IF(OR($R1409="",$R1409="T"),"",IF($R1409="B","S",IF($Q1409+1&gt;$K$3,"T",IF(INDEX($M$4:$M$2003,MATCH($Q1409+1,$P$4:$P$2003,0))&lt;&gt;INDEX($M$4:$M$2003,MATCH($Q1409,$P$4:$P$2003,0)),"B","S"))))</f>
        <v/>
      </c>
      <c r="S1410">
        <f>IF(Q1410="","",IFERROR(MATCH(Q1410,$P$4:$P$2003,0),""))</f>
        <v/>
      </c>
    </row>
    <row r="1411">
      <c r="A1411" s="4">
        <f>IF($R1411="","",IF($R1411="T","Gesamtergebnis",IF($R1411="B",INDEX($M$4:$M$2003,$S1411),INDEX($L$4:$L$2003,$S1411))))</f>
        <v/>
      </c>
      <c r="B1411" s="4">
        <f>IF($R1411="","",IF($R1411="T",$K$3,IF($R1411="B",COUNTIFS($M$4:$M$2003,INDEX($M$4:$M$2003,$S1411),$N$4:$N$2003,1),1)))</f>
        <v/>
      </c>
      <c r="L1411">
        <f>IF($K$1="","",IFERROR(INDEX(Lines!$A:$AA,ROW()-2,$K$1),""))</f>
        <v/>
      </c>
      <c r="M1411">
        <f>IF($K$2="","",IFERROR(INDEX(Lines!$A:$AA,ROW()-2,$K$2),""))</f>
        <v/>
      </c>
      <c r="N1411">
        <f>IF(AND(L1411&lt;&gt;"",LEFT(L1411,1)="N",M1411&lt;&gt;"PICKING",M1411&lt;&gt;""),1,0)</f>
        <v/>
      </c>
      <c r="O1411">
        <f>IF(N1411=1,M1411&amp;"|"&amp;L1411,REPT("z",40))</f>
        <v/>
      </c>
      <c r="P1411">
        <f>IF(N1411=1,COUNTIF($O$4:$O$2003,"&lt;"&amp;O1411)+1,"")</f>
        <v/>
      </c>
      <c r="Q1411">
        <f>IF(OR($R1410="",$R1410="T"),"",IF($R1410="B",$Q1410,IF($Q1410+1&gt;$K$3,"",$Q1410+1)))</f>
        <v/>
      </c>
      <c r="R1411">
        <f>IF(OR($R1410="",$R1410="T"),"",IF($R1410="B","S",IF($Q1410+1&gt;$K$3,"T",IF(INDEX($M$4:$M$2003,MATCH($Q1410+1,$P$4:$P$2003,0))&lt;&gt;INDEX($M$4:$M$2003,MATCH($Q1410,$P$4:$P$2003,0)),"B","S"))))</f>
        <v/>
      </c>
      <c r="S1411">
        <f>IF(Q1411="","",IFERROR(MATCH(Q1411,$P$4:$P$2003,0),""))</f>
        <v/>
      </c>
    </row>
    <row r="1412">
      <c r="A1412" s="4">
        <f>IF($R1412="","",IF($R1412="T","Gesamtergebnis",IF($R1412="B",INDEX($M$4:$M$2003,$S1412),INDEX($L$4:$L$2003,$S1412))))</f>
        <v/>
      </c>
      <c r="B1412" s="4">
        <f>IF($R1412="","",IF($R1412="T",$K$3,IF($R1412="B",COUNTIFS($M$4:$M$2003,INDEX($M$4:$M$2003,$S1412),$N$4:$N$2003,1),1)))</f>
        <v/>
      </c>
      <c r="L1412">
        <f>IF($K$1="","",IFERROR(INDEX(Lines!$A:$AA,ROW()-2,$K$1),""))</f>
        <v/>
      </c>
      <c r="M1412">
        <f>IF($K$2="","",IFERROR(INDEX(Lines!$A:$AA,ROW()-2,$K$2),""))</f>
        <v/>
      </c>
      <c r="N1412">
        <f>IF(AND(L1412&lt;&gt;"",LEFT(L1412,1)="N",M1412&lt;&gt;"PICKING",M1412&lt;&gt;""),1,0)</f>
        <v/>
      </c>
      <c r="O1412">
        <f>IF(N1412=1,M1412&amp;"|"&amp;L1412,REPT("z",40))</f>
        <v/>
      </c>
      <c r="P1412">
        <f>IF(N1412=1,COUNTIF($O$4:$O$2003,"&lt;"&amp;O1412)+1,"")</f>
        <v/>
      </c>
      <c r="Q1412">
        <f>IF(OR($R1411="",$R1411="T"),"",IF($R1411="B",$Q1411,IF($Q1411+1&gt;$K$3,"",$Q1411+1)))</f>
        <v/>
      </c>
      <c r="R1412">
        <f>IF(OR($R1411="",$R1411="T"),"",IF($R1411="B","S",IF($Q1411+1&gt;$K$3,"T",IF(INDEX($M$4:$M$2003,MATCH($Q1411+1,$P$4:$P$2003,0))&lt;&gt;INDEX($M$4:$M$2003,MATCH($Q1411,$P$4:$P$2003,0)),"B","S"))))</f>
        <v/>
      </c>
      <c r="S1412">
        <f>IF(Q1412="","",IFERROR(MATCH(Q1412,$P$4:$P$2003,0),""))</f>
        <v/>
      </c>
    </row>
    <row r="1413">
      <c r="A1413" s="4">
        <f>IF($R1413="","",IF($R1413="T","Gesamtergebnis",IF($R1413="B",INDEX($M$4:$M$2003,$S1413),INDEX($L$4:$L$2003,$S1413))))</f>
        <v/>
      </c>
      <c r="B1413" s="4">
        <f>IF($R1413="","",IF($R1413="T",$K$3,IF($R1413="B",COUNTIFS($M$4:$M$2003,INDEX($M$4:$M$2003,$S1413),$N$4:$N$2003,1),1)))</f>
        <v/>
      </c>
      <c r="L1413">
        <f>IF($K$1="","",IFERROR(INDEX(Lines!$A:$AA,ROW()-2,$K$1),""))</f>
        <v/>
      </c>
      <c r="M1413">
        <f>IF($K$2="","",IFERROR(INDEX(Lines!$A:$AA,ROW()-2,$K$2),""))</f>
        <v/>
      </c>
      <c r="N1413">
        <f>IF(AND(L1413&lt;&gt;"",LEFT(L1413,1)="N",M1413&lt;&gt;"PICKING",M1413&lt;&gt;""),1,0)</f>
        <v/>
      </c>
      <c r="O1413">
        <f>IF(N1413=1,M1413&amp;"|"&amp;L1413,REPT("z",40))</f>
        <v/>
      </c>
      <c r="P1413">
        <f>IF(N1413=1,COUNTIF($O$4:$O$2003,"&lt;"&amp;O1413)+1,"")</f>
        <v/>
      </c>
      <c r="Q1413">
        <f>IF(OR($R1412="",$R1412="T"),"",IF($R1412="B",$Q1412,IF($Q1412+1&gt;$K$3,"",$Q1412+1)))</f>
        <v/>
      </c>
      <c r="R1413">
        <f>IF(OR($R1412="",$R1412="T"),"",IF($R1412="B","S",IF($Q1412+1&gt;$K$3,"T",IF(INDEX($M$4:$M$2003,MATCH($Q1412+1,$P$4:$P$2003,0))&lt;&gt;INDEX($M$4:$M$2003,MATCH($Q1412,$P$4:$P$2003,0)),"B","S"))))</f>
        <v/>
      </c>
      <c r="S1413">
        <f>IF(Q1413="","",IFERROR(MATCH(Q1413,$P$4:$P$2003,0),""))</f>
        <v/>
      </c>
    </row>
    <row r="1414">
      <c r="A1414" s="4">
        <f>IF($R1414="","",IF($R1414="T","Gesamtergebnis",IF($R1414="B",INDEX($M$4:$M$2003,$S1414),INDEX($L$4:$L$2003,$S1414))))</f>
        <v/>
      </c>
      <c r="B1414" s="4">
        <f>IF($R1414="","",IF($R1414="T",$K$3,IF($R1414="B",COUNTIFS($M$4:$M$2003,INDEX($M$4:$M$2003,$S1414),$N$4:$N$2003,1),1)))</f>
        <v/>
      </c>
      <c r="L1414">
        <f>IF($K$1="","",IFERROR(INDEX(Lines!$A:$AA,ROW()-2,$K$1),""))</f>
        <v/>
      </c>
      <c r="M1414">
        <f>IF($K$2="","",IFERROR(INDEX(Lines!$A:$AA,ROW()-2,$K$2),""))</f>
        <v/>
      </c>
      <c r="N1414">
        <f>IF(AND(L1414&lt;&gt;"",LEFT(L1414,1)="N",M1414&lt;&gt;"PICKING",M1414&lt;&gt;""),1,0)</f>
        <v/>
      </c>
      <c r="O1414">
        <f>IF(N1414=1,M1414&amp;"|"&amp;L1414,REPT("z",40))</f>
        <v/>
      </c>
      <c r="P1414">
        <f>IF(N1414=1,COUNTIF($O$4:$O$2003,"&lt;"&amp;O1414)+1,"")</f>
        <v/>
      </c>
      <c r="Q1414">
        <f>IF(OR($R1413="",$R1413="T"),"",IF($R1413="B",$Q1413,IF($Q1413+1&gt;$K$3,"",$Q1413+1)))</f>
        <v/>
      </c>
      <c r="R1414">
        <f>IF(OR($R1413="",$R1413="T"),"",IF($R1413="B","S",IF($Q1413+1&gt;$K$3,"T",IF(INDEX($M$4:$M$2003,MATCH($Q1413+1,$P$4:$P$2003,0))&lt;&gt;INDEX($M$4:$M$2003,MATCH($Q1413,$P$4:$P$2003,0)),"B","S"))))</f>
        <v/>
      </c>
      <c r="S1414">
        <f>IF(Q1414="","",IFERROR(MATCH(Q1414,$P$4:$P$2003,0),""))</f>
        <v/>
      </c>
    </row>
    <row r="1415">
      <c r="A1415" s="4">
        <f>IF($R1415="","",IF($R1415="T","Gesamtergebnis",IF($R1415="B",INDEX($M$4:$M$2003,$S1415),INDEX($L$4:$L$2003,$S1415))))</f>
        <v/>
      </c>
      <c r="B1415" s="4">
        <f>IF($R1415="","",IF($R1415="T",$K$3,IF($R1415="B",COUNTIFS($M$4:$M$2003,INDEX($M$4:$M$2003,$S1415),$N$4:$N$2003,1),1)))</f>
        <v/>
      </c>
      <c r="L1415">
        <f>IF($K$1="","",IFERROR(INDEX(Lines!$A:$AA,ROW()-2,$K$1),""))</f>
        <v/>
      </c>
      <c r="M1415">
        <f>IF($K$2="","",IFERROR(INDEX(Lines!$A:$AA,ROW()-2,$K$2),""))</f>
        <v/>
      </c>
      <c r="N1415">
        <f>IF(AND(L1415&lt;&gt;"",LEFT(L1415,1)="N",M1415&lt;&gt;"PICKING",M1415&lt;&gt;""),1,0)</f>
        <v/>
      </c>
      <c r="O1415">
        <f>IF(N1415=1,M1415&amp;"|"&amp;L1415,REPT("z",40))</f>
        <v/>
      </c>
      <c r="P1415">
        <f>IF(N1415=1,COUNTIF($O$4:$O$2003,"&lt;"&amp;O1415)+1,"")</f>
        <v/>
      </c>
      <c r="Q1415">
        <f>IF(OR($R1414="",$R1414="T"),"",IF($R1414="B",$Q1414,IF($Q1414+1&gt;$K$3,"",$Q1414+1)))</f>
        <v/>
      </c>
      <c r="R1415">
        <f>IF(OR($R1414="",$R1414="T"),"",IF($R1414="B","S",IF($Q1414+1&gt;$K$3,"T",IF(INDEX($M$4:$M$2003,MATCH($Q1414+1,$P$4:$P$2003,0))&lt;&gt;INDEX($M$4:$M$2003,MATCH($Q1414,$P$4:$P$2003,0)),"B","S"))))</f>
        <v/>
      </c>
      <c r="S1415">
        <f>IF(Q1415="","",IFERROR(MATCH(Q1415,$P$4:$P$2003,0),""))</f>
        <v/>
      </c>
    </row>
    <row r="1416">
      <c r="A1416" s="4">
        <f>IF($R1416="","",IF($R1416="T","Gesamtergebnis",IF($R1416="B",INDEX($M$4:$M$2003,$S1416),INDEX($L$4:$L$2003,$S1416))))</f>
        <v/>
      </c>
      <c r="B1416" s="4">
        <f>IF($R1416="","",IF($R1416="T",$K$3,IF($R1416="B",COUNTIFS($M$4:$M$2003,INDEX($M$4:$M$2003,$S1416),$N$4:$N$2003,1),1)))</f>
        <v/>
      </c>
      <c r="L1416">
        <f>IF($K$1="","",IFERROR(INDEX(Lines!$A:$AA,ROW()-2,$K$1),""))</f>
        <v/>
      </c>
      <c r="M1416">
        <f>IF($K$2="","",IFERROR(INDEX(Lines!$A:$AA,ROW()-2,$K$2),""))</f>
        <v/>
      </c>
      <c r="N1416">
        <f>IF(AND(L1416&lt;&gt;"",LEFT(L1416,1)="N",M1416&lt;&gt;"PICKING",M1416&lt;&gt;""),1,0)</f>
        <v/>
      </c>
      <c r="O1416">
        <f>IF(N1416=1,M1416&amp;"|"&amp;L1416,REPT("z",40))</f>
        <v/>
      </c>
      <c r="P1416">
        <f>IF(N1416=1,COUNTIF($O$4:$O$2003,"&lt;"&amp;O1416)+1,"")</f>
        <v/>
      </c>
      <c r="Q1416">
        <f>IF(OR($R1415="",$R1415="T"),"",IF($R1415="B",$Q1415,IF($Q1415+1&gt;$K$3,"",$Q1415+1)))</f>
        <v/>
      </c>
      <c r="R1416">
        <f>IF(OR($R1415="",$R1415="T"),"",IF($R1415="B","S",IF($Q1415+1&gt;$K$3,"T",IF(INDEX($M$4:$M$2003,MATCH($Q1415+1,$P$4:$P$2003,0))&lt;&gt;INDEX($M$4:$M$2003,MATCH($Q1415,$P$4:$P$2003,0)),"B","S"))))</f>
        <v/>
      </c>
      <c r="S1416">
        <f>IF(Q1416="","",IFERROR(MATCH(Q1416,$P$4:$P$2003,0),""))</f>
        <v/>
      </c>
    </row>
    <row r="1417">
      <c r="A1417" s="4">
        <f>IF($R1417="","",IF($R1417="T","Gesamtergebnis",IF($R1417="B",INDEX($M$4:$M$2003,$S1417),INDEX($L$4:$L$2003,$S1417))))</f>
        <v/>
      </c>
      <c r="B1417" s="4">
        <f>IF($R1417="","",IF($R1417="T",$K$3,IF($R1417="B",COUNTIFS($M$4:$M$2003,INDEX($M$4:$M$2003,$S1417),$N$4:$N$2003,1),1)))</f>
        <v/>
      </c>
      <c r="L1417">
        <f>IF($K$1="","",IFERROR(INDEX(Lines!$A:$AA,ROW()-2,$K$1),""))</f>
        <v/>
      </c>
      <c r="M1417">
        <f>IF($K$2="","",IFERROR(INDEX(Lines!$A:$AA,ROW()-2,$K$2),""))</f>
        <v/>
      </c>
      <c r="N1417">
        <f>IF(AND(L1417&lt;&gt;"",LEFT(L1417,1)="N",M1417&lt;&gt;"PICKING",M1417&lt;&gt;""),1,0)</f>
        <v/>
      </c>
      <c r="O1417">
        <f>IF(N1417=1,M1417&amp;"|"&amp;L1417,REPT("z",40))</f>
        <v/>
      </c>
      <c r="P1417">
        <f>IF(N1417=1,COUNTIF($O$4:$O$2003,"&lt;"&amp;O1417)+1,"")</f>
        <v/>
      </c>
      <c r="Q1417">
        <f>IF(OR($R1416="",$R1416="T"),"",IF($R1416="B",$Q1416,IF($Q1416+1&gt;$K$3,"",$Q1416+1)))</f>
        <v/>
      </c>
      <c r="R1417">
        <f>IF(OR($R1416="",$R1416="T"),"",IF($R1416="B","S",IF($Q1416+1&gt;$K$3,"T",IF(INDEX($M$4:$M$2003,MATCH($Q1416+1,$P$4:$P$2003,0))&lt;&gt;INDEX($M$4:$M$2003,MATCH($Q1416,$P$4:$P$2003,0)),"B","S"))))</f>
        <v/>
      </c>
      <c r="S1417">
        <f>IF(Q1417="","",IFERROR(MATCH(Q1417,$P$4:$P$2003,0),""))</f>
        <v/>
      </c>
    </row>
    <row r="1418">
      <c r="A1418" s="4">
        <f>IF($R1418="","",IF($R1418="T","Gesamtergebnis",IF($R1418="B",INDEX($M$4:$M$2003,$S1418),INDEX($L$4:$L$2003,$S1418))))</f>
        <v/>
      </c>
      <c r="B1418" s="4">
        <f>IF($R1418="","",IF($R1418="T",$K$3,IF($R1418="B",COUNTIFS($M$4:$M$2003,INDEX($M$4:$M$2003,$S1418),$N$4:$N$2003,1),1)))</f>
        <v/>
      </c>
      <c r="L1418">
        <f>IF($K$1="","",IFERROR(INDEX(Lines!$A:$AA,ROW()-2,$K$1),""))</f>
        <v/>
      </c>
      <c r="M1418">
        <f>IF($K$2="","",IFERROR(INDEX(Lines!$A:$AA,ROW()-2,$K$2),""))</f>
        <v/>
      </c>
      <c r="N1418">
        <f>IF(AND(L1418&lt;&gt;"",LEFT(L1418,1)="N",M1418&lt;&gt;"PICKING",M1418&lt;&gt;""),1,0)</f>
        <v/>
      </c>
      <c r="O1418">
        <f>IF(N1418=1,M1418&amp;"|"&amp;L1418,REPT("z",40))</f>
        <v/>
      </c>
      <c r="P1418">
        <f>IF(N1418=1,COUNTIF($O$4:$O$2003,"&lt;"&amp;O1418)+1,"")</f>
        <v/>
      </c>
      <c r="Q1418">
        <f>IF(OR($R1417="",$R1417="T"),"",IF($R1417="B",$Q1417,IF($Q1417+1&gt;$K$3,"",$Q1417+1)))</f>
        <v/>
      </c>
      <c r="R1418">
        <f>IF(OR($R1417="",$R1417="T"),"",IF($R1417="B","S",IF($Q1417+1&gt;$K$3,"T",IF(INDEX($M$4:$M$2003,MATCH($Q1417+1,$P$4:$P$2003,0))&lt;&gt;INDEX($M$4:$M$2003,MATCH($Q1417,$P$4:$P$2003,0)),"B","S"))))</f>
        <v/>
      </c>
      <c r="S1418">
        <f>IF(Q1418="","",IFERROR(MATCH(Q1418,$P$4:$P$2003,0),""))</f>
        <v/>
      </c>
    </row>
    <row r="1419">
      <c r="A1419" s="4">
        <f>IF($R1419="","",IF($R1419="T","Gesamtergebnis",IF($R1419="B",INDEX($M$4:$M$2003,$S1419),INDEX($L$4:$L$2003,$S1419))))</f>
        <v/>
      </c>
      <c r="B1419" s="4">
        <f>IF($R1419="","",IF($R1419="T",$K$3,IF($R1419="B",COUNTIFS($M$4:$M$2003,INDEX($M$4:$M$2003,$S1419),$N$4:$N$2003,1),1)))</f>
        <v/>
      </c>
      <c r="L1419">
        <f>IF($K$1="","",IFERROR(INDEX(Lines!$A:$AA,ROW()-2,$K$1),""))</f>
        <v/>
      </c>
      <c r="M1419">
        <f>IF($K$2="","",IFERROR(INDEX(Lines!$A:$AA,ROW()-2,$K$2),""))</f>
        <v/>
      </c>
      <c r="N1419">
        <f>IF(AND(L1419&lt;&gt;"",LEFT(L1419,1)="N",M1419&lt;&gt;"PICKING",M1419&lt;&gt;""),1,0)</f>
        <v/>
      </c>
      <c r="O1419">
        <f>IF(N1419=1,M1419&amp;"|"&amp;L1419,REPT("z",40))</f>
        <v/>
      </c>
      <c r="P1419">
        <f>IF(N1419=1,COUNTIF($O$4:$O$2003,"&lt;"&amp;O1419)+1,"")</f>
        <v/>
      </c>
      <c r="Q1419">
        <f>IF(OR($R1418="",$R1418="T"),"",IF($R1418="B",$Q1418,IF($Q1418+1&gt;$K$3,"",$Q1418+1)))</f>
        <v/>
      </c>
      <c r="R1419">
        <f>IF(OR($R1418="",$R1418="T"),"",IF($R1418="B","S",IF($Q1418+1&gt;$K$3,"T",IF(INDEX($M$4:$M$2003,MATCH($Q1418+1,$P$4:$P$2003,0))&lt;&gt;INDEX($M$4:$M$2003,MATCH($Q1418,$P$4:$P$2003,0)),"B","S"))))</f>
        <v/>
      </c>
      <c r="S1419">
        <f>IF(Q1419="","",IFERROR(MATCH(Q1419,$P$4:$P$2003,0),""))</f>
        <v/>
      </c>
    </row>
    <row r="1420">
      <c r="A1420" s="4">
        <f>IF($R1420="","",IF($R1420="T","Gesamtergebnis",IF($R1420="B",INDEX($M$4:$M$2003,$S1420),INDEX($L$4:$L$2003,$S1420))))</f>
        <v/>
      </c>
      <c r="B1420" s="4">
        <f>IF($R1420="","",IF($R1420="T",$K$3,IF($R1420="B",COUNTIFS($M$4:$M$2003,INDEX($M$4:$M$2003,$S1420),$N$4:$N$2003,1),1)))</f>
        <v/>
      </c>
      <c r="L1420">
        <f>IF($K$1="","",IFERROR(INDEX(Lines!$A:$AA,ROW()-2,$K$1),""))</f>
        <v/>
      </c>
      <c r="M1420">
        <f>IF($K$2="","",IFERROR(INDEX(Lines!$A:$AA,ROW()-2,$K$2),""))</f>
        <v/>
      </c>
      <c r="N1420">
        <f>IF(AND(L1420&lt;&gt;"",LEFT(L1420,1)="N",M1420&lt;&gt;"PICKING",M1420&lt;&gt;""),1,0)</f>
        <v/>
      </c>
      <c r="O1420">
        <f>IF(N1420=1,M1420&amp;"|"&amp;L1420,REPT("z",40))</f>
        <v/>
      </c>
      <c r="P1420">
        <f>IF(N1420=1,COUNTIF($O$4:$O$2003,"&lt;"&amp;O1420)+1,"")</f>
        <v/>
      </c>
      <c r="Q1420">
        <f>IF(OR($R1419="",$R1419="T"),"",IF($R1419="B",$Q1419,IF($Q1419+1&gt;$K$3,"",$Q1419+1)))</f>
        <v/>
      </c>
      <c r="R1420">
        <f>IF(OR($R1419="",$R1419="T"),"",IF($R1419="B","S",IF($Q1419+1&gt;$K$3,"T",IF(INDEX($M$4:$M$2003,MATCH($Q1419+1,$P$4:$P$2003,0))&lt;&gt;INDEX($M$4:$M$2003,MATCH($Q1419,$P$4:$P$2003,0)),"B","S"))))</f>
        <v/>
      </c>
      <c r="S1420">
        <f>IF(Q1420="","",IFERROR(MATCH(Q1420,$P$4:$P$2003,0),""))</f>
        <v/>
      </c>
    </row>
    <row r="1421">
      <c r="A1421" s="4">
        <f>IF($R1421="","",IF($R1421="T","Gesamtergebnis",IF($R1421="B",INDEX($M$4:$M$2003,$S1421),INDEX($L$4:$L$2003,$S1421))))</f>
        <v/>
      </c>
      <c r="B1421" s="4">
        <f>IF($R1421="","",IF($R1421="T",$K$3,IF($R1421="B",COUNTIFS($M$4:$M$2003,INDEX($M$4:$M$2003,$S1421),$N$4:$N$2003,1),1)))</f>
        <v/>
      </c>
      <c r="L1421">
        <f>IF($K$1="","",IFERROR(INDEX(Lines!$A:$AA,ROW()-2,$K$1),""))</f>
        <v/>
      </c>
      <c r="M1421">
        <f>IF($K$2="","",IFERROR(INDEX(Lines!$A:$AA,ROW()-2,$K$2),""))</f>
        <v/>
      </c>
      <c r="N1421">
        <f>IF(AND(L1421&lt;&gt;"",LEFT(L1421,1)="N",M1421&lt;&gt;"PICKING",M1421&lt;&gt;""),1,0)</f>
        <v/>
      </c>
      <c r="O1421">
        <f>IF(N1421=1,M1421&amp;"|"&amp;L1421,REPT("z",40))</f>
        <v/>
      </c>
      <c r="P1421">
        <f>IF(N1421=1,COUNTIF($O$4:$O$2003,"&lt;"&amp;O1421)+1,"")</f>
        <v/>
      </c>
      <c r="Q1421">
        <f>IF(OR($R1420="",$R1420="T"),"",IF($R1420="B",$Q1420,IF($Q1420+1&gt;$K$3,"",$Q1420+1)))</f>
        <v/>
      </c>
      <c r="R1421">
        <f>IF(OR($R1420="",$R1420="T"),"",IF($R1420="B","S",IF($Q1420+1&gt;$K$3,"T",IF(INDEX($M$4:$M$2003,MATCH($Q1420+1,$P$4:$P$2003,0))&lt;&gt;INDEX($M$4:$M$2003,MATCH($Q1420,$P$4:$P$2003,0)),"B","S"))))</f>
        <v/>
      </c>
      <c r="S1421">
        <f>IF(Q1421="","",IFERROR(MATCH(Q1421,$P$4:$P$2003,0),""))</f>
        <v/>
      </c>
    </row>
    <row r="1422">
      <c r="A1422" s="4">
        <f>IF($R1422="","",IF($R1422="T","Gesamtergebnis",IF($R1422="B",INDEX($M$4:$M$2003,$S1422),INDEX($L$4:$L$2003,$S1422))))</f>
        <v/>
      </c>
      <c r="B1422" s="4">
        <f>IF($R1422="","",IF($R1422="T",$K$3,IF($R1422="B",COUNTIFS($M$4:$M$2003,INDEX($M$4:$M$2003,$S1422),$N$4:$N$2003,1),1)))</f>
        <v/>
      </c>
      <c r="L1422">
        <f>IF($K$1="","",IFERROR(INDEX(Lines!$A:$AA,ROW()-2,$K$1),""))</f>
        <v/>
      </c>
      <c r="M1422">
        <f>IF($K$2="","",IFERROR(INDEX(Lines!$A:$AA,ROW()-2,$K$2),""))</f>
        <v/>
      </c>
      <c r="N1422">
        <f>IF(AND(L1422&lt;&gt;"",LEFT(L1422,1)="N",M1422&lt;&gt;"PICKING",M1422&lt;&gt;""),1,0)</f>
        <v/>
      </c>
      <c r="O1422">
        <f>IF(N1422=1,M1422&amp;"|"&amp;L1422,REPT("z",40))</f>
        <v/>
      </c>
      <c r="P1422">
        <f>IF(N1422=1,COUNTIF($O$4:$O$2003,"&lt;"&amp;O1422)+1,"")</f>
        <v/>
      </c>
      <c r="Q1422">
        <f>IF(OR($R1421="",$R1421="T"),"",IF($R1421="B",$Q1421,IF($Q1421+1&gt;$K$3,"",$Q1421+1)))</f>
        <v/>
      </c>
      <c r="R1422">
        <f>IF(OR($R1421="",$R1421="T"),"",IF($R1421="B","S",IF($Q1421+1&gt;$K$3,"T",IF(INDEX($M$4:$M$2003,MATCH($Q1421+1,$P$4:$P$2003,0))&lt;&gt;INDEX($M$4:$M$2003,MATCH($Q1421,$P$4:$P$2003,0)),"B","S"))))</f>
        <v/>
      </c>
      <c r="S1422">
        <f>IF(Q1422="","",IFERROR(MATCH(Q1422,$P$4:$P$2003,0),""))</f>
        <v/>
      </c>
    </row>
    <row r="1423">
      <c r="A1423" s="4">
        <f>IF($R1423="","",IF($R1423="T","Gesamtergebnis",IF($R1423="B",INDEX($M$4:$M$2003,$S1423),INDEX($L$4:$L$2003,$S1423))))</f>
        <v/>
      </c>
      <c r="B1423" s="4">
        <f>IF($R1423="","",IF($R1423="T",$K$3,IF($R1423="B",COUNTIFS($M$4:$M$2003,INDEX($M$4:$M$2003,$S1423),$N$4:$N$2003,1),1)))</f>
        <v/>
      </c>
      <c r="L1423">
        <f>IF($K$1="","",IFERROR(INDEX(Lines!$A:$AA,ROW()-2,$K$1),""))</f>
        <v/>
      </c>
      <c r="M1423">
        <f>IF($K$2="","",IFERROR(INDEX(Lines!$A:$AA,ROW()-2,$K$2),""))</f>
        <v/>
      </c>
      <c r="N1423">
        <f>IF(AND(L1423&lt;&gt;"",LEFT(L1423,1)="N",M1423&lt;&gt;"PICKING",M1423&lt;&gt;""),1,0)</f>
        <v/>
      </c>
      <c r="O1423">
        <f>IF(N1423=1,M1423&amp;"|"&amp;L1423,REPT("z",40))</f>
        <v/>
      </c>
      <c r="P1423">
        <f>IF(N1423=1,COUNTIF($O$4:$O$2003,"&lt;"&amp;O1423)+1,"")</f>
        <v/>
      </c>
      <c r="Q1423">
        <f>IF(OR($R1422="",$R1422="T"),"",IF($R1422="B",$Q1422,IF($Q1422+1&gt;$K$3,"",$Q1422+1)))</f>
        <v/>
      </c>
      <c r="R1423">
        <f>IF(OR($R1422="",$R1422="T"),"",IF($R1422="B","S",IF($Q1422+1&gt;$K$3,"T",IF(INDEX($M$4:$M$2003,MATCH($Q1422+1,$P$4:$P$2003,0))&lt;&gt;INDEX($M$4:$M$2003,MATCH($Q1422,$P$4:$P$2003,0)),"B","S"))))</f>
        <v/>
      </c>
      <c r="S1423">
        <f>IF(Q1423="","",IFERROR(MATCH(Q1423,$P$4:$P$2003,0),""))</f>
        <v/>
      </c>
    </row>
    <row r="1424">
      <c r="A1424" s="4">
        <f>IF($R1424="","",IF($R1424="T","Gesamtergebnis",IF($R1424="B",INDEX($M$4:$M$2003,$S1424),INDEX($L$4:$L$2003,$S1424))))</f>
        <v/>
      </c>
      <c r="B1424" s="4">
        <f>IF($R1424="","",IF($R1424="T",$K$3,IF($R1424="B",COUNTIFS($M$4:$M$2003,INDEX($M$4:$M$2003,$S1424),$N$4:$N$2003,1),1)))</f>
        <v/>
      </c>
      <c r="L1424">
        <f>IF($K$1="","",IFERROR(INDEX(Lines!$A:$AA,ROW()-2,$K$1),""))</f>
        <v/>
      </c>
      <c r="M1424">
        <f>IF($K$2="","",IFERROR(INDEX(Lines!$A:$AA,ROW()-2,$K$2),""))</f>
        <v/>
      </c>
      <c r="N1424">
        <f>IF(AND(L1424&lt;&gt;"",LEFT(L1424,1)="N",M1424&lt;&gt;"PICKING",M1424&lt;&gt;""),1,0)</f>
        <v/>
      </c>
      <c r="O1424">
        <f>IF(N1424=1,M1424&amp;"|"&amp;L1424,REPT("z",40))</f>
        <v/>
      </c>
      <c r="P1424">
        <f>IF(N1424=1,COUNTIF($O$4:$O$2003,"&lt;"&amp;O1424)+1,"")</f>
        <v/>
      </c>
      <c r="Q1424">
        <f>IF(OR($R1423="",$R1423="T"),"",IF($R1423="B",$Q1423,IF($Q1423+1&gt;$K$3,"",$Q1423+1)))</f>
        <v/>
      </c>
      <c r="R1424">
        <f>IF(OR($R1423="",$R1423="T"),"",IF($R1423="B","S",IF($Q1423+1&gt;$K$3,"T",IF(INDEX($M$4:$M$2003,MATCH($Q1423+1,$P$4:$P$2003,0))&lt;&gt;INDEX($M$4:$M$2003,MATCH($Q1423,$P$4:$P$2003,0)),"B","S"))))</f>
        <v/>
      </c>
      <c r="S1424">
        <f>IF(Q1424="","",IFERROR(MATCH(Q1424,$P$4:$P$2003,0),""))</f>
        <v/>
      </c>
    </row>
    <row r="1425">
      <c r="A1425" s="4">
        <f>IF($R1425="","",IF($R1425="T","Gesamtergebnis",IF($R1425="B",INDEX($M$4:$M$2003,$S1425),INDEX($L$4:$L$2003,$S1425))))</f>
        <v/>
      </c>
      <c r="B1425" s="4">
        <f>IF($R1425="","",IF($R1425="T",$K$3,IF($R1425="B",COUNTIFS($M$4:$M$2003,INDEX($M$4:$M$2003,$S1425),$N$4:$N$2003,1),1)))</f>
        <v/>
      </c>
      <c r="L1425">
        <f>IF($K$1="","",IFERROR(INDEX(Lines!$A:$AA,ROW()-2,$K$1),""))</f>
        <v/>
      </c>
      <c r="M1425">
        <f>IF($K$2="","",IFERROR(INDEX(Lines!$A:$AA,ROW()-2,$K$2),""))</f>
        <v/>
      </c>
      <c r="N1425">
        <f>IF(AND(L1425&lt;&gt;"",LEFT(L1425,1)="N",M1425&lt;&gt;"PICKING",M1425&lt;&gt;""),1,0)</f>
        <v/>
      </c>
      <c r="O1425">
        <f>IF(N1425=1,M1425&amp;"|"&amp;L1425,REPT("z",40))</f>
        <v/>
      </c>
      <c r="P1425">
        <f>IF(N1425=1,COUNTIF($O$4:$O$2003,"&lt;"&amp;O1425)+1,"")</f>
        <v/>
      </c>
      <c r="Q1425">
        <f>IF(OR($R1424="",$R1424="T"),"",IF($R1424="B",$Q1424,IF($Q1424+1&gt;$K$3,"",$Q1424+1)))</f>
        <v/>
      </c>
      <c r="R1425">
        <f>IF(OR($R1424="",$R1424="T"),"",IF($R1424="B","S",IF($Q1424+1&gt;$K$3,"T",IF(INDEX($M$4:$M$2003,MATCH($Q1424+1,$P$4:$P$2003,0))&lt;&gt;INDEX($M$4:$M$2003,MATCH($Q1424,$P$4:$P$2003,0)),"B","S"))))</f>
        <v/>
      </c>
      <c r="S1425">
        <f>IF(Q1425="","",IFERROR(MATCH(Q1425,$P$4:$P$2003,0),""))</f>
        <v/>
      </c>
    </row>
    <row r="1426">
      <c r="A1426" s="4">
        <f>IF($R1426="","",IF($R1426="T","Gesamtergebnis",IF($R1426="B",INDEX($M$4:$M$2003,$S1426),INDEX($L$4:$L$2003,$S1426))))</f>
        <v/>
      </c>
      <c r="B1426" s="4">
        <f>IF($R1426="","",IF($R1426="T",$K$3,IF($R1426="B",COUNTIFS($M$4:$M$2003,INDEX($M$4:$M$2003,$S1426),$N$4:$N$2003,1),1)))</f>
        <v/>
      </c>
      <c r="L1426">
        <f>IF($K$1="","",IFERROR(INDEX(Lines!$A:$AA,ROW()-2,$K$1),""))</f>
        <v/>
      </c>
      <c r="M1426">
        <f>IF($K$2="","",IFERROR(INDEX(Lines!$A:$AA,ROW()-2,$K$2),""))</f>
        <v/>
      </c>
      <c r="N1426">
        <f>IF(AND(L1426&lt;&gt;"",LEFT(L1426,1)="N",M1426&lt;&gt;"PICKING",M1426&lt;&gt;""),1,0)</f>
        <v/>
      </c>
      <c r="O1426">
        <f>IF(N1426=1,M1426&amp;"|"&amp;L1426,REPT("z",40))</f>
        <v/>
      </c>
      <c r="P1426">
        <f>IF(N1426=1,COUNTIF($O$4:$O$2003,"&lt;"&amp;O1426)+1,"")</f>
        <v/>
      </c>
      <c r="Q1426">
        <f>IF(OR($R1425="",$R1425="T"),"",IF($R1425="B",$Q1425,IF($Q1425+1&gt;$K$3,"",$Q1425+1)))</f>
        <v/>
      </c>
      <c r="R1426">
        <f>IF(OR($R1425="",$R1425="T"),"",IF($R1425="B","S",IF($Q1425+1&gt;$K$3,"T",IF(INDEX($M$4:$M$2003,MATCH($Q1425+1,$P$4:$P$2003,0))&lt;&gt;INDEX($M$4:$M$2003,MATCH($Q1425,$P$4:$P$2003,0)),"B","S"))))</f>
        <v/>
      </c>
      <c r="S1426">
        <f>IF(Q1426="","",IFERROR(MATCH(Q1426,$P$4:$P$2003,0),""))</f>
        <v/>
      </c>
    </row>
    <row r="1427">
      <c r="A1427" s="4">
        <f>IF($R1427="","",IF($R1427="T","Gesamtergebnis",IF($R1427="B",INDEX($M$4:$M$2003,$S1427),INDEX($L$4:$L$2003,$S1427))))</f>
        <v/>
      </c>
      <c r="B1427" s="4">
        <f>IF($R1427="","",IF($R1427="T",$K$3,IF($R1427="B",COUNTIFS($M$4:$M$2003,INDEX($M$4:$M$2003,$S1427),$N$4:$N$2003,1),1)))</f>
        <v/>
      </c>
      <c r="L1427">
        <f>IF($K$1="","",IFERROR(INDEX(Lines!$A:$AA,ROW()-2,$K$1),""))</f>
        <v/>
      </c>
      <c r="M1427">
        <f>IF($K$2="","",IFERROR(INDEX(Lines!$A:$AA,ROW()-2,$K$2),""))</f>
        <v/>
      </c>
      <c r="N1427">
        <f>IF(AND(L1427&lt;&gt;"",LEFT(L1427,1)="N",M1427&lt;&gt;"PICKING",M1427&lt;&gt;""),1,0)</f>
        <v/>
      </c>
      <c r="O1427">
        <f>IF(N1427=1,M1427&amp;"|"&amp;L1427,REPT("z",40))</f>
        <v/>
      </c>
      <c r="P1427">
        <f>IF(N1427=1,COUNTIF($O$4:$O$2003,"&lt;"&amp;O1427)+1,"")</f>
        <v/>
      </c>
      <c r="Q1427">
        <f>IF(OR($R1426="",$R1426="T"),"",IF($R1426="B",$Q1426,IF($Q1426+1&gt;$K$3,"",$Q1426+1)))</f>
        <v/>
      </c>
      <c r="R1427">
        <f>IF(OR($R1426="",$R1426="T"),"",IF($R1426="B","S",IF($Q1426+1&gt;$K$3,"T",IF(INDEX($M$4:$M$2003,MATCH($Q1426+1,$P$4:$P$2003,0))&lt;&gt;INDEX($M$4:$M$2003,MATCH($Q1426,$P$4:$P$2003,0)),"B","S"))))</f>
        <v/>
      </c>
      <c r="S1427">
        <f>IF(Q1427="","",IFERROR(MATCH(Q1427,$P$4:$P$2003,0),""))</f>
        <v/>
      </c>
    </row>
    <row r="1428">
      <c r="A1428" s="4">
        <f>IF($R1428="","",IF($R1428="T","Gesamtergebnis",IF($R1428="B",INDEX($M$4:$M$2003,$S1428),INDEX($L$4:$L$2003,$S1428))))</f>
        <v/>
      </c>
      <c r="B1428" s="4">
        <f>IF($R1428="","",IF($R1428="T",$K$3,IF($R1428="B",COUNTIFS($M$4:$M$2003,INDEX($M$4:$M$2003,$S1428),$N$4:$N$2003,1),1)))</f>
        <v/>
      </c>
      <c r="L1428">
        <f>IF($K$1="","",IFERROR(INDEX(Lines!$A:$AA,ROW()-2,$K$1),""))</f>
        <v/>
      </c>
      <c r="M1428">
        <f>IF($K$2="","",IFERROR(INDEX(Lines!$A:$AA,ROW()-2,$K$2),""))</f>
        <v/>
      </c>
      <c r="N1428">
        <f>IF(AND(L1428&lt;&gt;"",LEFT(L1428,1)="N",M1428&lt;&gt;"PICKING",M1428&lt;&gt;""),1,0)</f>
        <v/>
      </c>
      <c r="O1428">
        <f>IF(N1428=1,M1428&amp;"|"&amp;L1428,REPT("z",40))</f>
        <v/>
      </c>
      <c r="P1428">
        <f>IF(N1428=1,COUNTIF($O$4:$O$2003,"&lt;"&amp;O1428)+1,"")</f>
        <v/>
      </c>
      <c r="Q1428">
        <f>IF(OR($R1427="",$R1427="T"),"",IF($R1427="B",$Q1427,IF($Q1427+1&gt;$K$3,"",$Q1427+1)))</f>
        <v/>
      </c>
      <c r="R1428">
        <f>IF(OR($R1427="",$R1427="T"),"",IF($R1427="B","S",IF($Q1427+1&gt;$K$3,"T",IF(INDEX($M$4:$M$2003,MATCH($Q1427+1,$P$4:$P$2003,0))&lt;&gt;INDEX($M$4:$M$2003,MATCH($Q1427,$P$4:$P$2003,0)),"B","S"))))</f>
        <v/>
      </c>
      <c r="S1428">
        <f>IF(Q1428="","",IFERROR(MATCH(Q1428,$P$4:$P$2003,0),""))</f>
        <v/>
      </c>
    </row>
    <row r="1429">
      <c r="A1429" s="4">
        <f>IF($R1429="","",IF($R1429="T","Gesamtergebnis",IF($R1429="B",INDEX($M$4:$M$2003,$S1429),INDEX($L$4:$L$2003,$S1429))))</f>
        <v/>
      </c>
      <c r="B1429" s="4">
        <f>IF($R1429="","",IF($R1429="T",$K$3,IF($R1429="B",COUNTIFS($M$4:$M$2003,INDEX($M$4:$M$2003,$S1429),$N$4:$N$2003,1),1)))</f>
        <v/>
      </c>
      <c r="L1429">
        <f>IF($K$1="","",IFERROR(INDEX(Lines!$A:$AA,ROW()-2,$K$1),""))</f>
        <v/>
      </c>
      <c r="M1429">
        <f>IF($K$2="","",IFERROR(INDEX(Lines!$A:$AA,ROW()-2,$K$2),""))</f>
        <v/>
      </c>
      <c r="N1429">
        <f>IF(AND(L1429&lt;&gt;"",LEFT(L1429,1)="N",M1429&lt;&gt;"PICKING",M1429&lt;&gt;""),1,0)</f>
        <v/>
      </c>
      <c r="O1429">
        <f>IF(N1429=1,M1429&amp;"|"&amp;L1429,REPT("z",40))</f>
        <v/>
      </c>
      <c r="P1429">
        <f>IF(N1429=1,COUNTIF($O$4:$O$2003,"&lt;"&amp;O1429)+1,"")</f>
        <v/>
      </c>
      <c r="Q1429">
        <f>IF(OR($R1428="",$R1428="T"),"",IF($R1428="B",$Q1428,IF($Q1428+1&gt;$K$3,"",$Q1428+1)))</f>
        <v/>
      </c>
      <c r="R1429">
        <f>IF(OR($R1428="",$R1428="T"),"",IF($R1428="B","S",IF($Q1428+1&gt;$K$3,"T",IF(INDEX($M$4:$M$2003,MATCH($Q1428+1,$P$4:$P$2003,0))&lt;&gt;INDEX($M$4:$M$2003,MATCH($Q1428,$P$4:$P$2003,0)),"B","S"))))</f>
        <v/>
      </c>
      <c r="S1429">
        <f>IF(Q1429="","",IFERROR(MATCH(Q1429,$P$4:$P$2003,0),""))</f>
        <v/>
      </c>
    </row>
    <row r="1430">
      <c r="A1430" s="4">
        <f>IF($R1430="","",IF($R1430="T","Gesamtergebnis",IF($R1430="B",INDEX($M$4:$M$2003,$S1430),INDEX($L$4:$L$2003,$S1430))))</f>
        <v/>
      </c>
      <c r="B1430" s="4">
        <f>IF($R1430="","",IF($R1430="T",$K$3,IF($R1430="B",COUNTIFS($M$4:$M$2003,INDEX($M$4:$M$2003,$S1430),$N$4:$N$2003,1),1)))</f>
        <v/>
      </c>
      <c r="L1430">
        <f>IF($K$1="","",IFERROR(INDEX(Lines!$A:$AA,ROW()-2,$K$1),""))</f>
        <v/>
      </c>
      <c r="M1430">
        <f>IF($K$2="","",IFERROR(INDEX(Lines!$A:$AA,ROW()-2,$K$2),""))</f>
        <v/>
      </c>
      <c r="N1430">
        <f>IF(AND(L1430&lt;&gt;"",LEFT(L1430,1)="N",M1430&lt;&gt;"PICKING",M1430&lt;&gt;""),1,0)</f>
        <v/>
      </c>
      <c r="O1430">
        <f>IF(N1430=1,M1430&amp;"|"&amp;L1430,REPT("z",40))</f>
        <v/>
      </c>
      <c r="P1430">
        <f>IF(N1430=1,COUNTIF($O$4:$O$2003,"&lt;"&amp;O1430)+1,"")</f>
        <v/>
      </c>
      <c r="Q1430">
        <f>IF(OR($R1429="",$R1429="T"),"",IF($R1429="B",$Q1429,IF($Q1429+1&gt;$K$3,"",$Q1429+1)))</f>
        <v/>
      </c>
      <c r="R1430">
        <f>IF(OR($R1429="",$R1429="T"),"",IF($R1429="B","S",IF($Q1429+1&gt;$K$3,"T",IF(INDEX($M$4:$M$2003,MATCH($Q1429+1,$P$4:$P$2003,0))&lt;&gt;INDEX($M$4:$M$2003,MATCH($Q1429,$P$4:$P$2003,0)),"B","S"))))</f>
        <v/>
      </c>
      <c r="S1430">
        <f>IF(Q1430="","",IFERROR(MATCH(Q1430,$P$4:$P$2003,0),""))</f>
        <v/>
      </c>
    </row>
    <row r="1431">
      <c r="A1431" s="4">
        <f>IF($R1431="","",IF($R1431="T","Gesamtergebnis",IF($R1431="B",INDEX($M$4:$M$2003,$S1431),INDEX($L$4:$L$2003,$S1431))))</f>
        <v/>
      </c>
      <c r="B1431" s="4">
        <f>IF($R1431="","",IF($R1431="T",$K$3,IF($R1431="B",COUNTIFS($M$4:$M$2003,INDEX($M$4:$M$2003,$S1431),$N$4:$N$2003,1),1)))</f>
        <v/>
      </c>
      <c r="L1431">
        <f>IF($K$1="","",IFERROR(INDEX(Lines!$A:$AA,ROW()-2,$K$1),""))</f>
        <v/>
      </c>
      <c r="M1431">
        <f>IF($K$2="","",IFERROR(INDEX(Lines!$A:$AA,ROW()-2,$K$2),""))</f>
        <v/>
      </c>
      <c r="N1431">
        <f>IF(AND(L1431&lt;&gt;"",LEFT(L1431,1)="N",M1431&lt;&gt;"PICKING",M1431&lt;&gt;""),1,0)</f>
        <v/>
      </c>
      <c r="O1431">
        <f>IF(N1431=1,M1431&amp;"|"&amp;L1431,REPT("z",40))</f>
        <v/>
      </c>
      <c r="P1431">
        <f>IF(N1431=1,COUNTIF($O$4:$O$2003,"&lt;"&amp;O1431)+1,"")</f>
        <v/>
      </c>
      <c r="Q1431">
        <f>IF(OR($R1430="",$R1430="T"),"",IF($R1430="B",$Q1430,IF($Q1430+1&gt;$K$3,"",$Q1430+1)))</f>
        <v/>
      </c>
      <c r="R1431">
        <f>IF(OR($R1430="",$R1430="T"),"",IF($R1430="B","S",IF($Q1430+1&gt;$K$3,"T",IF(INDEX($M$4:$M$2003,MATCH($Q1430+1,$P$4:$P$2003,0))&lt;&gt;INDEX($M$4:$M$2003,MATCH($Q1430,$P$4:$P$2003,0)),"B","S"))))</f>
        <v/>
      </c>
      <c r="S1431">
        <f>IF(Q1431="","",IFERROR(MATCH(Q1431,$P$4:$P$2003,0),""))</f>
        <v/>
      </c>
    </row>
    <row r="1432">
      <c r="A1432" s="4">
        <f>IF($R1432="","",IF($R1432="T","Gesamtergebnis",IF($R1432="B",INDEX($M$4:$M$2003,$S1432),INDEX($L$4:$L$2003,$S1432))))</f>
        <v/>
      </c>
      <c r="B1432" s="4">
        <f>IF($R1432="","",IF($R1432="T",$K$3,IF($R1432="B",COUNTIFS($M$4:$M$2003,INDEX($M$4:$M$2003,$S1432),$N$4:$N$2003,1),1)))</f>
        <v/>
      </c>
      <c r="L1432">
        <f>IF($K$1="","",IFERROR(INDEX(Lines!$A:$AA,ROW()-2,$K$1),""))</f>
        <v/>
      </c>
      <c r="M1432">
        <f>IF($K$2="","",IFERROR(INDEX(Lines!$A:$AA,ROW()-2,$K$2),""))</f>
        <v/>
      </c>
      <c r="N1432">
        <f>IF(AND(L1432&lt;&gt;"",LEFT(L1432,1)="N",M1432&lt;&gt;"PICKING",M1432&lt;&gt;""),1,0)</f>
        <v/>
      </c>
      <c r="O1432">
        <f>IF(N1432=1,M1432&amp;"|"&amp;L1432,REPT("z",40))</f>
        <v/>
      </c>
      <c r="P1432">
        <f>IF(N1432=1,COUNTIF($O$4:$O$2003,"&lt;"&amp;O1432)+1,"")</f>
        <v/>
      </c>
      <c r="Q1432">
        <f>IF(OR($R1431="",$R1431="T"),"",IF($R1431="B",$Q1431,IF($Q1431+1&gt;$K$3,"",$Q1431+1)))</f>
        <v/>
      </c>
      <c r="R1432">
        <f>IF(OR($R1431="",$R1431="T"),"",IF($R1431="B","S",IF($Q1431+1&gt;$K$3,"T",IF(INDEX($M$4:$M$2003,MATCH($Q1431+1,$P$4:$P$2003,0))&lt;&gt;INDEX($M$4:$M$2003,MATCH($Q1431,$P$4:$P$2003,0)),"B","S"))))</f>
        <v/>
      </c>
      <c r="S1432">
        <f>IF(Q1432="","",IFERROR(MATCH(Q1432,$P$4:$P$2003,0),""))</f>
        <v/>
      </c>
    </row>
    <row r="1433">
      <c r="A1433" s="4">
        <f>IF($R1433="","",IF($R1433="T","Gesamtergebnis",IF($R1433="B",INDEX($M$4:$M$2003,$S1433),INDEX($L$4:$L$2003,$S1433))))</f>
        <v/>
      </c>
      <c r="B1433" s="4">
        <f>IF($R1433="","",IF($R1433="T",$K$3,IF($R1433="B",COUNTIFS($M$4:$M$2003,INDEX($M$4:$M$2003,$S1433),$N$4:$N$2003,1),1)))</f>
        <v/>
      </c>
      <c r="L1433">
        <f>IF($K$1="","",IFERROR(INDEX(Lines!$A:$AA,ROW()-2,$K$1),""))</f>
        <v/>
      </c>
      <c r="M1433">
        <f>IF($K$2="","",IFERROR(INDEX(Lines!$A:$AA,ROW()-2,$K$2),""))</f>
        <v/>
      </c>
      <c r="N1433">
        <f>IF(AND(L1433&lt;&gt;"",LEFT(L1433,1)="N",M1433&lt;&gt;"PICKING",M1433&lt;&gt;""),1,0)</f>
        <v/>
      </c>
      <c r="O1433">
        <f>IF(N1433=1,M1433&amp;"|"&amp;L1433,REPT("z",40))</f>
        <v/>
      </c>
      <c r="P1433">
        <f>IF(N1433=1,COUNTIF($O$4:$O$2003,"&lt;"&amp;O1433)+1,"")</f>
        <v/>
      </c>
      <c r="Q1433">
        <f>IF(OR($R1432="",$R1432="T"),"",IF($R1432="B",$Q1432,IF($Q1432+1&gt;$K$3,"",$Q1432+1)))</f>
        <v/>
      </c>
      <c r="R1433">
        <f>IF(OR($R1432="",$R1432="T"),"",IF($R1432="B","S",IF($Q1432+1&gt;$K$3,"T",IF(INDEX($M$4:$M$2003,MATCH($Q1432+1,$P$4:$P$2003,0))&lt;&gt;INDEX($M$4:$M$2003,MATCH($Q1432,$P$4:$P$2003,0)),"B","S"))))</f>
        <v/>
      </c>
      <c r="S1433">
        <f>IF(Q1433="","",IFERROR(MATCH(Q1433,$P$4:$P$2003,0),""))</f>
        <v/>
      </c>
    </row>
    <row r="1434">
      <c r="A1434" s="4">
        <f>IF($R1434="","",IF($R1434="T","Gesamtergebnis",IF($R1434="B",INDEX($M$4:$M$2003,$S1434),INDEX($L$4:$L$2003,$S1434))))</f>
        <v/>
      </c>
      <c r="B1434" s="4">
        <f>IF($R1434="","",IF($R1434="T",$K$3,IF($R1434="B",COUNTIFS($M$4:$M$2003,INDEX($M$4:$M$2003,$S1434),$N$4:$N$2003,1),1)))</f>
        <v/>
      </c>
      <c r="L1434">
        <f>IF($K$1="","",IFERROR(INDEX(Lines!$A:$AA,ROW()-2,$K$1),""))</f>
        <v/>
      </c>
      <c r="M1434">
        <f>IF($K$2="","",IFERROR(INDEX(Lines!$A:$AA,ROW()-2,$K$2),""))</f>
        <v/>
      </c>
      <c r="N1434">
        <f>IF(AND(L1434&lt;&gt;"",LEFT(L1434,1)="N",M1434&lt;&gt;"PICKING",M1434&lt;&gt;""),1,0)</f>
        <v/>
      </c>
      <c r="O1434">
        <f>IF(N1434=1,M1434&amp;"|"&amp;L1434,REPT("z",40))</f>
        <v/>
      </c>
      <c r="P1434">
        <f>IF(N1434=1,COUNTIF($O$4:$O$2003,"&lt;"&amp;O1434)+1,"")</f>
        <v/>
      </c>
      <c r="Q1434">
        <f>IF(OR($R1433="",$R1433="T"),"",IF($R1433="B",$Q1433,IF($Q1433+1&gt;$K$3,"",$Q1433+1)))</f>
        <v/>
      </c>
      <c r="R1434">
        <f>IF(OR($R1433="",$R1433="T"),"",IF($R1433="B","S",IF($Q1433+1&gt;$K$3,"T",IF(INDEX($M$4:$M$2003,MATCH($Q1433+1,$P$4:$P$2003,0))&lt;&gt;INDEX($M$4:$M$2003,MATCH($Q1433,$P$4:$P$2003,0)),"B","S"))))</f>
        <v/>
      </c>
      <c r="S1434">
        <f>IF(Q1434="","",IFERROR(MATCH(Q1434,$P$4:$P$2003,0),""))</f>
        <v/>
      </c>
    </row>
    <row r="1435">
      <c r="A1435" s="4">
        <f>IF($R1435="","",IF($R1435="T","Gesamtergebnis",IF($R1435="B",INDEX($M$4:$M$2003,$S1435),INDEX($L$4:$L$2003,$S1435))))</f>
        <v/>
      </c>
      <c r="B1435" s="4">
        <f>IF($R1435="","",IF($R1435="T",$K$3,IF($R1435="B",COUNTIFS($M$4:$M$2003,INDEX($M$4:$M$2003,$S1435),$N$4:$N$2003,1),1)))</f>
        <v/>
      </c>
      <c r="L1435">
        <f>IF($K$1="","",IFERROR(INDEX(Lines!$A:$AA,ROW()-2,$K$1),""))</f>
        <v/>
      </c>
      <c r="M1435">
        <f>IF($K$2="","",IFERROR(INDEX(Lines!$A:$AA,ROW()-2,$K$2),""))</f>
        <v/>
      </c>
      <c r="N1435">
        <f>IF(AND(L1435&lt;&gt;"",LEFT(L1435,1)="N",M1435&lt;&gt;"PICKING",M1435&lt;&gt;""),1,0)</f>
        <v/>
      </c>
      <c r="O1435">
        <f>IF(N1435=1,M1435&amp;"|"&amp;L1435,REPT("z",40))</f>
        <v/>
      </c>
      <c r="P1435">
        <f>IF(N1435=1,COUNTIF($O$4:$O$2003,"&lt;"&amp;O1435)+1,"")</f>
        <v/>
      </c>
      <c r="Q1435">
        <f>IF(OR($R1434="",$R1434="T"),"",IF($R1434="B",$Q1434,IF($Q1434+1&gt;$K$3,"",$Q1434+1)))</f>
        <v/>
      </c>
      <c r="R1435">
        <f>IF(OR($R1434="",$R1434="T"),"",IF($R1434="B","S",IF($Q1434+1&gt;$K$3,"T",IF(INDEX($M$4:$M$2003,MATCH($Q1434+1,$P$4:$P$2003,0))&lt;&gt;INDEX($M$4:$M$2003,MATCH($Q1434,$P$4:$P$2003,0)),"B","S"))))</f>
        <v/>
      </c>
      <c r="S1435">
        <f>IF(Q1435="","",IFERROR(MATCH(Q1435,$P$4:$P$2003,0),""))</f>
        <v/>
      </c>
    </row>
    <row r="1436">
      <c r="A1436" s="4">
        <f>IF($R1436="","",IF($R1436="T","Gesamtergebnis",IF($R1436="B",INDEX($M$4:$M$2003,$S1436),INDEX($L$4:$L$2003,$S1436))))</f>
        <v/>
      </c>
      <c r="B1436" s="4">
        <f>IF($R1436="","",IF($R1436="T",$K$3,IF($R1436="B",COUNTIFS($M$4:$M$2003,INDEX($M$4:$M$2003,$S1436),$N$4:$N$2003,1),1)))</f>
        <v/>
      </c>
      <c r="L1436">
        <f>IF($K$1="","",IFERROR(INDEX(Lines!$A:$AA,ROW()-2,$K$1),""))</f>
        <v/>
      </c>
      <c r="M1436">
        <f>IF($K$2="","",IFERROR(INDEX(Lines!$A:$AA,ROW()-2,$K$2),""))</f>
        <v/>
      </c>
      <c r="N1436">
        <f>IF(AND(L1436&lt;&gt;"",LEFT(L1436,1)="N",M1436&lt;&gt;"PICKING",M1436&lt;&gt;""),1,0)</f>
        <v/>
      </c>
      <c r="O1436">
        <f>IF(N1436=1,M1436&amp;"|"&amp;L1436,REPT("z",40))</f>
        <v/>
      </c>
      <c r="P1436">
        <f>IF(N1436=1,COUNTIF($O$4:$O$2003,"&lt;"&amp;O1436)+1,"")</f>
        <v/>
      </c>
      <c r="Q1436">
        <f>IF(OR($R1435="",$R1435="T"),"",IF($R1435="B",$Q1435,IF($Q1435+1&gt;$K$3,"",$Q1435+1)))</f>
        <v/>
      </c>
      <c r="R1436">
        <f>IF(OR($R1435="",$R1435="T"),"",IF($R1435="B","S",IF($Q1435+1&gt;$K$3,"T",IF(INDEX($M$4:$M$2003,MATCH($Q1435+1,$P$4:$P$2003,0))&lt;&gt;INDEX($M$4:$M$2003,MATCH($Q1435,$P$4:$P$2003,0)),"B","S"))))</f>
        <v/>
      </c>
      <c r="S1436">
        <f>IF(Q1436="","",IFERROR(MATCH(Q1436,$P$4:$P$2003,0),""))</f>
        <v/>
      </c>
    </row>
    <row r="1437">
      <c r="A1437" s="4">
        <f>IF($R1437="","",IF($R1437="T","Gesamtergebnis",IF($R1437="B",INDEX($M$4:$M$2003,$S1437),INDEX($L$4:$L$2003,$S1437))))</f>
        <v/>
      </c>
      <c r="B1437" s="4">
        <f>IF($R1437="","",IF($R1437="T",$K$3,IF($R1437="B",COUNTIFS($M$4:$M$2003,INDEX($M$4:$M$2003,$S1437),$N$4:$N$2003,1),1)))</f>
        <v/>
      </c>
      <c r="L1437">
        <f>IF($K$1="","",IFERROR(INDEX(Lines!$A:$AA,ROW()-2,$K$1),""))</f>
        <v/>
      </c>
      <c r="M1437">
        <f>IF($K$2="","",IFERROR(INDEX(Lines!$A:$AA,ROW()-2,$K$2),""))</f>
        <v/>
      </c>
      <c r="N1437">
        <f>IF(AND(L1437&lt;&gt;"",LEFT(L1437,1)="N",M1437&lt;&gt;"PICKING",M1437&lt;&gt;""),1,0)</f>
        <v/>
      </c>
      <c r="O1437">
        <f>IF(N1437=1,M1437&amp;"|"&amp;L1437,REPT("z",40))</f>
        <v/>
      </c>
      <c r="P1437">
        <f>IF(N1437=1,COUNTIF($O$4:$O$2003,"&lt;"&amp;O1437)+1,"")</f>
        <v/>
      </c>
      <c r="Q1437">
        <f>IF(OR($R1436="",$R1436="T"),"",IF($R1436="B",$Q1436,IF($Q1436+1&gt;$K$3,"",$Q1436+1)))</f>
        <v/>
      </c>
      <c r="R1437">
        <f>IF(OR($R1436="",$R1436="T"),"",IF($R1436="B","S",IF($Q1436+1&gt;$K$3,"T",IF(INDEX($M$4:$M$2003,MATCH($Q1436+1,$P$4:$P$2003,0))&lt;&gt;INDEX($M$4:$M$2003,MATCH($Q1436,$P$4:$P$2003,0)),"B","S"))))</f>
        <v/>
      </c>
      <c r="S1437">
        <f>IF(Q1437="","",IFERROR(MATCH(Q1437,$P$4:$P$2003,0),""))</f>
        <v/>
      </c>
    </row>
    <row r="1438">
      <c r="A1438" s="4">
        <f>IF($R1438="","",IF($R1438="T","Gesamtergebnis",IF($R1438="B",INDEX($M$4:$M$2003,$S1438),INDEX($L$4:$L$2003,$S1438))))</f>
        <v/>
      </c>
      <c r="B1438" s="4">
        <f>IF($R1438="","",IF($R1438="T",$K$3,IF($R1438="B",COUNTIFS($M$4:$M$2003,INDEX($M$4:$M$2003,$S1438),$N$4:$N$2003,1),1)))</f>
        <v/>
      </c>
      <c r="L1438">
        <f>IF($K$1="","",IFERROR(INDEX(Lines!$A:$AA,ROW()-2,$K$1),""))</f>
        <v/>
      </c>
      <c r="M1438">
        <f>IF($K$2="","",IFERROR(INDEX(Lines!$A:$AA,ROW()-2,$K$2),""))</f>
        <v/>
      </c>
      <c r="N1438">
        <f>IF(AND(L1438&lt;&gt;"",LEFT(L1438,1)="N",M1438&lt;&gt;"PICKING",M1438&lt;&gt;""),1,0)</f>
        <v/>
      </c>
      <c r="O1438">
        <f>IF(N1438=1,M1438&amp;"|"&amp;L1438,REPT("z",40))</f>
        <v/>
      </c>
      <c r="P1438">
        <f>IF(N1438=1,COUNTIF($O$4:$O$2003,"&lt;"&amp;O1438)+1,"")</f>
        <v/>
      </c>
      <c r="Q1438">
        <f>IF(OR($R1437="",$R1437="T"),"",IF($R1437="B",$Q1437,IF($Q1437+1&gt;$K$3,"",$Q1437+1)))</f>
        <v/>
      </c>
      <c r="R1438">
        <f>IF(OR($R1437="",$R1437="T"),"",IF($R1437="B","S",IF($Q1437+1&gt;$K$3,"T",IF(INDEX($M$4:$M$2003,MATCH($Q1437+1,$P$4:$P$2003,0))&lt;&gt;INDEX($M$4:$M$2003,MATCH($Q1437,$P$4:$P$2003,0)),"B","S"))))</f>
        <v/>
      </c>
      <c r="S1438">
        <f>IF(Q1438="","",IFERROR(MATCH(Q1438,$P$4:$P$2003,0),""))</f>
        <v/>
      </c>
    </row>
    <row r="1439">
      <c r="A1439" s="4">
        <f>IF($R1439="","",IF($R1439="T","Gesamtergebnis",IF($R1439="B",INDEX($M$4:$M$2003,$S1439),INDEX($L$4:$L$2003,$S1439))))</f>
        <v/>
      </c>
      <c r="B1439" s="4">
        <f>IF($R1439="","",IF($R1439="T",$K$3,IF($R1439="B",COUNTIFS($M$4:$M$2003,INDEX($M$4:$M$2003,$S1439),$N$4:$N$2003,1),1)))</f>
        <v/>
      </c>
      <c r="L1439">
        <f>IF($K$1="","",IFERROR(INDEX(Lines!$A:$AA,ROW()-2,$K$1),""))</f>
        <v/>
      </c>
      <c r="M1439">
        <f>IF($K$2="","",IFERROR(INDEX(Lines!$A:$AA,ROW()-2,$K$2),""))</f>
        <v/>
      </c>
      <c r="N1439">
        <f>IF(AND(L1439&lt;&gt;"",LEFT(L1439,1)="N",M1439&lt;&gt;"PICKING",M1439&lt;&gt;""),1,0)</f>
        <v/>
      </c>
      <c r="O1439">
        <f>IF(N1439=1,M1439&amp;"|"&amp;L1439,REPT("z",40))</f>
        <v/>
      </c>
      <c r="P1439">
        <f>IF(N1439=1,COUNTIF($O$4:$O$2003,"&lt;"&amp;O1439)+1,"")</f>
        <v/>
      </c>
      <c r="Q1439">
        <f>IF(OR($R1438="",$R1438="T"),"",IF($R1438="B",$Q1438,IF($Q1438+1&gt;$K$3,"",$Q1438+1)))</f>
        <v/>
      </c>
      <c r="R1439">
        <f>IF(OR($R1438="",$R1438="T"),"",IF($R1438="B","S",IF($Q1438+1&gt;$K$3,"T",IF(INDEX($M$4:$M$2003,MATCH($Q1438+1,$P$4:$P$2003,0))&lt;&gt;INDEX($M$4:$M$2003,MATCH($Q1438,$P$4:$P$2003,0)),"B","S"))))</f>
        <v/>
      </c>
      <c r="S1439">
        <f>IF(Q1439="","",IFERROR(MATCH(Q1439,$P$4:$P$2003,0),""))</f>
        <v/>
      </c>
    </row>
    <row r="1440">
      <c r="A1440" s="4">
        <f>IF($R1440="","",IF($R1440="T","Gesamtergebnis",IF($R1440="B",INDEX($M$4:$M$2003,$S1440),INDEX($L$4:$L$2003,$S1440))))</f>
        <v/>
      </c>
      <c r="B1440" s="4">
        <f>IF($R1440="","",IF($R1440="T",$K$3,IF($R1440="B",COUNTIFS($M$4:$M$2003,INDEX($M$4:$M$2003,$S1440),$N$4:$N$2003,1),1)))</f>
        <v/>
      </c>
      <c r="L1440">
        <f>IF($K$1="","",IFERROR(INDEX(Lines!$A:$AA,ROW()-2,$K$1),""))</f>
        <v/>
      </c>
      <c r="M1440">
        <f>IF($K$2="","",IFERROR(INDEX(Lines!$A:$AA,ROW()-2,$K$2),""))</f>
        <v/>
      </c>
      <c r="N1440">
        <f>IF(AND(L1440&lt;&gt;"",LEFT(L1440,1)="N",M1440&lt;&gt;"PICKING",M1440&lt;&gt;""),1,0)</f>
        <v/>
      </c>
      <c r="O1440">
        <f>IF(N1440=1,M1440&amp;"|"&amp;L1440,REPT("z",40))</f>
        <v/>
      </c>
      <c r="P1440">
        <f>IF(N1440=1,COUNTIF($O$4:$O$2003,"&lt;"&amp;O1440)+1,"")</f>
        <v/>
      </c>
      <c r="Q1440">
        <f>IF(OR($R1439="",$R1439="T"),"",IF($R1439="B",$Q1439,IF($Q1439+1&gt;$K$3,"",$Q1439+1)))</f>
        <v/>
      </c>
      <c r="R1440">
        <f>IF(OR($R1439="",$R1439="T"),"",IF($R1439="B","S",IF($Q1439+1&gt;$K$3,"T",IF(INDEX($M$4:$M$2003,MATCH($Q1439+1,$P$4:$P$2003,0))&lt;&gt;INDEX($M$4:$M$2003,MATCH($Q1439,$P$4:$P$2003,0)),"B","S"))))</f>
        <v/>
      </c>
      <c r="S1440">
        <f>IF(Q1440="","",IFERROR(MATCH(Q1440,$P$4:$P$2003,0),""))</f>
        <v/>
      </c>
    </row>
    <row r="1441">
      <c r="A1441" s="4">
        <f>IF($R1441="","",IF($R1441="T","Gesamtergebnis",IF($R1441="B",INDEX($M$4:$M$2003,$S1441),INDEX($L$4:$L$2003,$S1441))))</f>
        <v/>
      </c>
      <c r="B1441" s="4">
        <f>IF($R1441="","",IF($R1441="T",$K$3,IF($R1441="B",COUNTIFS($M$4:$M$2003,INDEX($M$4:$M$2003,$S1441),$N$4:$N$2003,1),1)))</f>
        <v/>
      </c>
      <c r="L1441">
        <f>IF($K$1="","",IFERROR(INDEX(Lines!$A:$AA,ROW()-2,$K$1),""))</f>
        <v/>
      </c>
      <c r="M1441">
        <f>IF($K$2="","",IFERROR(INDEX(Lines!$A:$AA,ROW()-2,$K$2),""))</f>
        <v/>
      </c>
      <c r="N1441">
        <f>IF(AND(L1441&lt;&gt;"",LEFT(L1441,1)="N",M1441&lt;&gt;"PICKING",M1441&lt;&gt;""),1,0)</f>
        <v/>
      </c>
      <c r="O1441">
        <f>IF(N1441=1,M1441&amp;"|"&amp;L1441,REPT("z",40))</f>
        <v/>
      </c>
      <c r="P1441">
        <f>IF(N1441=1,COUNTIF($O$4:$O$2003,"&lt;"&amp;O1441)+1,"")</f>
        <v/>
      </c>
      <c r="Q1441">
        <f>IF(OR($R1440="",$R1440="T"),"",IF($R1440="B",$Q1440,IF($Q1440+1&gt;$K$3,"",$Q1440+1)))</f>
        <v/>
      </c>
      <c r="R1441">
        <f>IF(OR($R1440="",$R1440="T"),"",IF($R1440="B","S",IF($Q1440+1&gt;$K$3,"T",IF(INDEX($M$4:$M$2003,MATCH($Q1440+1,$P$4:$P$2003,0))&lt;&gt;INDEX($M$4:$M$2003,MATCH($Q1440,$P$4:$P$2003,0)),"B","S"))))</f>
        <v/>
      </c>
      <c r="S1441">
        <f>IF(Q1441="","",IFERROR(MATCH(Q1441,$P$4:$P$2003,0),""))</f>
        <v/>
      </c>
    </row>
    <row r="1442">
      <c r="A1442" s="4">
        <f>IF($R1442="","",IF($R1442="T","Gesamtergebnis",IF($R1442="B",INDEX($M$4:$M$2003,$S1442),INDEX($L$4:$L$2003,$S1442))))</f>
        <v/>
      </c>
      <c r="B1442" s="4">
        <f>IF($R1442="","",IF($R1442="T",$K$3,IF($R1442="B",COUNTIFS($M$4:$M$2003,INDEX($M$4:$M$2003,$S1442),$N$4:$N$2003,1),1)))</f>
        <v/>
      </c>
      <c r="L1442">
        <f>IF($K$1="","",IFERROR(INDEX(Lines!$A:$AA,ROW()-2,$K$1),""))</f>
        <v/>
      </c>
      <c r="M1442">
        <f>IF($K$2="","",IFERROR(INDEX(Lines!$A:$AA,ROW()-2,$K$2),""))</f>
        <v/>
      </c>
      <c r="N1442">
        <f>IF(AND(L1442&lt;&gt;"",LEFT(L1442,1)="N",M1442&lt;&gt;"PICKING",M1442&lt;&gt;""),1,0)</f>
        <v/>
      </c>
      <c r="O1442">
        <f>IF(N1442=1,M1442&amp;"|"&amp;L1442,REPT("z",40))</f>
        <v/>
      </c>
      <c r="P1442">
        <f>IF(N1442=1,COUNTIF($O$4:$O$2003,"&lt;"&amp;O1442)+1,"")</f>
        <v/>
      </c>
      <c r="Q1442">
        <f>IF(OR($R1441="",$R1441="T"),"",IF($R1441="B",$Q1441,IF($Q1441+1&gt;$K$3,"",$Q1441+1)))</f>
        <v/>
      </c>
      <c r="R1442">
        <f>IF(OR($R1441="",$R1441="T"),"",IF($R1441="B","S",IF($Q1441+1&gt;$K$3,"T",IF(INDEX($M$4:$M$2003,MATCH($Q1441+1,$P$4:$P$2003,0))&lt;&gt;INDEX($M$4:$M$2003,MATCH($Q1441,$P$4:$P$2003,0)),"B","S"))))</f>
        <v/>
      </c>
      <c r="S1442">
        <f>IF(Q1442="","",IFERROR(MATCH(Q1442,$P$4:$P$2003,0),""))</f>
        <v/>
      </c>
    </row>
    <row r="1443">
      <c r="A1443" s="4">
        <f>IF($R1443="","",IF($R1443="T","Gesamtergebnis",IF($R1443="B",INDEX($M$4:$M$2003,$S1443),INDEX($L$4:$L$2003,$S1443))))</f>
        <v/>
      </c>
      <c r="B1443" s="4">
        <f>IF($R1443="","",IF($R1443="T",$K$3,IF($R1443="B",COUNTIFS($M$4:$M$2003,INDEX($M$4:$M$2003,$S1443),$N$4:$N$2003,1),1)))</f>
        <v/>
      </c>
      <c r="L1443">
        <f>IF($K$1="","",IFERROR(INDEX(Lines!$A:$AA,ROW()-2,$K$1),""))</f>
        <v/>
      </c>
      <c r="M1443">
        <f>IF($K$2="","",IFERROR(INDEX(Lines!$A:$AA,ROW()-2,$K$2),""))</f>
        <v/>
      </c>
      <c r="N1443">
        <f>IF(AND(L1443&lt;&gt;"",LEFT(L1443,1)="N",M1443&lt;&gt;"PICKING",M1443&lt;&gt;""),1,0)</f>
        <v/>
      </c>
      <c r="O1443">
        <f>IF(N1443=1,M1443&amp;"|"&amp;L1443,REPT("z",40))</f>
        <v/>
      </c>
      <c r="P1443">
        <f>IF(N1443=1,COUNTIF($O$4:$O$2003,"&lt;"&amp;O1443)+1,"")</f>
        <v/>
      </c>
      <c r="Q1443">
        <f>IF(OR($R1442="",$R1442="T"),"",IF($R1442="B",$Q1442,IF($Q1442+1&gt;$K$3,"",$Q1442+1)))</f>
        <v/>
      </c>
      <c r="R1443">
        <f>IF(OR($R1442="",$R1442="T"),"",IF($R1442="B","S",IF($Q1442+1&gt;$K$3,"T",IF(INDEX($M$4:$M$2003,MATCH($Q1442+1,$P$4:$P$2003,0))&lt;&gt;INDEX($M$4:$M$2003,MATCH($Q1442,$P$4:$P$2003,0)),"B","S"))))</f>
        <v/>
      </c>
      <c r="S1443">
        <f>IF(Q1443="","",IFERROR(MATCH(Q1443,$P$4:$P$2003,0),""))</f>
        <v/>
      </c>
    </row>
    <row r="1444">
      <c r="A1444" s="4">
        <f>IF($R1444="","",IF($R1444="T","Gesamtergebnis",IF($R1444="B",INDEX($M$4:$M$2003,$S1444),INDEX($L$4:$L$2003,$S1444))))</f>
        <v/>
      </c>
      <c r="B1444" s="4">
        <f>IF($R1444="","",IF($R1444="T",$K$3,IF($R1444="B",COUNTIFS($M$4:$M$2003,INDEX($M$4:$M$2003,$S1444),$N$4:$N$2003,1),1)))</f>
        <v/>
      </c>
      <c r="L1444">
        <f>IF($K$1="","",IFERROR(INDEX(Lines!$A:$AA,ROW()-2,$K$1),""))</f>
        <v/>
      </c>
      <c r="M1444">
        <f>IF($K$2="","",IFERROR(INDEX(Lines!$A:$AA,ROW()-2,$K$2),""))</f>
        <v/>
      </c>
      <c r="N1444">
        <f>IF(AND(L1444&lt;&gt;"",LEFT(L1444,1)="N",M1444&lt;&gt;"PICKING",M1444&lt;&gt;""),1,0)</f>
        <v/>
      </c>
      <c r="O1444">
        <f>IF(N1444=1,M1444&amp;"|"&amp;L1444,REPT("z",40))</f>
        <v/>
      </c>
      <c r="P1444">
        <f>IF(N1444=1,COUNTIF($O$4:$O$2003,"&lt;"&amp;O1444)+1,"")</f>
        <v/>
      </c>
      <c r="Q1444">
        <f>IF(OR($R1443="",$R1443="T"),"",IF($R1443="B",$Q1443,IF($Q1443+1&gt;$K$3,"",$Q1443+1)))</f>
        <v/>
      </c>
      <c r="R1444">
        <f>IF(OR($R1443="",$R1443="T"),"",IF($R1443="B","S",IF($Q1443+1&gt;$K$3,"T",IF(INDEX($M$4:$M$2003,MATCH($Q1443+1,$P$4:$P$2003,0))&lt;&gt;INDEX($M$4:$M$2003,MATCH($Q1443,$P$4:$P$2003,0)),"B","S"))))</f>
        <v/>
      </c>
      <c r="S1444">
        <f>IF(Q1444="","",IFERROR(MATCH(Q1444,$P$4:$P$2003,0),""))</f>
        <v/>
      </c>
    </row>
    <row r="1445">
      <c r="A1445" s="4">
        <f>IF($R1445="","",IF($R1445="T","Gesamtergebnis",IF($R1445="B",INDEX($M$4:$M$2003,$S1445),INDEX($L$4:$L$2003,$S1445))))</f>
        <v/>
      </c>
      <c r="B1445" s="4">
        <f>IF($R1445="","",IF($R1445="T",$K$3,IF($R1445="B",COUNTIFS($M$4:$M$2003,INDEX($M$4:$M$2003,$S1445),$N$4:$N$2003,1),1)))</f>
        <v/>
      </c>
      <c r="L1445">
        <f>IF($K$1="","",IFERROR(INDEX(Lines!$A:$AA,ROW()-2,$K$1),""))</f>
        <v/>
      </c>
      <c r="M1445">
        <f>IF($K$2="","",IFERROR(INDEX(Lines!$A:$AA,ROW()-2,$K$2),""))</f>
        <v/>
      </c>
      <c r="N1445">
        <f>IF(AND(L1445&lt;&gt;"",LEFT(L1445,1)="N",M1445&lt;&gt;"PICKING",M1445&lt;&gt;""),1,0)</f>
        <v/>
      </c>
      <c r="O1445">
        <f>IF(N1445=1,M1445&amp;"|"&amp;L1445,REPT("z",40))</f>
        <v/>
      </c>
      <c r="P1445">
        <f>IF(N1445=1,COUNTIF($O$4:$O$2003,"&lt;"&amp;O1445)+1,"")</f>
        <v/>
      </c>
      <c r="Q1445">
        <f>IF(OR($R1444="",$R1444="T"),"",IF($R1444="B",$Q1444,IF($Q1444+1&gt;$K$3,"",$Q1444+1)))</f>
        <v/>
      </c>
      <c r="R1445">
        <f>IF(OR($R1444="",$R1444="T"),"",IF($R1444="B","S",IF($Q1444+1&gt;$K$3,"T",IF(INDEX($M$4:$M$2003,MATCH($Q1444+1,$P$4:$P$2003,0))&lt;&gt;INDEX($M$4:$M$2003,MATCH($Q1444,$P$4:$P$2003,0)),"B","S"))))</f>
        <v/>
      </c>
      <c r="S1445">
        <f>IF(Q1445="","",IFERROR(MATCH(Q1445,$P$4:$P$2003,0),""))</f>
        <v/>
      </c>
    </row>
    <row r="1446">
      <c r="A1446" s="4">
        <f>IF($R1446="","",IF($R1446="T","Gesamtergebnis",IF($R1446="B",INDEX($M$4:$M$2003,$S1446),INDEX($L$4:$L$2003,$S1446))))</f>
        <v/>
      </c>
      <c r="B1446" s="4">
        <f>IF($R1446="","",IF($R1446="T",$K$3,IF($R1446="B",COUNTIFS($M$4:$M$2003,INDEX($M$4:$M$2003,$S1446),$N$4:$N$2003,1),1)))</f>
        <v/>
      </c>
      <c r="L1446">
        <f>IF($K$1="","",IFERROR(INDEX(Lines!$A:$AA,ROW()-2,$K$1),""))</f>
        <v/>
      </c>
      <c r="M1446">
        <f>IF($K$2="","",IFERROR(INDEX(Lines!$A:$AA,ROW()-2,$K$2),""))</f>
        <v/>
      </c>
      <c r="N1446">
        <f>IF(AND(L1446&lt;&gt;"",LEFT(L1446,1)="N",M1446&lt;&gt;"PICKING",M1446&lt;&gt;""),1,0)</f>
        <v/>
      </c>
      <c r="O1446">
        <f>IF(N1446=1,M1446&amp;"|"&amp;L1446,REPT("z",40))</f>
        <v/>
      </c>
      <c r="P1446">
        <f>IF(N1446=1,COUNTIF($O$4:$O$2003,"&lt;"&amp;O1446)+1,"")</f>
        <v/>
      </c>
      <c r="Q1446">
        <f>IF(OR($R1445="",$R1445="T"),"",IF($R1445="B",$Q1445,IF($Q1445+1&gt;$K$3,"",$Q1445+1)))</f>
        <v/>
      </c>
      <c r="R1446">
        <f>IF(OR($R1445="",$R1445="T"),"",IF($R1445="B","S",IF($Q1445+1&gt;$K$3,"T",IF(INDEX($M$4:$M$2003,MATCH($Q1445+1,$P$4:$P$2003,0))&lt;&gt;INDEX($M$4:$M$2003,MATCH($Q1445,$P$4:$P$2003,0)),"B","S"))))</f>
        <v/>
      </c>
      <c r="S1446">
        <f>IF(Q1446="","",IFERROR(MATCH(Q1446,$P$4:$P$2003,0),""))</f>
        <v/>
      </c>
    </row>
    <row r="1447">
      <c r="A1447" s="4">
        <f>IF($R1447="","",IF($R1447="T","Gesamtergebnis",IF($R1447="B",INDEX($M$4:$M$2003,$S1447),INDEX($L$4:$L$2003,$S1447))))</f>
        <v/>
      </c>
      <c r="B1447" s="4">
        <f>IF($R1447="","",IF($R1447="T",$K$3,IF($R1447="B",COUNTIFS($M$4:$M$2003,INDEX($M$4:$M$2003,$S1447),$N$4:$N$2003,1),1)))</f>
        <v/>
      </c>
      <c r="L1447">
        <f>IF($K$1="","",IFERROR(INDEX(Lines!$A:$AA,ROW()-2,$K$1),""))</f>
        <v/>
      </c>
      <c r="M1447">
        <f>IF($K$2="","",IFERROR(INDEX(Lines!$A:$AA,ROW()-2,$K$2),""))</f>
        <v/>
      </c>
      <c r="N1447">
        <f>IF(AND(L1447&lt;&gt;"",LEFT(L1447,1)="N",M1447&lt;&gt;"PICKING",M1447&lt;&gt;""),1,0)</f>
        <v/>
      </c>
      <c r="O1447">
        <f>IF(N1447=1,M1447&amp;"|"&amp;L1447,REPT("z",40))</f>
        <v/>
      </c>
      <c r="P1447">
        <f>IF(N1447=1,COUNTIF($O$4:$O$2003,"&lt;"&amp;O1447)+1,"")</f>
        <v/>
      </c>
      <c r="Q1447">
        <f>IF(OR($R1446="",$R1446="T"),"",IF($R1446="B",$Q1446,IF($Q1446+1&gt;$K$3,"",$Q1446+1)))</f>
        <v/>
      </c>
      <c r="R1447">
        <f>IF(OR($R1446="",$R1446="T"),"",IF($R1446="B","S",IF($Q1446+1&gt;$K$3,"T",IF(INDEX($M$4:$M$2003,MATCH($Q1446+1,$P$4:$P$2003,0))&lt;&gt;INDEX($M$4:$M$2003,MATCH($Q1446,$P$4:$P$2003,0)),"B","S"))))</f>
        <v/>
      </c>
      <c r="S1447">
        <f>IF(Q1447="","",IFERROR(MATCH(Q1447,$P$4:$P$2003,0),""))</f>
        <v/>
      </c>
    </row>
    <row r="1448">
      <c r="A1448" s="4">
        <f>IF($R1448="","",IF($R1448="T","Gesamtergebnis",IF($R1448="B",INDEX($M$4:$M$2003,$S1448),INDEX($L$4:$L$2003,$S1448))))</f>
        <v/>
      </c>
      <c r="B1448" s="4">
        <f>IF($R1448="","",IF($R1448="T",$K$3,IF($R1448="B",COUNTIFS($M$4:$M$2003,INDEX($M$4:$M$2003,$S1448),$N$4:$N$2003,1),1)))</f>
        <v/>
      </c>
      <c r="L1448">
        <f>IF($K$1="","",IFERROR(INDEX(Lines!$A:$AA,ROW()-2,$K$1),""))</f>
        <v/>
      </c>
      <c r="M1448">
        <f>IF($K$2="","",IFERROR(INDEX(Lines!$A:$AA,ROW()-2,$K$2),""))</f>
        <v/>
      </c>
      <c r="N1448">
        <f>IF(AND(L1448&lt;&gt;"",LEFT(L1448,1)="N",M1448&lt;&gt;"PICKING",M1448&lt;&gt;""),1,0)</f>
        <v/>
      </c>
      <c r="O1448">
        <f>IF(N1448=1,M1448&amp;"|"&amp;L1448,REPT("z",40))</f>
        <v/>
      </c>
      <c r="P1448">
        <f>IF(N1448=1,COUNTIF($O$4:$O$2003,"&lt;"&amp;O1448)+1,"")</f>
        <v/>
      </c>
      <c r="Q1448">
        <f>IF(OR($R1447="",$R1447="T"),"",IF($R1447="B",$Q1447,IF($Q1447+1&gt;$K$3,"",$Q1447+1)))</f>
        <v/>
      </c>
      <c r="R1448">
        <f>IF(OR($R1447="",$R1447="T"),"",IF($R1447="B","S",IF($Q1447+1&gt;$K$3,"T",IF(INDEX($M$4:$M$2003,MATCH($Q1447+1,$P$4:$P$2003,0))&lt;&gt;INDEX($M$4:$M$2003,MATCH($Q1447,$P$4:$P$2003,0)),"B","S"))))</f>
        <v/>
      </c>
      <c r="S1448">
        <f>IF(Q1448="","",IFERROR(MATCH(Q1448,$P$4:$P$2003,0),""))</f>
        <v/>
      </c>
    </row>
    <row r="1449">
      <c r="A1449" s="4">
        <f>IF($R1449="","",IF($R1449="T","Gesamtergebnis",IF($R1449="B",INDEX($M$4:$M$2003,$S1449),INDEX($L$4:$L$2003,$S1449))))</f>
        <v/>
      </c>
      <c r="B1449" s="4">
        <f>IF($R1449="","",IF($R1449="T",$K$3,IF($R1449="B",COUNTIFS($M$4:$M$2003,INDEX($M$4:$M$2003,$S1449),$N$4:$N$2003,1),1)))</f>
        <v/>
      </c>
      <c r="L1449">
        <f>IF($K$1="","",IFERROR(INDEX(Lines!$A:$AA,ROW()-2,$K$1),""))</f>
        <v/>
      </c>
      <c r="M1449">
        <f>IF($K$2="","",IFERROR(INDEX(Lines!$A:$AA,ROW()-2,$K$2),""))</f>
        <v/>
      </c>
      <c r="N1449">
        <f>IF(AND(L1449&lt;&gt;"",LEFT(L1449,1)="N",M1449&lt;&gt;"PICKING",M1449&lt;&gt;""),1,0)</f>
        <v/>
      </c>
      <c r="O1449">
        <f>IF(N1449=1,M1449&amp;"|"&amp;L1449,REPT("z",40))</f>
        <v/>
      </c>
      <c r="P1449">
        <f>IF(N1449=1,COUNTIF($O$4:$O$2003,"&lt;"&amp;O1449)+1,"")</f>
        <v/>
      </c>
      <c r="Q1449">
        <f>IF(OR($R1448="",$R1448="T"),"",IF($R1448="B",$Q1448,IF($Q1448+1&gt;$K$3,"",$Q1448+1)))</f>
        <v/>
      </c>
      <c r="R1449">
        <f>IF(OR($R1448="",$R1448="T"),"",IF($R1448="B","S",IF($Q1448+1&gt;$K$3,"T",IF(INDEX($M$4:$M$2003,MATCH($Q1448+1,$P$4:$P$2003,0))&lt;&gt;INDEX($M$4:$M$2003,MATCH($Q1448,$P$4:$P$2003,0)),"B","S"))))</f>
        <v/>
      </c>
      <c r="S1449">
        <f>IF(Q1449="","",IFERROR(MATCH(Q1449,$P$4:$P$2003,0),""))</f>
        <v/>
      </c>
    </row>
    <row r="1450">
      <c r="A1450" s="4">
        <f>IF($R1450="","",IF($R1450="T","Gesamtergebnis",IF($R1450="B",INDEX($M$4:$M$2003,$S1450),INDEX($L$4:$L$2003,$S1450))))</f>
        <v/>
      </c>
      <c r="B1450" s="4">
        <f>IF($R1450="","",IF($R1450="T",$K$3,IF($R1450="B",COUNTIFS($M$4:$M$2003,INDEX($M$4:$M$2003,$S1450),$N$4:$N$2003,1),1)))</f>
        <v/>
      </c>
      <c r="L1450">
        <f>IF($K$1="","",IFERROR(INDEX(Lines!$A:$AA,ROW()-2,$K$1),""))</f>
        <v/>
      </c>
      <c r="M1450">
        <f>IF($K$2="","",IFERROR(INDEX(Lines!$A:$AA,ROW()-2,$K$2),""))</f>
        <v/>
      </c>
      <c r="N1450">
        <f>IF(AND(L1450&lt;&gt;"",LEFT(L1450,1)="N",M1450&lt;&gt;"PICKING",M1450&lt;&gt;""),1,0)</f>
        <v/>
      </c>
      <c r="O1450">
        <f>IF(N1450=1,M1450&amp;"|"&amp;L1450,REPT("z",40))</f>
        <v/>
      </c>
      <c r="P1450">
        <f>IF(N1450=1,COUNTIF($O$4:$O$2003,"&lt;"&amp;O1450)+1,"")</f>
        <v/>
      </c>
      <c r="Q1450">
        <f>IF(OR($R1449="",$R1449="T"),"",IF($R1449="B",$Q1449,IF($Q1449+1&gt;$K$3,"",$Q1449+1)))</f>
        <v/>
      </c>
      <c r="R1450">
        <f>IF(OR($R1449="",$R1449="T"),"",IF($R1449="B","S",IF($Q1449+1&gt;$K$3,"T",IF(INDEX($M$4:$M$2003,MATCH($Q1449+1,$P$4:$P$2003,0))&lt;&gt;INDEX($M$4:$M$2003,MATCH($Q1449,$P$4:$P$2003,0)),"B","S"))))</f>
        <v/>
      </c>
      <c r="S1450">
        <f>IF(Q1450="","",IFERROR(MATCH(Q1450,$P$4:$P$2003,0),""))</f>
        <v/>
      </c>
    </row>
    <row r="1451">
      <c r="A1451" s="4">
        <f>IF($R1451="","",IF($R1451="T","Gesamtergebnis",IF($R1451="B",INDEX($M$4:$M$2003,$S1451),INDEX($L$4:$L$2003,$S1451))))</f>
        <v/>
      </c>
      <c r="B1451" s="4">
        <f>IF($R1451="","",IF($R1451="T",$K$3,IF($R1451="B",COUNTIFS($M$4:$M$2003,INDEX($M$4:$M$2003,$S1451),$N$4:$N$2003,1),1)))</f>
        <v/>
      </c>
      <c r="L1451">
        <f>IF($K$1="","",IFERROR(INDEX(Lines!$A:$AA,ROW()-2,$K$1),""))</f>
        <v/>
      </c>
      <c r="M1451">
        <f>IF($K$2="","",IFERROR(INDEX(Lines!$A:$AA,ROW()-2,$K$2),""))</f>
        <v/>
      </c>
      <c r="N1451">
        <f>IF(AND(L1451&lt;&gt;"",LEFT(L1451,1)="N",M1451&lt;&gt;"PICKING",M1451&lt;&gt;""),1,0)</f>
        <v/>
      </c>
      <c r="O1451">
        <f>IF(N1451=1,M1451&amp;"|"&amp;L1451,REPT("z",40))</f>
        <v/>
      </c>
      <c r="P1451">
        <f>IF(N1451=1,COUNTIF($O$4:$O$2003,"&lt;"&amp;O1451)+1,"")</f>
        <v/>
      </c>
      <c r="Q1451">
        <f>IF(OR($R1450="",$R1450="T"),"",IF($R1450="B",$Q1450,IF($Q1450+1&gt;$K$3,"",$Q1450+1)))</f>
        <v/>
      </c>
      <c r="R1451">
        <f>IF(OR($R1450="",$R1450="T"),"",IF($R1450="B","S",IF($Q1450+1&gt;$K$3,"T",IF(INDEX($M$4:$M$2003,MATCH($Q1450+1,$P$4:$P$2003,0))&lt;&gt;INDEX($M$4:$M$2003,MATCH($Q1450,$P$4:$P$2003,0)),"B","S"))))</f>
        <v/>
      </c>
      <c r="S1451">
        <f>IF(Q1451="","",IFERROR(MATCH(Q1451,$P$4:$P$2003,0),""))</f>
        <v/>
      </c>
    </row>
    <row r="1452">
      <c r="A1452" s="4">
        <f>IF($R1452="","",IF($R1452="T","Gesamtergebnis",IF($R1452="B",INDEX($M$4:$M$2003,$S1452),INDEX($L$4:$L$2003,$S1452))))</f>
        <v/>
      </c>
      <c r="B1452" s="4">
        <f>IF($R1452="","",IF($R1452="T",$K$3,IF($R1452="B",COUNTIFS($M$4:$M$2003,INDEX($M$4:$M$2003,$S1452),$N$4:$N$2003,1),1)))</f>
        <v/>
      </c>
      <c r="L1452">
        <f>IF($K$1="","",IFERROR(INDEX(Lines!$A:$AA,ROW()-2,$K$1),""))</f>
        <v/>
      </c>
      <c r="M1452">
        <f>IF($K$2="","",IFERROR(INDEX(Lines!$A:$AA,ROW()-2,$K$2),""))</f>
        <v/>
      </c>
      <c r="N1452">
        <f>IF(AND(L1452&lt;&gt;"",LEFT(L1452,1)="N",M1452&lt;&gt;"PICKING",M1452&lt;&gt;""),1,0)</f>
        <v/>
      </c>
      <c r="O1452">
        <f>IF(N1452=1,M1452&amp;"|"&amp;L1452,REPT("z",40))</f>
        <v/>
      </c>
      <c r="P1452">
        <f>IF(N1452=1,COUNTIF($O$4:$O$2003,"&lt;"&amp;O1452)+1,"")</f>
        <v/>
      </c>
      <c r="Q1452">
        <f>IF(OR($R1451="",$R1451="T"),"",IF($R1451="B",$Q1451,IF($Q1451+1&gt;$K$3,"",$Q1451+1)))</f>
        <v/>
      </c>
      <c r="R1452">
        <f>IF(OR($R1451="",$R1451="T"),"",IF($R1451="B","S",IF($Q1451+1&gt;$K$3,"T",IF(INDEX($M$4:$M$2003,MATCH($Q1451+1,$P$4:$P$2003,0))&lt;&gt;INDEX($M$4:$M$2003,MATCH($Q1451,$P$4:$P$2003,0)),"B","S"))))</f>
        <v/>
      </c>
      <c r="S1452">
        <f>IF(Q1452="","",IFERROR(MATCH(Q1452,$P$4:$P$2003,0),""))</f>
        <v/>
      </c>
    </row>
    <row r="1453">
      <c r="A1453" s="4">
        <f>IF($R1453="","",IF($R1453="T","Gesamtergebnis",IF($R1453="B",INDEX($M$4:$M$2003,$S1453),INDEX($L$4:$L$2003,$S1453))))</f>
        <v/>
      </c>
      <c r="B1453" s="4">
        <f>IF($R1453="","",IF($R1453="T",$K$3,IF($R1453="B",COUNTIFS($M$4:$M$2003,INDEX($M$4:$M$2003,$S1453),$N$4:$N$2003,1),1)))</f>
        <v/>
      </c>
      <c r="L1453">
        <f>IF($K$1="","",IFERROR(INDEX(Lines!$A:$AA,ROW()-2,$K$1),""))</f>
        <v/>
      </c>
      <c r="M1453">
        <f>IF($K$2="","",IFERROR(INDEX(Lines!$A:$AA,ROW()-2,$K$2),""))</f>
        <v/>
      </c>
      <c r="N1453">
        <f>IF(AND(L1453&lt;&gt;"",LEFT(L1453,1)="N",M1453&lt;&gt;"PICKING",M1453&lt;&gt;""),1,0)</f>
        <v/>
      </c>
      <c r="O1453">
        <f>IF(N1453=1,M1453&amp;"|"&amp;L1453,REPT("z",40))</f>
        <v/>
      </c>
      <c r="P1453">
        <f>IF(N1453=1,COUNTIF($O$4:$O$2003,"&lt;"&amp;O1453)+1,"")</f>
        <v/>
      </c>
      <c r="Q1453">
        <f>IF(OR($R1452="",$R1452="T"),"",IF($R1452="B",$Q1452,IF($Q1452+1&gt;$K$3,"",$Q1452+1)))</f>
        <v/>
      </c>
      <c r="R1453">
        <f>IF(OR($R1452="",$R1452="T"),"",IF($R1452="B","S",IF($Q1452+1&gt;$K$3,"T",IF(INDEX($M$4:$M$2003,MATCH($Q1452+1,$P$4:$P$2003,0))&lt;&gt;INDEX($M$4:$M$2003,MATCH($Q1452,$P$4:$P$2003,0)),"B","S"))))</f>
        <v/>
      </c>
      <c r="S1453">
        <f>IF(Q1453="","",IFERROR(MATCH(Q1453,$P$4:$P$2003,0),""))</f>
        <v/>
      </c>
    </row>
    <row r="1454">
      <c r="A1454" s="4">
        <f>IF($R1454="","",IF($R1454="T","Gesamtergebnis",IF($R1454="B",INDEX($M$4:$M$2003,$S1454),INDEX($L$4:$L$2003,$S1454))))</f>
        <v/>
      </c>
      <c r="B1454" s="4">
        <f>IF($R1454="","",IF($R1454="T",$K$3,IF($R1454="B",COUNTIFS($M$4:$M$2003,INDEX($M$4:$M$2003,$S1454),$N$4:$N$2003,1),1)))</f>
        <v/>
      </c>
      <c r="L1454">
        <f>IF($K$1="","",IFERROR(INDEX(Lines!$A:$AA,ROW()-2,$K$1),""))</f>
        <v/>
      </c>
      <c r="M1454">
        <f>IF($K$2="","",IFERROR(INDEX(Lines!$A:$AA,ROW()-2,$K$2),""))</f>
        <v/>
      </c>
      <c r="N1454">
        <f>IF(AND(L1454&lt;&gt;"",LEFT(L1454,1)="N",M1454&lt;&gt;"PICKING",M1454&lt;&gt;""),1,0)</f>
        <v/>
      </c>
      <c r="O1454">
        <f>IF(N1454=1,M1454&amp;"|"&amp;L1454,REPT("z",40))</f>
        <v/>
      </c>
      <c r="P1454">
        <f>IF(N1454=1,COUNTIF($O$4:$O$2003,"&lt;"&amp;O1454)+1,"")</f>
        <v/>
      </c>
      <c r="Q1454">
        <f>IF(OR($R1453="",$R1453="T"),"",IF($R1453="B",$Q1453,IF($Q1453+1&gt;$K$3,"",$Q1453+1)))</f>
        <v/>
      </c>
      <c r="R1454">
        <f>IF(OR($R1453="",$R1453="T"),"",IF($R1453="B","S",IF($Q1453+1&gt;$K$3,"T",IF(INDEX($M$4:$M$2003,MATCH($Q1453+1,$P$4:$P$2003,0))&lt;&gt;INDEX($M$4:$M$2003,MATCH($Q1453,$P$4:$P$2003,0)),"B","S"))))</f>
        <v/>
      </c>
      <c r="S1454">
        <f>IF(Q1454="","",IFERROR(MATCH(Q1454,$P$4:$P$2003,0),""))</f>
        <v/>
      </c>
    </row>
    <row r="1455">
      <c r="A1455" s="4">
        <f>IF($R1455="","",IF($R1455="T","Gesamtergebnis",IF($R1455="B",INDEX($M$4:$M$2003,$S1455),INDEX($L$4:$L$2003,$S1455))))</f>
        <v/>
      </c>
      <c r="B1455" s="4">
        <f>IF($R1455="","",IF($R1455="T",$K$3,IF($R1455="B",COUNTIFS($M$4:$M$2003,INDEX($M$4:$M$2003,$S1455),$N$4:$N$2003,1),1)))</f>
        <v/>
      </c>
      <c r="L1455">
        <f>IF($K$1="","",IFERROR(INDEX(Lines!$A:$AA,ROW()-2,$K$1),""))</f>
        <v/>
      </c>
      <c r="M1455">
        <f>IF($K$2="","",IFERROR(INDEX(Lines!$A:$AA,ROW()-2,$K$2),""))</f>
        <v/>
      </c>
      <c r="N1455">
        <f>IF(AND(L1455&lt;&gt;"",LEFT(L1455,1)="N",M1455&lt;&gt;"PICKING",M1455&lt;&gt;""),1,0)</f>
        <v/>
      </c>
      <c r="O1455">
        <f>IF(N1455=1,M1455&amp;"|"&amp;L1455,REPT("z",40))</f>
        <v/>
      </c>
      <c r="P1455">
        <f>IF(N1455=1,COUNTIF($O$4:$O$2003,"&lt;"&amp;O1455)+1,"")</f>
        <v/>
      </c>
      <c r="Q1455">
        <f>IF(OR($R1454="",$R1454="T"),"",IF($R1454="B",$Q1454,IF($Q1454+1&gt;$K$3,"",$Q1454+1)))</f>
        <v/>
      </c>
      <c r="R1455">
        <f>IF(OR($R1454="",$R1454="T"),"",IF($R1454="B","S",IF($Q1454+1&gt;$K$3,"T",IF(INDEX($M$4:$M$2003,MATCH($Q1454+1,$P$4:$P$2003,0))&lt;&gt;INDEX($M$4:$M$2003,MATCH($Q1454,$P$4:$P$2003,0)),"B","S"))))</f>
        <v/>
      </c>
      <c r="S1455">
        <f>IF(Q1455="","",IFERROR(MATCH(Q1455,$P$4:$P$2003,0),""))</f>
        <v/>
      </c>
    </row>
    <row r="1456">
      <c r="A1456" s="4">
        <f>IF($R1456="","",IF($R1456="T","Gesamtergebnis",IF($R1456="B",INDEX($M$4:$M$2003,$S1456),INDEX($L$4:$L$2003,$S1456))))</f>
        <v/>
      </c>
      <c r="B1456" s="4">
        <f>IF($R1456="","",IF($R1456="T",$K$3,IF($R1456="B",COUNTIFS($M$4:$M$2003,INDEX($M$4:$M$2003,$S1456),$N$4:$N$2003,1),1)))</f>
        <v/>
      </c>
      <c r="L1456">
        <f>IF($K$1="","",IFERROR(INDEX(Lines!$A:$AA,ROW()-2,$K$1),""))</f>
        <v/>
      </c>
      <c r="M1456">
        <f>IF($K$2="","",IFERROR(INDEX(Lines!$A:$AA,ROW()-2,$K$2),""))</f>
        <v/>
      </c>
      <c r="N1456">
        <f>IF(AND(L1456&lt;&gt;"",LEFT(L1456,1)="N",M1456&lt;&gt;"PICKING",M1456&lt;&gt;""),1,0)</f>
        <v/>
      </c>
      <c r="O1456">
        <f>IF(N1456=1,M1456&amp;"|"&amp;L1456,REPT("z",40))</f>
        <v/>
      </c>
      <c r="P1456">
        <f>IF(N1456=1,COUNTIF($O$4:$O$2003,"&lt;"&amp;O1456)+1,"")</f>
        <v/>
      </c>
      <c r="Q1456">
        <f>IF(OR($R1455="",$R1455="T"),"",IF($R1455="B",$Q1455,IF($Q1455+1&gt;$K$3,"",$Q1455+1)))</f>
        <v/>
      </c>
      <c r="R1456">
        <f>IF(OR($R1455="",$R1455="T"),"",IF($R1455="B","S",IF($Q1455+1&gt;$K$3,"T",IF(INDEX($M$4:$M$2003,MATCH($Q1455+1,$P$4:$P$2003,0))&lt;&gt;INDEX($M$4:$M$2003,MATCH($Q1455,$P$4:$P$2003,0)),"B","S"))))</f>
        <v/>
      </c>
      <c r="S1456">
        <f>IF(Q1456="","",IFERROR(MATCH(Q1456,$P$4:$P$2003,0),""))</f>
        <v/>
      </c>
    </row>
    <row r="1457">
      <c r="A1457" s="4">
        <f>IF($R1457="","",IF($R1457="T","Gesamtergebnis",IF($R1457="B",INDEX($M$4:$M$2003,$S1457),INDEX($L$4:$L$2003,$S1457))))</f>
        <v/>
      </c>
      <c r="B1457" s="4">
        <f>IF($R1457="","",IF($R1457="T",$K$3,IF($R1457="B",COUNTIFS($M$4:$M$2003,INDEX($M$4:$M$2003,$S1457),$N$4:$N$2003,1),1)))</f>
        <v/>
      </c>
      <c r="L1457">
        <f>IF($K$1="","",IFERROR(INDEX(Lines!$A:$AA,ROW()-2,$K$1),""))</f>
        <v/>
      </c>
      <c r="M1457">
        <f>IF($K$2="","",IFERROR(INDEX(Lines!$A:$AA,ROW()-2,$K$2),""))</f>
        <v/>
      </c>
      <c r="N1457">
        <f>IF(AND(L1457&lt;&gt;"",LEFT(L1457,1)="N",M1457&lt;&gt;"PICKING",M1457&lt;&gt;""),1,0)</f>
        <v/>
      </c>
      <c r="O1457">
        <f>IF(N1457=1,M1457&amp;"|"&amp;L1457,REPT("z",40))</f>
        <v/>
      </c>
      <c r="P1457">
        <f>IF(N1457=1,COUNTIF($O$4:$O$2003,"&lt;"&amp;O1457)+1,"")</f>
        <v/>
      </c>
      <c r="Q1457">
        <f>IF(OR($R1456="",$R1456="T"),"",IF($R1456="B",$Q1456,IF($Q1456+1&gt;$K$3,"",$Q1456+1)))</f>
        <v/>
      </c>
      <c r="R1457">
        <f>IF(OR($R1456="",$R1456="T"),"",IF($R1456="B","S",IF($Q1456+1&gt;$K$3,"T",IF(INDEX($M$4:$M$2003,MATCH($Q1456+1,$P$4:$P$2003,0))&lt;&gt;INDEX($M$4:$M$2003,MATCH($Q1456,$P$4:$P$2003,0)),"B","S"))))</f>
        <v/>
      </c>
      <c r="S1457">
        <f>IF(Q1457="","",IFERROR(MATCH(Q1457,$P$4:$P$2003,0),""))</f>
        <v/>
      </c>
    </row>
    <row r="1458">
      <c r="A1458" s="4">
        <f>IF($R1458="","",IF($R1458="T","Gesamtergebnis",IF($R1458="B",INDEX($M$4:$M$2003,$S1458),INDEX($L$4:$L$2003,$S1458))))</f>
        <v/>
      </c>
      <c r="B1458" s="4">
        <f>IF($R1458="","",IF($R1458="T",$K$3,IF($R1458="B",COUNTIFS($M$4:$M$2003,INDEX($M$4:$M$2003,$S1458),$N$4:$N$2003,1),1)))</f>
        <v/>
      </c>
      <c r="L1458">
        <f>IF($K$1="","",IFERROR(INDEX(Lines!$A:$AA,ROW()-2,$K$1),""))</f>
        <v/>
      </c>
      <c r="M1458">
        <f>IF($K$2="","",IFERROR(INDEX(Lines!$A:$AA,ROW()-2,$K$2),""))</f>
        <v/>
      </c>
      <c r="N1458">
        <f>IF(AND(L1458&lt;&gt;"",LEFT(L1458,1)="N",M1458&lt;&gt;"PICKING",M1458&lt;&gt;""),1,0)</f>
        <v/>
      </c>
      <c r="O1458">
        <f>IF(N1458=1,M1458&amp;"|"&amp;L1458,REPT("z",40))</f>
        <v/>
      </c>
      <c r="P1458">
        <f>IF(N1458=1,COUNTIF($O$4:$O$2003,"&lt;"&amp;O1458)+1,"")</f>
        <v/>
      </c>
      <c r="Q1458">
        <f>IF(OR($R1457="",$R1457="T"),"",IF($R1457="B",$Q1457,IF($Q1457+1&gt;$K$3,"",$Q1457+1)))</f>
        <v/>
      </c>
      <c r="R1458">
        <f>IF(OR($R1457="",$R1457="T"),"",IF($R1457="B","S",IF($Q1457+1&gt;$K$3,"T",IF(INDEX($M$4:$M$2003,MATCH($Q1457+1,$P$4:$P$2003,0))&lt;&gt;INDEX($M$4:$M$2003,MATCH($Q1457,$P$4:$P$2003,0)),"B","S"))))</f>
        <v/>
      </c>
      <c r="S1458">
        <f>IF(Q1458="","",IFERROR(MATCH(Q1458,$P$4:$P$2003,0),""))</f>
        <v/>
      </c>
    </row>
    <row r="1459">
      <c r="A1459" s="4">
        <f>IF($R1459="","",IF($R1459="T","Gesamtergebnis",IF($R1459="B",INDEX($M$4:$M$2003,$S1459),INDEX($L$4:$L$2003,$S1459))))</f>
        <v/>
      </c>
      <c r="B1459" s="4">
        <f>IF($R1459="","",IF($R1459="T",$K$3,IF($R1459="B",COUNTIFS($M$4:$M$2003,INDEX($M$4:$M$2003,$S1459),$N$4:$N$2003,1),1)))</f>
        <v/>
      </c>
      <c r="L1459">
        <f>IF($K$1="","",IFERROR(INDEX(Lines!$A:$AA,ROW()-2,$K$1),""))</f>
        <v/>
      </c>
      <c r="M1459">
        <f>IF($K$2="","",IFERROR(INDEX(Lines!$A:$AA,ROW()-2,$K$2),""))</f>
        <v/>
      </c>
      <c r="N1459">
        <f>IF(AND(L1459&lt;&gt;"",LEFT(L1459,1)="N",M1459&lt;&gt;"PICKING",M1459&lt;&gt;""),1,0)</f>
        <v/>
      </c>
      <c r="O1459">
        <f>IF(N1459=1,M1459&amp;"|"&amp;L1459,REPT("z",40))</f>
        <v/>
      </c>
      <c r="P1459">
        <f>IF(N1459=1,COUNTIF($O$4:$O$2003,"&lt;"&amp;O1459)+1,"")</f>
        <v/>
      </c>
      <c r="Q1459">
        <f>IF(OR($R1458="",$R1458="T"),"",IF($R1458="B",$Q1458,IF($Q1458+1&gt;$K$3,"",$Q1458+1)))</f>
        <v/>
      </c>
      <c r="R1459">
        <f>IF(OR($R1458="",$R1458="T"),"",IF($R1458="B","S",IF($Q1458+1&gt;$K$3,"T",IF(INDEX($M$4:$M$2003,MATCH($Q1458+1,$P$4:$P$2003,0))&lt;&gt;INDEX($M$4:$M$2003,MATCH($Q1458,$P$4:$P$2003,0)),"B","S"))))</f>
        <v/>
      </c>
      <c r="S1459">
        <f>IF(Q1459="","",IFERROR(MATCH(Q1459,$P$4:$P$2003,0),""))</f>
        <v/>
      </c>
    </row>
    <row r="1460">
      <c r="A1460" s="4">
        <f>IF($R1460="","",IF($R1460="T","Gesamtergebnis",IF($R1460="B",INDEX($M$4:$M$2003,$S1460),INDEX($L$4:$L$2003,$S1460))))</f>
        <v/>
      </c>
      <c r="B1460" s="4">
        <f>IF($R1460="","",IF($R1460="T",$K$3,IF($R1460="B",COUNTIFS($M$4:$M$2003,INDEX($M$4:$M$2003,$S1460),$N$4:$N$2003,1),1)))</f>
        <v/>
      </c>
      <c r="L1460">
        <f>IF($K$1="","",IFERROR(INDEX(Lines!$A:$AA,ROW()-2,$K$1),""))</f>
        <v/>
      </c>
      <c r="M1460">
        <f>IF($K$2="","",IFERROR(INDEX(Lines!$A:$AA,ROW()-2,$K$2),""))</f>
        <v/>
      </c>
      <c r="N1460">
        <f>IF(AND(L1460&lt;&gt;"",LEFT(L1460,1)="N",M1460&lt;&gt;"PICKING",M1460&lt;&gt;""),1,0)</f>
        <v/>
      </c>
      <c r="O1460">
        <f>IF(N1460=1,M1460&amp;"|"&amp;L1460,REPT("z",40))</f>
        <v/>
      </c>
      <c r="P1460">
        <f>IF(N1460=1,COUNTIF($O$4:$O$2003,"&lt;"&amp;O1460)+1,"")</f>
        <v/>
      </c>
      <c r="Q1460">
        <f>IF(OR($R1459="",$R1459="T"),"",IF($R1459="B",$Q1459,IF($Q1459+1&gt;$K$3,"",$Q1459+1)))</f>
        <v/>
      </c>
      <c r="R1460">
        <f>IF(OR($R1459="",$R1459="T"),"",IF($R1459="B","S",IF($Q1459+1&gt;$K$3,"T",IF(INDEX($M$4:$M$2003,MATCH($Q1459+1,$P$4:$P$2003,0))&lt;&gt;INDEX($M$4:$M$2003,MATCH($Q1459,$P$4:$P$2003,0)),"B","S"))))</f>
        <v/>
      </c>
      <c r="S1460">
        <f>IF(Q1460="","",IFERROR(MATCH(Q1460,$P$4:$P$2003,0),""))</f>
        <v/>
      </c>
    </row>
    <row r="1461">
      <c r="A1461" s="4">
        <f>IF($R1461="","",IF($R1461="T","Gesamtergebnis",IF($R1461="B",INDEX($M$4:$M$2003,$S1461),INDEX($L$4:$L$2003,$S1461))))</f>
        <v/>
      </c>
      <c r="B1461" s="4">
        <f>IF($R1461="","",IF($R1461="T",$K$3,IF($R1461="B",COUNTIFS($M$4:$M$2003,INDEX($M$4:$M$2003,$S1461),$N$4:$N$2003,1),1)))</f>
        <v/>
      </c>
      <c r="L1461">
        <f>IF($K$1="","",IFERROR(INDEX(Lines!$A:$AA,ROW()-2,$K$1),""))</f>
        <v/>
      </c>
      <c r="M1461">
        <f>IF($K$2="","",IFERROR(INDEX(Lines!$A:$AA,ROW()-2,$K$2),""))</f>
        <v/>
      </c>
      <c r="N1461">
        <f>IF(AND(L1461&lt;&gt;"",LEFT(L1461,1)="N",M1461&lt;&gt;"PICKING",M1461&lt;&gt;""),1,0)</f>
        <v/>
      </c>
      <c r="O1461">
        <f>IF(N1461=1,M1461&amp;"|"&amp;L1461,REPT("z",40))</f>
        <v/>
      </c>
      <c r="P1461">
        <f>IF(N1461=1,COUNTIF($O$4:$O$2003,"&lt;"&amp;O1461)+1,"")</f>
        <v/>
      </c>
      <c r="Q1461">
        <f>IF(OR($R1460="",$R1460="T"),"",IF($R1460="B",$Q1460,IF($Q1460+1&gt;$K$3,"",$Q1460+1)))</f>
        <v/>
      </c>
      <c r="R1461">
        <f>IF(OR($R1460="",$R1460="T"),"",IF($R1460="B","S",IF($Q1460+1&gt;$K$3,"T",IF(INDEX($M$4:$M$2003,MATCH($Q1460+1,$P$4:$P$2003,0))&lt;&gt;INDEX($M$4:$M$2003,MATCH($Q1460,$P$4:$P$2003,0)),"B","S"))))</f>
        <v/>
      </c>
      <c r="S1461">
        <f>IF(Q1461="","",IFERROR(MATCH(Q1461,$P$4:$P$2003,0),""))</f>
        <v/>
      </c>
    </row>
    <row r="1462">
      <c r="A1462" s="4">
        <f>IF($R1462="","",IF($R1462="T","Gesamtergebnis",IF($R1462="B",INDEX($M$4:$M$2003,$S1462),INDEX($L$4:$L$2003,$S1462))))</f>
        <v/>
      </c>
      <c r="B1462" s="4">
        <f>IF($R1462="","",IF($R1462="T",$K$3,IF($R1462="B",COUNTIFS($M$4:$M$2003,INDEX($M$4:$M$2003,$S1462),$N$4:$N$2003,1),1)))</f>
        <v/>
      </c>
      <c r="L1462">
        <f>IF($K$1="","",IFERROR(INDEX(Lines!$A:$AA,ROW()-2,$K$1),""))</f>
        <v/>
      </c>
      <c r="M1462">
        <f>IF($K$2="","",IFERROR(INDEX(Lines!$A:$AA,ROW()-2,$K$2),""))</f>
        <v/>
      </c>
      <c r="N1462">
        <f>IF(AND(L1462&lt;&gt;"",LEFT(L1462,1)="N",M1462&lt;&gt;"PICKING",M1462&lt;&gt;""),1,0)</f>
        <v/>
      </c>
      <c r="O1462">
        <f>IF(N1462=1,M1462&amp;"|"&amp;L1462,REPT("z",40))</f>
        <v/>
      </c>
      <c r="P1462">
        <f>IF(N1462=1,COUNTIF($O$4:$O$2003,"&lt;"&amp;O1462)+1,"")</f>
        <v/>
      </c>
      <c r="Q1462">
        <f>IF(OR($R1461="",$R1461="T"),"",IF($R1461="B",$Q1461,IF($Q1461+1&gt;$K$3,"",$Q1461+1)))</f>
        <v/>
      </c>
      <c r="R1462">
        <f>IF(OR($R1461="",$R1461="T"),"",IF($R1461="B","S",IF($Q1461+1&gt;$K$3,"T",IF(INDEX($M$4:$M$2003,MATCH($Q1461+1,$P$4:$P$2003,0))&lt;&gt;INDEX($M$4:$M$2003,MATCH($Q1461,$P$4:$P$2003,0)),"B","S"))))</f>
        <v/>
      </c>
      <c r="S1462">
        <f>IF(Q1462="","",IFERROR(MATCH(Q1462,$P$4:$P$2003,0),""))</f>
        <v/>
      </c>
    </row>
    <row r="1463">
      <c r="A1463" s="4">
        <f>IF($R1463="","",IF($R1463="T","Gesamtergebnis",IF($R1463="B",INDEX($M$4:$M$2003,$S1463),INDEX($L$4:$L$2003,$S1463))))</f>
        <v/>
      </c>
      <c r="B1463" s="4">
        <f>IF($R1463="","",IF($R1463="T",$K$3,IF($R1463="B",COUNTIFS($M$4:$M$2003,INDEX($M$4:$M$2003,$S1463),$N$4:$N$2003,1),1)))</f>
        <v/>
      </c>
      <c r="L1463">
        <f>IF($K$1="","",IFERROR(INDEX(Lines!$A:$AA,ROW()-2,$K$1),""))</f>
        <v/>
      </c>
      <c r="M1463">
        <f>IF($K$2="","",IFERROR(INDEX(Lines!$A:$AA,ROW()-2,$K$2),""))</f>
        <v/>
      </c>
      <c r="N1463">
        <f>IF(AND(L1463&lt;&gt;"",LEFT(L1463,1)="N",M1463&lt;&gt;"PICKING",M1463&lt;&gt;""),1,0)</f>
        <v/>
      </c>
      <c r="O1463">
        <f>IF(N1463=1,M1463&amp;"|"&amp;L1463,REPT("z",40))</f>
        <v/>
      </c>
      <c r="P1463">
        <f>IF(N1463=1,COUNTIF($O$4:$O$2003,"&lt;"&amp;O1463)+1,"")</f>
        <v/>
      </c>
      <c r="Q1463">
        <f>IF(OR($R1462="",$R1462="T"),"",IF($R1462="B",$Q1462,IF($Q1462+1&gt;$K$3,"",$Q1462+1)))</f>
        <v/>
      </c>
      <c r="R1463">
        <f>IF(OR($R1462="",$R1462="T"),"",IF($R1462="B","S",IF($Q1462+1&gt;$K$3,"T",IF(INDEX($M$4:$M$2003,MATCH($Q1462+1,$P$4:$P$2003,0))&lt;&gt;INDEX($M$4:$M$2003,MATCH($Q1462,$P$4:$P$2003,0)),"B","S"))))</f>
        <v/>
      </c>
      <c r="S1463">
        <f>IF(Q1463="","",IFERROR(MATCH(Q1463,$P$4:$P$2003,0),""))</f>
        <v/>
      </c>
    </row>
    <row r="1464">
      <c r="A1464" s="4">
        <f>IF($R1464="","",IF($R1464="T","Gesamtergebnis",IF($R1464="B",INDEX($M$4:$M$2003,$S1464),INDEX($L$4:$L$2003,$S1464))))</f>
        <v/>
      </c>
      <c r="B1464" s="4">
        <f>IF($R1464="","",IF($R1464="T",$K$3,IF($R1464="B",COUNTIFS($M$4:$M$2003,INDEX($M$4:$M$2003,$S1464),$N$4:$N$2003,1),1)))</f>
        <v/>
      </c>
      <c r="L1464">
        <f>IF($K$1="","",IFERROR(INDEX(Lines!$A:$AA,ROW()-2,$K$1),""))</f>
        <v/>
      </c>
      <c r="M1464">
        <f>IF($K$2="","",IFERROR(INDEX(Lines!$A:$AA,ROW()-2,$K$2),""))</f>
        <v/>
      </c>
      <c r="N1464">
        <f>IF(AND(L1464&lt;&gt;"",LEFT(L1464,1)="N",M1464&lt;&gt;"PICKING",M1464&lt;&gt;""),1,0)</f>
        <v/>
      </c>
      <c r="O1464">
        <f>IF(N1464=1,M1464&amp;"|"&amp;L1464,REPT("z",40))</f>
        <v/>
      </c>
      <c r="P1464">
        <f>IF(N1464=1,COUNTIF($O$4:$O$2003,"&lt;"&amp;O1464)+1,"")</f>
        <v/>
      </c>
      <c r="Q1464">
        <f>IF(OR($R1463="",$R1463="T"),"",IF($R1463="B",$Q1463,IF($Q1463+1&gt;$K$3,"",$Q1463+1)))</f>
        <v/>
      </c>
      <c r="R1464">
        <f>IF(OR($R1463="",$R1463="T"),"",IF($R1463="B","S",IF($Q1463+1&gt;$K$3,"T",IF(INDEX($M$4:$M$2003,MATCH($Q1463+1,$P$4:$P$2003,0))&lt;&gt;INDEX($M$4:$M$2003,MATCH($Q1463,$P$4:$P$2003,0)),"B","S"))))</f>
        <v/>
      </c>
      <c r="S1464">
        <f>IF(Q1464="","",IFERROR(MATCH(Q1464,$P$4:$P$2003,0),""))</f>
        <v/>
      </c>
    </row>
    <row r="1465">
      <c r="A1465" s="4">
        <f>IF($R1465="","",IF($R1465="T","Gesamtergebnis",IF($R1465="B",INDEX($M$4:$M$2003,$S1465),INDEX($L$4:$L$2003,$S1465))))</f>
        <v/>
      </c>
      <c r="B1465" s="4">
        <f>IF($R1465="","",IF($R1465="T",$K$3,IF($R1465="B",COUNTIFS($M$4:$M$2003,INDEX($M$4:$M$2003,$S1465),$N$4:$N$2003,1),1)))</f>
        <v/>
      </c>
      <c r="L1465">
        <f>IF($K$1="","",IFERROR(INDEX(Lines!$A:$AA,ROW()-2,$K$1),""))</f>
        <v/>
      </c>
      <c r="M1465">
        <f>IF($K$2="","",IFERROR(INDEX(Lines!$A:$AA,ROW()-2,$K$2),""))</f>
        <v/>
      </c>
      <c r="N1465">
        <f>IF(AND(L1465&lt;&gt;"",LEFT(L1465,1)="N",M1465&lt;&gt;"PICKING",M1465&lt;&gt;""),1,0)</f>
        <v/>
      </c>
      <c r="O1465">
        <f>IF(N1465=1,M1465&amp;"|"&amp;L1465,REPT("z",40))</f>
        <v/>
      </c>
      <c r="P1465">
        <f>IF(N1465=1,COUNTIF($O$4:$O$2003,"&lt;"&amp;O1465)+1,"")</f>
        <v/>
      </c>
      <c r="Q1465">
        <f>IF(OR($R1464="",$R1464="T"),"",IF($R1464="B",$Q1464,IF($Q1464+1&gt;$K$3,"",$Q1464+1)))</f>
        <v/>
      </c>
      <c r="R1465">
        <f>IF(OR($R1464="",$R1464="T"),"",IF($R1464="B","S",IF($Q1464+1&gt;$K$3,"T",IF(INDEX($M$4:$M$2003,MATCH($Q1464+1,$P$4:$P$2003,0))&lt;&gt;INDEX($M$4:$M$2003,MATCH($Q1464,$P$4:$P$2003,0)),"B","S"))))</f>
        <v/>
      </c>
      <c r="S1465">
        <f>IF(Q1465="","",IFERROR(MATCH(Q1465,$P$4:$P$2003,0),""))</f>
        <v/>
      </c>
    </row>
    <row r="1466">
      <c r="A1466" s="4">
        <f>IF($R1466="","",IF($R1466="T","Gesamtergebnis",IF($R1466="B",INDEX($M$4:$M$2003,$S1466),INDEX($L$4:$L$2003,$S1466))))</f>
        <v/>
      </c>
      <c r="B1466" s="4">
        <f>IF($R1466="","",IF($R1466="T",$K$3,IF($R1466="B",COUNTIFS($M$4:$M$2003,INDEX($M$4:$M$2003,$S1466),$N$4:$N$2003,1),1)))</f>
        <v/>
      </c>
      <c r="L1466">
        <f>IF($K$1="","",IFERROR(INDEX(Lines!$A:$AA,ROW()-2,$K$1),""))</f>
        <v/>
      </c>
      <c r="M1466">
        <f>IF($K$2="","",IFERROR(INDEX(Lines!$A:$AA,ROW()-2,$K$2),""))</f>
        <v/>
      </c>
      <c r="N1466">
        <f>IF(AND(L1466&lt;&gt;"",LEFT(L1466,1)="N",M1466&lt;&gt;"PICKING",M1466&lt;&gt;""),1,0)</f>
        <v/>
      </c>
      <c r="O1466">
        <f>IF(N1466=1,M1466&amp;"|"&amp;L1466,REPT("z",40))</f>
        <v/>
      </c>
      <c r="P1466">
        <f>IF(N1466=1,COUNTIF($O$4:$O$2003,"&lt;"&amp;O1466)+1,"")</f>
        <v/>
      </c>
      <c r="Q1466">
        <f>IF(OR($R1465="",$R1465="T"),"",IF($R1465="B",$Q1465,IF($Q1465+1&gt;$K$3,"",$Q1465+1)))</f>
        <v/>
      </c>
      <c r="R1466">
        <f>IF(OR($R1465="",$R1465="T"),"",IF($R1465="B","S",IF($Q1465+1&gt;$K$3,"T",IF(INDEX($M$4:$M$2003,MATCH($Q1465+1,$P$4:$P$2003,0))&lt;&gt;INDEX($M$4:$M$2003,MATCH($Q1465,$P$4:$P$2003,0)),"B","S"))))</f>
        <v/>
      </c>
      <c r="S1466">
        <f>IF(Q1466="","",IFERROR(MATCH(Q1466,$P$4:$P$2003,0),""))</f>
        <v/>
      </c>
    </row>
    <row r="1467">
      <c r="A1467" s="4">
        <f>IF($R1467="","",IF($R1467="T","Gesamtergebnis",IF($R1467="B",INDEX($M$4:$M$2003,$S1467),INDEX($L$4:$L$2003,$S1467))))</f>
        <v/>
      </c>
      <c r="B1467" s="4">
        <f>IF($R1467="","",IF($R1467="T",$K$3,IF($R1467="B",COUNTIFS($M$4:$M$2003,INDEX($M$4:$M$2003,$S1467),$N$4:$N$2003,1),1)))</f>
        <v/>
      </c>
      <c r="L1467">
        <f>IF($K$1="","",IFERROR(INDEX(Lines!$A:$AA,ROW()-2,$K$1),""))</f>
        <v/>
      </c>
      <c r="M1467">
        <f>IF($K$2="","",IFERROR(INDEX(Lines!$A:$AA,ROW()-2,$K$2),""))</f>
        <v/>
      </c>
      <c r="N1467">
        <f>IF(AND(L1467&lt;&gt;"",LEFT(L1467,1)="N",M1467&lt;&gt;"PICKING",M1467&lt;&gt;""),1,0)</f>
        <v/>
      </c>
      <c r="O1467">
        <f>IF(N1467=1,M1467&amp;"|"&amp;L1467,REPT("z",40))</f>
        <v/>
      </c>
      <c r="P1467">
        <f>IF(N1467=1,COUNTIF($O$4:$O$2003,"&lt;"&amp;O1467)+1,"")</f>
        <v/>
      </c>
      <c r="Q1467">
        <f>IF(OR($R1466="",$R1466="T"),"",IF($R1466="B",$Q1466,IF($Q1466+1&gt;$K$3,"",$Q1466+1)))</f>
        <v/>
      </c>
      <c r="R1467">
        <f>IF(OR($R1466="",$R1466="T"),"",IF($R1466="B","S",IF($Q1466+1&gt;$K$3,"T",IF(INDEX($M$4:$M$2003,MATCH($Q1466+1,$P$4:$P$2003,0))&lt;&gt;INDEX($M$4:$M$2003,MATCH($Q1466,$P$4:$P$2003,0)),"B","S"))))</f>
        <v/>
      </c>
      <c r="S1467">
        <f>IF(Q1467="","",IFERROR(MATCH(Q1467,$P$4:$P$2003,0),""))</f>
        <v/>
      </c>
    </row>
    <row r="1468">
      <c r="A1468" s="4">
        <f>IF($R1468="","",IF($R1468="T","Gesamtergebnis",IF($R1468="B",INDEX($M$4:$M$2003,$S1468),INDEX($L$4:$L$2003,$S1468))))</f>
        <v/>
      </c>
      <c r="B1468" s="4">
        <f>IF($R1468="","",IF($R1468="T",$K$3,IF($R1468="B",COUNTIFS($M$4:$M$2003,INDEX($M$4:$M$2003,$S1468),$N$4:$N$2003,1),1)))</f>
        <v/>
      </c>
      <c r="L1468">
        <f>IF($K$1="","",IFERROR(INDEX(Lines!$A:$AA,ROW()-2,$K$1),""))</f>
        <v/>
      </c>
      <c r="M1468">
        <f>IF($K$2="","",IFERROR(INDEX(Lines!$A:$AA,ROW()-2,$K$2),""))</f>
        <v/>
      </c>
      <c r="N1468">
        <f>IF(AND(L1468&lt;&gt;"",LEFT(L1468,1)="N",M1468&lt;&gt;"PICKING",M1468&lt;&gt;""),1,0)</f>
        <v/>
      </c>
      <c r="O1468">
        <f>IF(N1468=1,M1468&amp;"|"&amp;L1468,REPT("z",40))</f>
        <v/>
      </c>
      <c r="P1468">
        <f>IF(N1468=1,COUNTIF($O$4:$O$2003,"&lt;"&amp;O1468)+1,"")</f>
        <v/>
      </c>
      <c r="Q1468">
        <f>IF(OR($R1467="",$R1467="T"),"",IF($R1467="B",$Q1467,IF($Q1467+1&gt;$K$3,"",$Q1467+1)))</f>
        <v/>
      </c>
      <c r="R1468">
        <f>IF(OR($R1467="",$R1467="T"),"",IF($R1467="B","S",IF($Q1467+1&gt;$K$3,"T",IF(INDEX($M$4:$M$2003,MATCH($Q1467+1,$P$4:$P$2003,0))&lt;&gt;INDEX($M$4:$M$2003,MATCH($Q1467,$P$4:$P$2003,0)),"B","S"))))</f>
        <v/>
      </c>
      <c r="S1468">
        <f>IF(Q1468="","",IFERROR(MATCH(Q1468,$P$4:$P$2003,0),""))</f>
        <v/>
      </c>
    </row>
    <row r="1469">
      <c r="A1469" s="4">
        <f>IF($R1469="","",IF($R1469="T","Gesamtergebnis",IF($R1469="B",INDEX($M$4:$M$2003,$S1469),INDEX($L$4:$L$2003,$S1469))))</f>
        <v/>
      </c>
      <c r="B1469" s="4">
        <f>IF($R1469="","",IF($R1469="T",$K$3,IF($R1469="B",COUNTIFS($M$4:$M$2003,INDEX($M$4:$M$2003,$S1469),$N$4:$N$2003,1),1)))</f>
        <v/>
      </c>
      <c r="L1469">
        <f>IF($K$1="","",IFERROR(INDEX(Lines!$A:$AA,ROW()-2,$K$1),""))</f>
        <v/>
      </c>
      <c r="M1469">
        <f>IF($K$2="","",IFERROR(INDEX(Lines!$A:$AA,ROW()-2,$K$2),""))</f>
        <v/>
      </c>
      <c r="N1469">
        <f>IF(AND(L1469&lt;&gt;"",LEFT(L1469,1)="N",M1469&lt;&gt;"PICKING",M1469&lt;&gt;""),1,0)</f>
        <v/>
      </c>
      <c r="O1469">
        <f>IF(N1469=1,M1469&amp;"|"&amp;L1469,REPT("z",40))</f>
        <v/>
      </c>
      <c r="P1469">
        <f>IF(N1469=1,COUNTIF($O$4:$O$2003,"&lt;"&amp;O1469)+1,"")</f>
        <v/>
      </c>
      <c r="Q1469">
        <f>IF(OR($R1468="",$R1468="T"),"",IF($R1468="B",$Q1468,IF($Q1468+1&gt;$K$3,"",$Q1468+1)))</f>
        <v/>
      </c>
      <c r="R1469">
        <f>IF(OR($R1468="",$R1468="T"),"",IF($R1468="B","S",IF($Q1468+1&gt;$K$3,"T",IF(INDEX($M$4:$M$2003,MATCH($Q1468+1,$P$4:$P$2003,0))&lt;&gt;INDEX($M$4:$M$2003,MATCH($Q1468,$P$4:$P$2003,0)),"B","S"))))</f>
        <v/>
      </c>
      <c r="S1469">
        <f>IF(Q1469="","",IFERROR(MATCH(Q1469,$P$4:$P$2003,0),""))</f>
        <v/>
      </c>
    </row>
    <row r="1470">
      <c r="A1470" s="4">
        <f>IF($R1470="","",IF($R1470="T","Gesamtergebnis",IF($R1470="B",INDEX($M$4:$M$2003,$S1470),INDEX($L$4:$L$2003,$S1470))))</f>
        <v/>
      </c>
      <c r="B1470" s="4">
        <f>IF($R1470="","",IF($R1470="T",$K$3,IF($R1470="B",COUNTIFS($M$4:$M$2003,INDEX($M$4:$M$2003,$S1470),$N$4:$N$2003,1),1)))</f>
        <v/>
      </c>
      <c r="L1470">
        <f>IF($K$1="","",IFERROR(INDEX(Lines!$A:$AA,ROW()-2,$K$1),""))</f>
        <v/>
      </c>
      <c r="M1470">
        <f>IF($K$2="","",IFERROR(INDEX(Lines!$A:$AA,ROW()-2,$K$2),""))</f>
        <v/>
      </c>
      <c r="N1470">
        <f>IF(AND(L1470&lt;&gt;"",LEFT(L1470,1)="N",M1470&lt;&gt;"PICKING",M1470&lt;&gt;""),1,0)</f>
        <v/>
      </c>
      <c r="O1470">
        <f>IF(N1470=1,M1470&amp;"|"&amp;L1470,REPT("z",40))</f>
        <v/>
      </c>
      <c r="P1470">
        <f>IF(N1470=1,COUNTIF($O$4:$O$2003,"&lt;"&amp;O1470)+1,"")</f>
        <v/>
      </c>
      <c r="Q1470">
        <f>IF(OR($R1469="",$R1469="T"),"",IF($R1469="B",$Q1469,IF($Q1469+1&gt;$K$3,"",$Q1469+1)))</f>
        <v/>
      </c>
      <c r="R1470">
        <f>IF(OR($R1469="",$R1469="T"),"",IF($R1469="B","S",IF($Q1469+1&gt;$K$3,"T",IF(INDEX($M$4:$M$2003,MATCH($Q1469+1,$P$4:$P$2003,0))&lt;&gt;INDEX($M$4:$M$2003,MATCH($Q1469,$P$4:$P$2003,0)),"B","S"))))</f>
        <v/>
      </c>
      <c r="S1470">
        <f>IF(Q1470="","",IFERROR(MATCH(Q1470,$P$4:$P$2003,0),""))</f>
        <v/>
      </c>
    </row>
    <row r="1471">
      <c r="A1471" s="4">
        <f>IF($R1471="","",IF($R1471="T","Gesamtergebnis",IF($R1471="B",INDEX($M$4:$M$2003,$S1471),INDEX($L$4:$L$2003,$S1471))))</f>
        <v/>
      </c>
      <c r="B1471" s="4">
        <f>IF($R1471="","",IF($R1471="T",$K$3,IF($R1471="B",COUNTIFS($M$4:$M$2003,INDEX($M$4:$M$2003,$S1471),$N$4:$N$2003,1),1)))</f>
        <v/>
      </c>
      <c r="L1471">
        <f>IF($K$1="","",IFERROR(INDEX(Lines!$A:$AA,ROW()-2,$K$1),""))</f>
        <v/>
      </c>
      <c r="M1471">
        <f>IF($K$2="","",IFERROR(INDEX(Lines!$A:$AA,ROW()-2,$K$2),""))</f>
        <v/>
      </c>
      <c r="N1471">
        <f>IF(AND(L1471&lt;&gt;"",LEFT(L1471,1)="N",M1471&lt;&gt;"PICKING",M1471&lt;&gt;""),1,0)</f>
        <v/>
      </c>
      <c r="O1471">
        <f>IF(N1471=1,M1471&amp;"|"&amp;L1471,REPT("z",40))</f>
        <v/>
      </c>
      <c r="P1471">
        <f>IF(N1471=1,COUNTIF($O$4:$O$2003,"&lt;"&amp;O1471)+1,"")</f>
        <v/>
      </c>
      <c r="Q1471">
        <f>IF(OR($R1470="",$R1470="T"),"",IF($R1470="B",$Q1470,IF($Q1470+1&gt;$K$3,"",$Q1470+1)))</f>
        <v/>
      </c>
      <c r="R1471">
        <f>IF(OR($R1470="",$R1470="T"),"",IF($R1470="B","S",IF($Q1470+1&gt;$K$3,"T",IF(INDEX($M$4:$M$2003,MATCH($Q1470+1,$P$4:$P$2003,0))&lt;&gt;INDEX($M$4:$M$2003,MATCH($Q1470,$P$4:$P$2003,0)),"B","S"))))</f>
        <v/>
      </c>
      <c r="S1471">
        <f>IF(Q1471="","",IFERROR(MATCH(Q1471,$P$4:$P$2003,0),""))</f>
        <v/>
      </c>
    </row>
    <row r="1472">
      <c r="A1472" s="4">
        <f>IF($R1472="","",IF($R1472="T","Gesamtergebnis",IF($R1472="B",INDEX($M$4:$M$2003,$S1472),INDEX($L$4:$L$2003,$S1472))))</f>
        <v/>
      </c>
      <c r="B1472" s="4">
        <f>IF($R1472="","",IF($R1472="T",$K$3,IF($R1472="B",COUNTIFS($M$4:$M$2003,INDEX($M$4:$M$2003,$S1472),$N$4:$N$2003,1),1)))</f>
        <v/>
      </c>
      <c r="L1472">
        <f>IF($K$1="","",IFERROR(INDEX(Lines!$A:$AA,ROW()-2,$K$1),""))</f>
        <v/>
      </c>
      <c r="M1472">
        <f>IF($K$2="","",IFERROR(INDEX(Lines!$A:$AA,ROW()-2,$K$2),""))</f>
        <v/>
      </c>
      <c r="N1472">
        <f>IF(AND(L1472&lt;&gt;"",LEFT(L1472,1)="N",M1472&lt;&gt;"PICKING",M1472&lt;&gt;""),1,0)</f>
        <v/>
      </c>
      <c r="O1472">
        <f>IF(N1472=1,M1472&amp;"|"&amp;L1472,REPT("z",40))</f>
        <v/>
      </c>
      <c r="P1472">
        <f>IF(N1472=1,COUNTIF($O$4:$O$2003,"&lt;"&amp;O1472)+1,"")</f>
        <v/>
      </c>
      <c r="Q1472">
        <f>IF(OR($R1471="",$R1471="T"),"",IF($R1471="B",$Q1471,IF($Q1471+1&gt;$K$3,"",$Q1471+1)))</f>
        <v/>
      </c>
      <c r="R1472">
        <f>IF(OR($R1471="",$R1471="T"),"",IF($R1471="B","S",IF($Q1471+1&gt;$K$3,"T",IF(INDEX($M$4:$M$2003,MATCH($Q1471+1,$P$4:$P$2003,0))&lt;&gt;INDEX($M$4:$M$2003,MATCH($Q1471,$P$4:$P$2003,0)),"B","S"))))</f>
        <v/>
      </c>
      <c r="S1472">
        <f>IF(Q1472="","",IFERROR(MATCH(Q1472,$P$4:$P$2003,0),""))</f>
        <v/>
      </c>
    </row>
    <row r="1473">
      <c r="A1473" s="4">
        <f>IF($R1473="","",IF($R1473="T","Gesamtergebnis",IF($R1473="B",INDEX($M$4:$M$2003,$S1473),INDEX($L$4:$L$2003,$S1473))))</f>
        <v/>
      </c>
      <c r="B1473" s="4">
        <f>IF($R1473="","",IF($R1473="T",$K$3,IF($R1473="B",COUNTIFS($M$4:$M$2003,INDEX($M$4:$M$2003,$S1473),$N$4:$N$2003,1),1)))</f>
        <v/>
      </c>
      <c r="L1473">
        <f>IF($K$1="","",IFERROR(INDEX(Lines!$A:$AA,ROW()-2,$K$1),""))</f>
        <v/>
      </c>
      <c r="M1473">
        <f>IF($K$2="","",IFERROR(INDEX(Lines!$A:$AA,ROW()-2,$K$2),""))</f>
        <v/>
      </c>
      <c r="N1473">
        <f>IF(AND(L1473&lt;&gt;"",LEFT(L1473,1)="N",M1473&lt;&gt;"PICKING",M1473&lt;&gt;""),1,0)</f>
        <v/>
      </c>
      <c r="O1473">
        <f>IF(N1473=1,M1473&amp;"|"&amp;L1473,REPT("z",40))</f>
        <v/>
      </c>
      <c r="P1473">
        <f>IF(N1473=1,COUNTIF($O$4:$O$2003,"&lt;"&amp;O1473)+1,"")</f>
        <v/>
      </c>
      <c r="Q1473">
        <f>IF(OR($R1472="",$R1472="T"),"",IF($R1472="B",$Q1472,IF($Q1472+1&gt;$K$3,"",$Q1472+1)))</f>
        <v/>
      </c>
      <c r="R1473">
        <f>IF(OR($R1472="",$R1472="T"),"",IF($R1472="B","S",IF($Q1472+1&gt;$K$3,"T",IF(INDEX($M$4:$M$2003,MATCH($Q1472+1,$P$4:$P$2003,0))&lt;&gt;INDEX($M$4:$M$2003,MATCH($Q1472,$P$4:$P$2003,0)),"B","S"))))</f>
        <v/>
      </c>
      <c r="S1473">
        <f>IF(Q1473="","",IFERROR(MATCH(Q1473,$P$4:$P$2003,0),""))</f>
        <v/>
      </c>
    </row>
    <row r="1474">
      <c r="A1474" s="4">
        <f>IF($R1474="","",IF($R1474="T","Gesamtergebnis",IF($R1474="B",INDEX($M$4:$M$2003,$S1474),INDEX($L$4:$L$2003,$S1474))))</f>
        <v/>
      </c>
      <c r="B1474" s="4">
        <f>IF($R1474="","",IF($R1474="T",$K$3,IF($R1474="B",COUNTIFS($M$4:$M$2003,INDEX($M$4:$M$2003,$S1474),$N$4:$N$2003,1),1)))</f>
        <v/>
      </c>
      <c r="L1474">
        <f>IF($K$1="","",IFERROR(INDEX(Lines!$A:$AA,ROW()-2,$K$1),""))</f>
        <v/>
      </c>
      <c r="M1474">
        <f>IF($K$2="","",IFERROR(INDEX(Lines!$A:$AA,ROW()-2,$K$2),""))</f>
        <v/>
      </c>
      <c r="N1474">
        <f>IF(AND(L1474&lt;&gt;"",LEFT(L1474,1)="N",M1474&lt;&gt;"PICKING",M1474&lt;&gt;""),1,0)</f>
        <v/>
      </c>
      <c r="O1474">
        <f>IF(N1474=1,M1474&amp;"|"&amp;L1474,REPT("z",40))</f>
        <v/>
      </c>
      <c r="P1474">
        <f>IF(N1474=1,COUNTIF($O$4:$O$2003,"&lt;"&amp;O1474)+1,"")</f>
        <v/>
      </c>
      <c r="Q1474">
        <f>IF(OR($R1473="",$R1473="T"),"",IF($R1473="B",$Q1473,IF($Q1473+1&gt;$K$3,"",$Q1473+1)))</f>
        <v/>
      </c>
      <c r="R1474">
        <f>IF(OR($R1473="",$R1473="T"),"",IF($R1473="B","S",IF($Q1473+1&gt;$K$3,"T",IF(INDEX($M$4:$M$2003,MATCH($Q1473+1,$P$4:$P$2003,0))&lt;&gt;INDEX($M$4:$M$2003,MATCH($Q1473,$P$4:$P$2003,0)),"B","S"))))</f>
        <v/>
      </c>
      <c r="S1474">
        <f>IF(Q1474="","",IFERROR(MATCH(Q1474,$P$4:$P$2003,0),""))</f>
        <v/>
      </c>
    </row>
    <row r="1475">
      <c r="A1475" s="4">
        <f>IF($R1475="","",IF($R1475="T","Gesamtergebnis",IF($R1475="B",INDEX($M$4:$M$2003,$S1475),INDEX($L$4:$L$2003,$S1475))))</f>
        <v/>
      </c>
      <c r="B1475" s="4">
        <f>IF($R1475="","",IF($R1475="T",$K$3,IF($R1475="B",COUNTIFS($M$4:$M$2003,INDEX($M$4:$M$2003,$S1475),$N$4:$N$2003,1),1)))</f>
        <v/>
      </c>
      <c r="L1475">
        <f>IF($K$1="","",IFERROR(INDEX(Lines!$A:$AA,ROW()-2,$K$1),""))</f>
        <v/>
      </c>
      <c r="M1475">
        <f>IF($K$2="","",IFERROR(INDEX(Lines!$A:$AA,ROW()-2,$K$2),""))</f>
        <v/>
      </c>
      <c r="N1475">
        <f>IF(AND(L1475&lt;&gt;"",LEFT(L1475,1)="N",M1475&lt;&gt;"PICKING",M1475&lt;&gt;""),1,0)</f>
        <v/>
      </c>
      <c r="O1475">
        <f>IF(N1475=1,M1475&amp;"|"&amp;L1475,REPT("z",40))</f>
        <v/>
      </c>
      <c r="P1475">
        <f>IF(N1475=1,COUNTIF($O$4:$O$2003,"&lt;"&amp;O1475)+1,"")</f>
        <v/>
      </c>
      <c r="Q1475">
        <f>IF(OR($R1474="",$R1474="T"),"",IF($R1474="B",$Q1474,IF($Q1474+1&gt;$K$3,"",$Q1474+1)))</f>
        <v/>
      </c>
      <c r="R1475">
        <f>IF(OR($R1474="",$R1474="T"),"",IF($R1474="B","S",IF($Q1474+1&gt;$K$3,"T",IF(INDEX($M$4:$M$2003,MATCH($Q1474+1,$P$4:$P$2003,0))&lt;&gt;INDEX($M$4:$M$2003,MATCH($Q1474,$P$4:$P$2003,0)),"B","S"))))</f>
        <v/>
      </c>
      <c r="S1475">
        <f>IF(Q1475="","",IFERROR(MATCH(Q1475,$P$4:$P$2003,0),""))</f>
        <v/>
      </c>
    </row>
    <row r="1476">
      <c r="A1476" s="4">
        <f>IF($R1476="","",IF($R1476="T","Gesamtergebnis",IF($R1476="B",INDEX($M$4:$M$2003,$S1476),INDEX($L$4:$L$2003,$S1476))))</f>
        <v/>
      </c>
      <c r="B1476" s="4">
        <f>IF($R1476="","",IF($R1476="T",$K$3,IF($R1476="B",COUNTIFS($M$4:$M$2003,INDEX($M$4:$M$2003,$S1476),$N$4:$N$2003,1),1)))</f>
        <v/>
      </c>
      <c r="L1476">
        <f>IF($K$1="","",IFERROR(INDEX(Lines!$A:$AA,ROW()-2,$K$1),""))</f>
        <v/>
      </c>
      <c r="M1476">
        <f>IF($K$2="","",IFERROR(INDEX(Lines!$A:$AA,ROW()-2,$K$2),""))</f>
        <v/>
      </c>
      <c r="N1476">
        <f>IF(AND(L1476&lt;&gt;"",LEFT(L1476,1)="N",M1476&lt;&gt;"PICKING",M1476&lt;&gt;""),1,0)</f>
        <v/>
      </c>
      <c r="O1476">
        <f>IF(N1476=1,M1476&amp;"|"&amp;L1476,REPT("z",40))</f>
        <v/>
      </c>
      <c r="P1476">
        <f>IF(N1476=1,COUNTIF($O$4:$O$2003,"&lt;"&amp;O1476)+1,"")</f>
        <v/>
      </c>
      <c r="Q1476">
        <f>IF(OR($R1475="",$R1475="T"),"",IF($R1475="B",$Q1475,IF($Q1475+1&gt;$K$3,"",$Q1475+1)))</f>
        <v/>
      </c>
      <c r="R1476">
        <f>IF(OR($R1475="",$R1475="T"),"",IF($R1475="B","S",IF($Q1475+1&gt;$K$3,"T",IF(INDEX($M$4:$M$2003,MATCH($Q1475+1,$P$4:$P$2003,0))&lt;&gt;INDEX($M$4:$M$2003,MATCH($Q1475,$P$4:$P$2003,0)),"B","S"))))</f>
        <v/>
      </c>
      <c r="S1476">
        <f>IF(Q1476="","",IFERROR(MATCH(Q1476,$P$4:$P$2003,0),""))</f>
        <v/>
      </c>
    </row>
    <row r="1477">
      <c r="A1477" s="4">
        <f>IF($R1477="","",IF($R1477="T","Gesamtergebnis",IF($R1477="B",INDEX($M$4:$M$2003,$S1477),INDEX($L$4:$L$2003,$S1477))))</f>
        <v/>
      </c>
      <c r="B1477" s="4">
        <f>IF($R1477="","",IF($R1477="T",$K$3,IF($R1477="B",COUNTIFS($M$4:$M$2003,INDEX($M$4:$M$2003,$S1477),$N$4:$N$2003,1),1)))</f>
        <v/>
      </c>
      <c r="L1477">
        <f>IF($K$1="","",IFERROR(INDEX(Lines!$A:$AA,ROW()-2,$K$1),""))</f>
        <v/>
      </c>
      <c r="M1477">
        <f>IF($K$2="","",IFERROR(INDEX(Lines!$A:$AA,ROW()-2,$K$2),""))</f>
        <v/>
      </c>
      <c r="N1477">
        <f>IF(AND(L1477&lt;&gt;"",LEFT(L1477,1)="N",M1477&lt;&gt;"PICKING",M1477&lt;&gt;""),1,0)</f>
        <v/>
      </c>
      <c r="O1477">
        <f>IF(N1477=1,M1477&amp;"|"&amp;L1477,REPT("z",40))</f>
        <v/>
      </c>
      <c r="P1477">
        <f>IF(N1477=1,COUNTIF($O$4:$O$2003,"&lt;"&amp;O1477)+1,"")</f>
        <v/>
      </c>
      <c r="Q1477">
        <f>IF(OR($R1476="",$R1476="T"),"",IF($R1476="B",$Q1476,IF($Q1476+1&gt;$K$3,"",$Q1476+1)))</f>
        <v/>
      </c>
      <c r="R1477">
        <f>IF(OR($R1476="",$R1476="T"),"",IF($R1476="B","S",IF($Q1476+1&gt;$K$3,"T",IF(INDEX($M$4:$M$2003,MATCH($Q1476+1,$P$4:$P$2003,0))&lt;&gt;INDEX($M$4:$M$2003,MATCH($Q1476,$P$4:$P$2003,0)),"B","S"))))</f>
        <v/>
      </c>
      <c r="S1477">
        <f>IF(Q1477="","",IFERROR(MATCH(Q1477,$P$4:$P$2003,0),""))</f>
        <v/>
      </c>
    </row>
    <row r="1478">
      <c r="A1478" s="4">
        <f>IF($R1478="","",IF($R1478="T","Gesamtergebnis",IF($R1478="B",INDEX($M$4:$M$2003,$S1478),INDEX($L$4:$L$2003,$S1478))))</f>
        <v/>
      </c>
      <c r="B1478" s="4">
        <f>IF($R1478="","",IF($R1478="T",$K$3,IF($R1478="B",COUNTIFS($M$4:$M$2003,INDEX($M$4:$M$2003,$S1478),$N$4:$N$2003,1),1)))</f>
        <v/>
      </c>
      <c r="L1478">
        <f>IF($K$1="","",IFERROR(INDEX(Lines!$A:$AA,ROW()-2,$K$1),""))</f>
        <v/>
      </c>
      <c r="M1478">
        <f>IF($K$2="","",IFERROR(INDEX(Lines!$A:$AA,ROW()-2,$K$2),""))</f>
        <v/>
      </c>
      <c r="N1478">
        <f>IF(AND(L1478&lt;&gt;"",LEFT(L1478,1)="N",M1478&lt;&gt;"PICKING",M1478&lt;&gt;""),1,0)</f>
        <v/>
      </c>
      <c r="O1478">
        <f>IF(N1478=1,M1478&amp;"|"&amp;L1478,REPT("z",40))</f>
        <v/>
      </c>
      <c r="P1478">
        <f>IF(N1478=1,COUNTIF($O$4:$O$2003,"&lt;"&amp;O1478)+1,"")</f>
        <v/>
      </c>
      <c r="Q1478">
        <f>IF(OR($R1477="",$R1477="T"),"",IF($R1477="B",$Q1477,IF($Q1477+1&gt;$K$3,"",$Q1477+1)))</f>
        <v/>
      </c>
      <c r="R1478">
        <f>IF(OR($R1477="",$R1477="T"),"",IF($R1477="B","S",IF($Q1477+1&gt;$K$3,"T",IF(INDEX($M$4:$M$2003,MATCH($Q1477+1,$P$4:$P$2003,0))&lt;&gt;INDEX($M$4:$M$2003,MATCH($Q1477,$P$4:$P$2003,0)),"B","S"))))</f>
        <v/>
      </c>
      <c r="S1478">
        <f>IF(Q1478="","",IFERROR(MATCH(Q1478,$P$4:$P$2003,0),""))</f>
        <v/>
      </c>
    </row>
    <row r="1479">
      <c r="A1479" s="4">
        <f>IF($R1479="","",IF($R1479="T","Gesamtergebnis",IF($R1479="B",INDEX($M$4:$M$2003,$S1479),INDEX($L$4:$L$2003,$S1479))))</f>
        <v/>
      </c>
      <c r="B1479" s="4">
        <f>IF($R1479="","",IF($R1479="T",$K$3,IF($R1479="B",COUNTIFS($M$4:$M$2003,INDEX($M$4:$M$2003,$S1479),$N$4:$N$2003,1),1)))</f>
        <v/>
      </c>
      <c r="L1479">
        <f>IF($K$1="","",IFERROR(INDEX(Lines!$A:$AA,ROW()-2,$K$1),""))</f>
        <v/>
      </c>
      <c r="M1479">
        <f>IF($K$2="","",IFERROR(INDEX(Lines!$A:$AA,ROW()-2,$K$2),""))</f>
        <v/>
      </c>
      <c r="N1479">
        <f>IF(AND(L1479&lt;&gt;"",LEFT(L1479,1)="N",M1479&lt;&gt;"PICKING",M1479&lt;&gt;""),1,0)</f>
        <v/>
      </c>
      <c r="O1479">
        <f>IF(N1479=1,M1479&amp;"|"&amp;L1479,REPT("z",40))</f>
        <v/>
      </c>
      <c r="P1479">
        <f>IF(N1479=1,COUNTIF($O$4:$O$2003,"&lt;"&amp;O1479)+1,"")</f>
        <v/>
      </c>
      <c r="Q1479">
        <f>IF(OR($R1478="",$R1478="T"),"",IF($R1478="B",$Q1478,IF($Q1478+1&gt;$K$3,"",$Q1478+1)))</f>
        <v/>
      </c>
      <c r="R1479">
        <f>IF(OR($R1478="",$R1478="T"),"",IF($R1478="B","S",IF($Q1478+1&gt;$K$3,"T",IF(INDEX($M$4:$M$2003,MATCH($Q1478+1,$P$4:$P$2003,0))&lt;&gt;INDEX($M$4:$M$2003,MATCH($Q1478,$P$4:$P$2003,0)),"B","S"))))</f>
        <v/>
      </c>
      <c r="S1479">
        <f>IF(Q1479="","",IFERROR(MATCH(Q1479,$P$4:$P$2003,0),""))</f>
        <v/>
      </c>
    </row>
    <row r="1480">
      <c r="A1480" s="4">
        <f>IF($R1480="","",IF($R1480="T","Gesamtergebnis",IF($R1480="B",INDEX($M$4:$M$2003,$S1480),INDEX($L$4:$L$2003,$S1480))))</f>
        <v/>
      </c>
      <c r="B1480" s="4">
        <f>IF($R1480="","",IF($R1480="T",$K$3,IF($R1480="B",COUNTIFS($M$4:$M$2003,INDEX($M$4:$M$2003,$S1480),$N$4:$N$2003,1),1)))</f>
        <v/>
      </c>
      <c r="L1480">
        <f>IF($K$1="","",IFERROR(INDEX(Lines!$A:$AA,ROW()-2,$K$1),""))</f>
        <v/>
      </c>
      <c r="M1480">
        <f>IF($K$2="","",IFERROR(INDEX(Lines!$A:$AA,ROW()-2,$K$2),""))</f>
        <v/>
      </c>
      <c r="N1480">
        <f>IF(AND(L1480&lt;&gt;"",LEFT(L1480,1)="N",M1480&lt;&gt;"PICKING",M1480&lt;&gt;""),1,0)</f>
        <v/>
      </c>
      <c r="O1480">
        <f>IF(N1480=1,M1480&amp;"|"&amp;L1480,REPT("z",40))</f>
        <v/>
      </c>
      <c r="P1480">
        <f>IF(N1480=1,COUNTIF($O$4:$O$2003,"&lt;"&amp;O1480)+1,"")</f>
        <v/>
      </c>
      <c r="Q1480">
        <f>IF(OR($R1479="",$R1479="T"),"",IF($R1479="B",$Q1479,IF($Q1479+1&gt;$K$3,"",$Q1479+1)))</f>
        <v/>
      </c>
      <c r="R1480">
        <f>IF(OR($R1479="",$R1479="T"),"",IF($R1479="B","S",IF($Q1479+1&gt;$K$3,"T",IF(INDEX($M$4:$M$2003,MATCH($Q1479+1,$P$4:$P$2003,0))&lt;&gt;INDEX($M$4:$M$2003,MATCH($Q1479,$P$4:$P$2003,0)),"B","S"))))</f>
        <v/>
      </c>
      <c r="S1480">
        <f>IF(Q1480="","",IFERROR(MATCH(Q1480,$P$4:$P$2003,0),""))</f>
        <v/>
      </c>
    </row>
    <row r="1481">
      <c r="A1481" s="4">
        <f>IF($R1481="","",IF($R1481="T","Gesamtergebnis",IF($R1481="B",INDEX($M$4:$M$2003,$S1481),INDEX($L$4:$L$2003,$S1481))))</f>
        <v/>
      </c>
      <c r="B1481" s="4">
        <f>IF($R1481="","",IF($R1481="T",$K$3,IF($R1481="B",COUNTIFS($M$4:$M$2003,INDEX($M$4:$M$2003,$S1481),$N$4:$N$2003,1),1)))</f>
        <v/>
      </c>
      <c r="L1481">
        <f>IF($K$1="","",IFERROR(INDEX(Lines!$A:$AA,ROW()-2,$K$1),""))</f>
        <v/>
      </c>
      <c r="M1481">
        <f>IF($K$2="","",IFERROR(INDEX(Lines!$A:$AA,ROW()-2,$K$2),""))</f>
        <v/>
      </c>
      <c r="N1481">
        <f>IF(AND(L1481&lt;&gt;"",LEFT(L1481,1)="N",M1481&lt;&gt;"PICKING",M1481&lt;&gt;""),1,0)</f>
        <v/>
      </c>
      <c r="O1481">
        <f>IF(N1481=1,M1481&amp;"|"&amp;L1481,REPT("z",40))</f>
        <v/>
      </c>
      <c r="P1481">
        <f>IF(N1481=1,COUNTIF($O$4:$O$2003,"&lt;"&amp;O1481)+1,"")</f>
        <v/>
      </c>
      <c r="Q1481">
        <f>IF(OR($R1480="",$R1480="T"),"",IF($R1480="B",$Q1480,IF($Q1480+1&gt;$K$3,"",$Q1480+1)))</f>
        <v/>
      </c>
      <c r="R1481">
        <f>IF(OR($R1480="",$R1480="T"),"",IF($R1480="B","S",IF($Q1480+1&gt;$K$3,"T",IF(INDEX($M$4:$M$2003,MATCH($Q1480+1,$P$4:$P$2003,0))&lt;&gt;INDEX($M$4:$M$2003,MATCH($Q1480,$P$4:$P$2003,0)),"B","S"))))</f>
        <v/>
      </c>
      <c r="S1481">
        <f>IF(Q1481="","",IFERROR(MATCH(Q1481,$P$4:$P$2003,0),""))</f>
        <v/>
      </c>
    </row>
    <row r="1482">
      <c r="A1482" s="4">
        <f>IF($R1482="","",IF($R1482="T","Gesamtergebnis",IF($R1482="B",INDEX($M$4:$M$2003,$S1482),INDEX($L$4:$L$2003,$S1482))))</f>
        <v/>
      </c>
      <c r="B1482" s="4">
        <f>IF($R1482="","",IF($R1482="T",$K$3,IF($R1482="B",COUNTIFS($M$4:$M$2003,INDEX($M$4:$M$2003,$S1482),$N$4:$N$2003,1),1)))</f>
        <v/>
      </c>
      <c r="L1482">
        <f>IF($K$1="","",IFERROR(INDEX(Lines!$A:$AA,ROW()-2,$K$1),""))</f>
        <v/>
      </c>
      <c r="M1482">
        <f>IF($K$2="","",IFERROR(INDEX(Lines!$A:$AA,ROW()-2,$K$2),""))</f>
        <v/>
      </c>
      <c r="N1482">
        <f>IF(AND(L1482&lt;&gt;"",LEFT(L1482,1)="N",M1482&lt;&gt;"PICKING",M1482&lt;&gt;""),1,0)</f>
        <v/>
      </c>
      <c r="O1482">
        <f>IF(N1482=1,M1482&amp;"|"&amp;L1482,REPT("z",40))</f>
        <v/>
      </c>
      <c r="P1482">
        <f>IF(N1482=1,COUNTIF($O$4:$O$2003,"&lt;"&amp;O1482)+1,"")</f>
        <v/>
      </c>
      <c r="Q1482">
        <f>IF(OR($R1481="",$R1481="T"),"",IF($R1481="B",$Q1481,IF($Q1481+1&gt;$K$3,"",$Q1481+1)))</f>
        <v/>
      </c>
      <c r="R1482">
        <f>IF(OR($R1481="",$R1481="T"),"",IF($R1481="B","S",IF($Q1481+1&gt;$K$3,"T",IF(INDEX($M$4:$M$2003,MATCH($Q1481+1,$P$4:$P$2003,0))&lt;&gt;INDEX($M$4:$M$2003,MATCH($Q1481,$P$4:$P$2003,0)),"B","S"))))</f>
        <v/>
      </c>
      <c r="S1482">
        <f>IF(Q1482="","",IFERROR(MATCH(Q1482,$P$4:$P$2003,0),""))</f>
        <v/>
      </c>
    </row>
    <row r="1483">
      <c r="A1483" s="4">
        <f>IF($R1483="","",IF($R1483="T","Gesamtergebnis",IF($R1483="B",INDEX($M$4:$M$2003,$S1483),INDEX($L$4:$L$2003,$S1483))))</f>
        <v/>
      </c>
      <c r="B1483" s="4">
        <f>IF($R1483="","",IF($R1483="T",$K$3,IF($R1483="B",COUNTIFS($M$4:$M$2003,INDEX($M$4:$M$2003,$S1483),$N$4:$N$2003,1),1)))</f>
        <v/>
      </c>
      <c r="L1483">
        <f>IF($K$1="","",IFERROR(INDEX(Lines!$A:$AA,ROW()-2,$K$1),""))</f>
        <v/>
      </c>
      <c r="M1483">
        <f>IF($K$2="","",IFERROR(INDEX(Lines!$A:$AA,ROW()-2,$K$2),""))</f>
        <v/>
      </c>
      <c r="N1483">
        <f>IF(AND(L1483&lt;&gt;"",LEFT(L1483,1)="N",M1483&lt;&gt;"PICKING",M1483&lt;&gt;""),1,0)</f>
        <v/>
      </c>
      <c r="O1483">
        <f>IF(N1483=1,M1483&amp;"|"&amp;L1483,REPT("z",40))</f>
        <v/>
      </c>
      <c r="P1483">
        <f>IF(N1483=1,COUNTIF($O$4:$O$2003,"&lt;"&amp;O1483)+1,"")</f>
        <v/>
      </c>
      <c r="Q1483">
        <f>IF(OR($R1482="",$R1482="T"),"",IF($R1482="B",$Q1482,IF($Q1482+1&gt;$K$3,"",$Q1482+1)))</f>
        <v/>
      </c>
      <c r="R1483">
        <f>IF(OR($R1482="",$R1482="T"),"",IF($R1482="B","S",IF($Q1482+1&gt;$K$3,"T",IF(INDEX($M$4:$M$2003,MATCH($Q1482+1,$P$4:$P$2003,0))&lt;&gt;INDEX($M$4:$M$2003,MATCH($Q1482,$P$4:$P$2003,0)),"B","S"))))</f>
        <v/>
      </c>
      <c r="S1483">
        <f>IF(Q1483="","",IFERROR(MATCH(Q1483,$P$4:$P$2003,0),""))</f>
        <v/>
      </c>
    </row>
    <row r="1484">
      <c r="A1484" s="4">
        <f>IF($R1484="","",IF($R1484="T","Gesamtergebnis",IF($R1484="B",INDEX($M$4:$M$2003,$S1484),INDEX($L$4:$L$2003,$S1484))))</f>
        <v/>
      </c>
      <c r="B1484" s="4">
        <f>IF($R1484="","",IF($R1484="T",$K$3,IF($R1484="B",COUNTIFS($M$4:$M$2003,INDEX($M$4:$M$2003,$S1484),$N$4:$N$2003,1),1)))</f>
        <v/>
      </c>
      <c r="L1484">
        <f>IF($K$1="","",IFERROR(INDEX(Lines!$A:$AA,ROW()-2,$K$1),""))</f>
        <v/>
      </c>
      <c r="M1484">
        <f>IF($K$2="","",IFERROR(INDEX(Lines!$A:$AA,ROW()-2,$K$2),""))</f>
        <v/>
      </c>
      <c r="N1484">
        <f>IF(AND(L1484&lt;&gt;"",LEFT(L1484,1)="N",M1484&lt;&gt;"PICKING",M1484&lt;&gt;""),1,0)</f>
        <v/>
      </c>
      <c r="O1484">
        <f>IF(N1484=1,M1484&amp;"|"&amp;L1484,REPT("z",40))</f>
        <v/>
      </c>
      <c r="P1484">
        <f>IF(N1484=1,COUNTIF($O$4:$O$2003,"&lt;"&amp;O1484)+1,"")</f>
        <v/>
      </c>
      <c r="Q1484">
        <f>IF(OR($R1483="",$R1483="T"),"",IF($R1483="B",$Q1483,IF($Q1483+1&gt;$K$3,"",$Q1483+1)))</f>
        <v/>
      </c>
      <c r="R1484">
        <f>IF(OR($R1483="",$R1483="T"),"",IF($R1483="B","S",IF($Q1483+1&gt;$K$3,"T",IF(INDEX($M$4:$M$2003,MATCH($Q1483+1,$P$4:$P$2003,0))&lt;&gt;INDEX($M$4:$M$2003,MATCH($Q1483,$P$4:$P$2003,0)),"B","S"))))</f>
        <v/>
      </c>
      <c r="S1484">
        <f>IF(Q1484="","",IFERROR(MATCH(Q1484,$P$4:$P$2003,0),""))</f>
        <v/>
      </c>
    </row>
    <row r="1485">
      <c r="A1485" s="4">
        <f>IF($R1485="","",IF($R1485="T","Gesamtergebnis",IF($R1485="B",INDEX($M$4:$M$2003,$S1485),INDEX($L$4:$L$2003,$S1485))))</f>
        <v/>
      </c>
      <c r="B1485" s="4">
        <f>IF($R1485="","",IF($R1485="T",$K$3,IF($R1485="B",COUNTIFS($M$4:$M$2003,INDEX($M$4:$M$2003,$S1485),$N$4:$N$2003,1),1)))</f>
        <v/>
      </c>
      <c r="L1485">
        <f>IF($K$1="","",IFERROR(INDEX(Lines!$A:$AA,ROW()-2,$K$1),""))</f>
        <v/>
      </c>
      <c r="M1485">
        <f>IF($K$2="","",IFERROR(INDEX(Lines!$A:$AA,ROW()-2,$K$2),""))</f>
        <v/>
      </c>
      <c r="N1485">
        <f>IF(AND(L1485&lt;&gt;"",LEFT(L1485,1)="N",M1485&lt;&gt;"PICKING",M1485&lt;&gt;""),1,0)</f>
        <v/>
      </c>
      <c r="O1485">
        <f>IF(N1485=1,M1485&amp;"|"&amp;L1485,REPT("z",40))</f>
        <v/>
      </c>
      <c r="P1485">
        <f>IF(N1485=1,COUNTIF($O$4:$O$2003,"&lt;"&amp;O1485)+1,"")</f>
        <v/>
      </c>
      <c r="Q1485">
        <f>IF(OR($R1484="",$R1484="T"),"",IF($R1484="B",$Q1484,IF($Q1484+1&gt;$K$3,"",$Q1484+1)))</f>
        <v/>
      </c>
      <c r="R1485">
        <f>IF(OR($R1484="",$R1484="T"),"",IF($R1484="B","S",IF($Q1484+1&gt;$K$3,"T",IF(INDEX($M$4:$M$2003,MATCH($Q1484+1,$P$4:$P$2003,0))&lt;&gt;INDEX($M$4:$M$2003,MATCH($Q1484,$P$4:$P$2003,0)),"B","S"))))</f>
        <v/>
      </c>
      <c r="S1485">
        <f>IF(Q1485="","",IFERROR(MATCH(Q1485,$P$4:$P$2003,0),""))</f>
        <v/>
      </c>
    </row>
    <row r="1486">
      <c r="A1486" s="4">
        <f>IF($R1486="","",IF($R1486="T","Gesamtergebnis",IF($R1486="B",INDEX($M$4:$M$2003,$S1486),INDEX($L$4:$L$2003,$S1486))))</f>
        <v/>
      </c>
      <c r="B1486" s="4">
        <f>IF($R1486="","",IF($R1486="T",$K$3,IF($R1486="B",COUNTIFS($M$4:$M$2003,INDEX($M$4:$M$2003,$S1486),$N$4:$N$2003,1),1)))</f>
        <v/>
      </c>
      <c r="L1486">
        <f>IF($K$1="","",IFERROR(INDEX(Lines!$A:$AA,ROW()-2,$K$1),""))</f>
        <v/>
      </c>
      <c r="M1486">
        <f>IF($K$2="","",IFERROR(INDEX(Lines!$A:$AA,ROW()-2,$K$2),""))</f>
        <v/>
      </c>
      <c r="N1486">
        <f>IF(AND(L1486&lt;&gt;"",LEFT(L1486,1)="N",M1486&lt;&gt;"PICKING",M1486&lt;&gt;""),1,0)</f>
        <v/>
      </c>
      <c r="O1486">
        <f>IF(N1486=1,M1486&amp;"|"&amp;L1486,REPT("z",40))</f>
        <v/>
      </c>
      <c r="P1486">
        <f>IF(N1486=1,COUNTIF($O$4:$O$2003,"&lt;"&amp;O1486)+1,"")</f>
        <v/>
      </c>
      <c r="Q1486">
        <f>IF(OR($R1485="",$R1485="T"),"",IF($R1485="B",$Q1485,IF($Q1485+1&gt;$K$3,"",$Q1485+1)))</f>
        <v/>
      </c>
      <c r="R1486">
        <f>IF(OR($R1485="",$R1485="T"),"",IF($R1485="B","S",IF($Q1485+1&gt;$K$3,"T",IF(INDEX($M$4:$M$2003,MATCH($Q1485+1,$P$4:$P$2003,0))&lt;&gt;INDEX($M$4:$M$2003,MATCH($Q1485,$P$4:$P$2003,0)),"B","S"))))</f>
        <v/>
      </c>
      <c r="S1486">
        <f>IF(Q1486="","",IFERROR(MATCH(Q1486,$P$4:$P$2003,0),""))</f>
        <v/>
      </c>
    </row>
    <row r="1487">
      <c r="A1487" s="4">
        <f>IF($R1487="","",IF($R1487="T","Gesamtergebnis",IF($R1487="B",INDEX($M$4:$M$2003,$S1487),INDEX($L$4:$L$2003,$S1487))))</f>
        <v/>
      </c>
      <c r="B1487" s="4">
        <f>IF($R1487="","",IF($R1487="T",$K$3,IF($R1487="B",COUNTIFS($M$4:$M$2003,INDEX($M$4:$M$2003,$S1487),$N$4:$N$2003,1),1)))</f>
        <v/>
      </c>
      <c r="L1487">
        <f>IF($K$1="","",IFERROR(INDEX(Lines!$A:$AA,ROW()-2,$K$1),""))</f>
        <v/>
      </c>
      <c r="M1487">
        <f>IF($K$2="","",IFERROR(INDEX(Lines!$A:$AA,ROW()-2,$K$2),""))</f>
        <v/>
      </c>
      <c r="N1487">
        <f>IF(AND(L1487&lt;&gt;"",LEFT(L1487,1)="N",M1487&lt;&gt;"PICKING",M1487&lt;&gt;""),1,0)</f>
        <v/>
      </c>
      <c r="O1487">
        <f>IF(N1487=1,M1487&amp;"|"&amp;L1487,REPT("z",40))</f>
        <v/>
      </c>
      <c r="P1487">
        <f>IF(N1487=1,COUNTIF($O$4:$O$2003,"&lt;"&amp;O1487)+1,"")</f>
        <v/>
      </c>
      <c r="Q1487">
        <f>IF(OR($R1486="",$R1486="T"),"",IF($R1486="B",$Q1486,IF($Q1486+1&gt;$K$3,"",$Q1486+1)))</f>
        <v/>
      </c>
      <c r="R1487">
        <f>IF(OR($R1486="",$R1486="T"),"",IF($R1486="B","S",IF($Q1486+1&gt;$K$3,"T",IF(INDEX($M$4:$M$2003,MATCH($Q1486+1,$P$4:$P$2003,0))&lt;&gt;INDEX($M$4:$M$2003,MATCH($Q1486,$P$4:$P$2003,0)),"B","S"))))</f>
        <v/>
      </c>
      <c r="S1487">
        <f>IF(Q1487="","",IFERROR(MATCH(Q1487,$P$4:$P$2003,0),""))</f>
        <v/>
      </c>
    </row>
    <row r="1488">
      <c r="A1488" s="4">
        <f>IF($R1488="","",IF($R1488="T","Gesamtergebnis",IF($R1488="B",INDEX($M$4:$M$2003,$S1488),INDEX($L$4:$L$2003,$S1488))))</f>
        <v/>
      </c>
      <c r="B1488" s="4">
        <f>IF($R1488="","",IF($R1488="T",$K$3,IF($R1488="B",COUNTIFS($M$4:$M$2003,INDEX($M$4:$M$2003,$S1488),$N$4:$N$2003,1),1)))</f>
        <v/>
      </c>
      <c r="L1488">
        <f>IF($K$1="","",IFERROR(INDEX(Lines!$A:$AA,ROW()-2,$K$1),""))</f>
        <v/>
      </c>
      <c r="M1488">
        <f>IF($K$2="","",IFERROR(INDEX(Lines!$A:$AA,ROW()-2,$K$2),""))</f>
        <v/>
      </c>
      <c r="N1488">
        <f>IF(AND(L1488&lt;&gt;"",LEFT(L1488,1)="N",M1488&lt;&gt;"PICKING",M1488&lt;&gt;""),1,0)</f>
        <v/>
      </c>
      <c r="O1488">
        <f>IF(N1488=1,M1488&amp;"|"&amp;L1488,REPT("z",40))</f>
        <v/>
      </c>
      <c r="P1488">
        <f>IF(N1488=1,COUNTIF($O$4:$O$2003,"&lt;"&amp;O1488)+1,"")</f>
        <v/>
      </c>
      <c r="Q1488">
        <f>IF(OR($R1487="",$R1487="T"),"",IF($R1487="B",$Q1487,IF($Q1487+1&gt;$K$3,"",$Q1487+1)))</f>
        <v/>
      </c>
      <c r="R1488">
        <f>IF(OR($R1487="",$R1487="T"),"",IF($R1487="B","S",IF($Q1487+1&gt;$K$3,"T",IF(INDEX($M$4:$M$2003,MATCH($Q1487+1,$P$4:$P$2003,0))&lt;&gt;INDEX($M$4:$M$2003,MATCH($Q1487,$P$4:$P$2003,0)),"B","S"))))</f>
        <v/>
      </c>
      <c r="S1488">
        <f>IF(Q1488="","",IFERROR(MATCH(Q1488,$P$4:$P$2003,0),""))</f>
        <v/>
      </c>
    </row>
    <row r="1489">
      <c r="A1489" s="4">
        <f>IF($R1489="","",IF($R1489="T","Gesamtergebnis",IF($R1489="B",INDEX($M$4:$M$2003,$S1489),INDEX($L$4:$L$2003,$S1489))))</f>
        <v/>
      </c>
      <c r="B1489" s="4">
        <f>IF($R1489="","",IF($R1489="T",$K$3,IF($R1489="B",COUNTIFS($M$4:$M$2003,INDEX($M$4:$M$2003,$S1489),$N$4:$N$2003,1),1)))</f>
        <v/>
      </c>
      <c r="L1489">
        <f>IF($K$1="","",IFERROR(INDEX(Lines!$A:$AA,ROW()-2,$K$1),""))</f>
        <v/>
      </c>
      <c r="M1489">
        <f>IF($K$2="","",IFERROR(INDEX(Lines!$A:$AA,ROW()-2,$K$2),""))</f>
        <v/>
      </c>
      <c r="N1489">
        <f>IF(AND(L1489&lt;&gt;"",LEFT(L1489,1)="N",M1489&lt;&gt;"PICKING",M1489&lt;&gt;""),1,0)</f>
        <v/>
      </c>
      <c r="O1489">
        <f>IF(N1489=1,M1489&amp;"|"&amp;L1489,REPT("z",40))</f>
        <v/>
      </c>
      <c r="P1489">
        <f>IF(N1489=1,COUNTIF($O$4:$O$2003,"&lt;"&amp;O1489)+1,"")</f>
        <v/>
      </c>
      <c r="Q1489">
        <f>IF(OR($R1488="",$R1488="T"),"",IF($R1488="B",$Q1488,IF($Q1488+1&gt;$K$3,"",$Q1488+1)))</f>
        <v/>
      </c>
      <c r="R1489">
        <f>IF(OR($R1488="",$R1488="T"),"",IF($R1488="B","S",IF($Q1488+1&gt;$K$3,"T",IF(INDEX($M$4:$M$2003,MATCH($Q1488+1,$P$4:$P$2003,0))&lt;&gt;INDEX($M$4:$M$2003,MATCH($Q1488,$P$4:$P$2003,0)),"B","S"))))</f>
        <v/>
      </c>
      <c r="S1489">
        <f>IF(Q1489="","",IFERROR(MATCH(Q1489,$P$4:$P$2003,0),""))</f>
        <v/>
      </c>
    </row>
    <row r="1490">
      <c r="A1490" s="4">
        <f>IF($R1490="","",IF($R1490="T","Gesamtergebnis",IF($R1490="B",INDEX($M$4:$M$2003,$S1490),INDEX($L$4:$L$2003,$S1490))))</f>
        <v/>
      </c>
      <c r="B1490" s="4">
        <f>IF($R1490="","",IF($R1490="T",$K$3,IF($R1490="B",COUNTIFS($M$4:$M$2003,INDEX($M$4:$M$2003,$S1490),$N$4:$N$2003,1),1)))</f>
        <v/>
      </c>
      <c r="L1490">
        <f>IF($K$1="","",IFERROR(INDEX(Lines!$A:$AA,ROW()-2,$K$1),""))</f>
        <v/>
      </c>
      <c r="M1490">
        <f>IF($K$2="","",IFERROR(INDEX(Lines!$A:$AA,ROW()-2,$K$2),""))</f>
        <v/>
      </c>
      <c r="N1490">
        <f>IF(AND(L1490&lt;&gt;"",LEFT(L1490,1)="N",M1490&lt;&gt;"PICKING",M1490&lt;&gt;""),1,0)</f>
        <v/>
      </c>
      <c r="O1490">
        <f>IF(N1490=1,M1490&amp;"|"&amp;L1490,REPT("z",40))</f>
        <v/>
      </c>
      <c r="P1490">
        <f>IF(N1490=1,COUNTIF($O$4:$O$2003,"&lt;"&amp;O1490)+1,"")</f>
        <v/>
      </c>
      <c r="Q1490">
        <f>IF(OR($R1489="",$R1489="T"),"",IF($R1489="B",$Q1489,IF($Q1489+1&gt;$K$3,"",$Q1489+1)))</f>
        <v/>
      </c>
      <c r="R1490">
        <f>IF(OR($R1489="",$R1489="T"),"",IF($R1489="B","S",IF($Q1489+1&gt;$K$3,"T",IF(INDEX($M$4:$M$2003,MATCH($Q1489+1,$P$4:$P$2003,0))&lt;&gt;INDEX($M$4:$M$2003,MATCH($Q1489,$P$4:$P$2003,0)),"B","S"))))</f>
        <v/>
      </c>
      <c r="S1490">
        <f>IF(Q1490="","",IFERROR(MATCH(Q1490,$P$4:$P$2003,0),""))</f>
        <v/>
      </c>
    </row>
    <row r="1491">
      <c r="A1491" s="4">
        <f>IF($R1491="","",IF($R1491="T","Gesamtergebnis",IF($R1491="B",INDEX($M$4:$M$2003,$S1491),INDEX($L$4:$L$2003,$S1491))))</f>
        <v/>
      </c>
      <c r="B1491" s="4">
        <f>IF($R1491="","",IF($R1491="T",$K$3,IF($R1491="B",COUNTIFS($M$4:$M$2003,INDEX($M$4:$M$2003,$S1491),$N$4:$N$2003,1),1)))</f>
        <v/>
      </c>
      <c r="L1491">
        <f>IF($K$1="","",IFERROR(INDEX(Lines!$A:$AA,ROW()-2,$K$1),""))</f>
        <v/>
      </c>
      <c r="M1491">
        <f>IF($K$2="","",IFERROR(INDEX(Lines!$A:$AA,ROW()-2,$K$2),""))</f>
        <v/>
      </c>
      <c r="N1491">
        <f>IF(AND(L1491&lt;&gt;"",LEFT(L1491,1)="N",M1491&lt;&gt;"PICKING",M1491&lt;&gt;""),1,0)</f>
        <v/>
      </c>
      <c r="O1491">
        <f>IF(N1491=1,M1491&amp;"|"&amp;L1491,REPT("z",40))</f>
        <v/>
      </c>
      <c r="P1491">
        <f>IF(N1491=1,COUNTIF($O$4:$O$2003,"&lt;"&amp;O1491)+1,"")</f>
        <v/>
      </c>
      <c r="Q1491">
        <f>IF(OR($R1490="",$R1490="T"),"",IF($R1490="B",$Q1490,IF($Q1490+1&gt;$K$3,"",$Q1490+1)))</f>
        <v/>
      </c>
      <c r="R1491">
        <f>IF(OR($R1490="",$R1490="T"),"",IF($R1490="B","S",IF($Q1490+1&gt;$K$3,"T",IF(INDEX($M$4:$M$2003,MATCH($Q1490+1,$P$4:$P$2003,0))&lt;&gt;INDEX($M$4:$M$2003,MATCH($Q1490,$P$4:$P$2003,0)),"B","S"))))</f>
        <v/>
      </c>
      <c r="S1491">
        <f>IF(Q1491="","",IFERROR(MATCH(Q1491,$P$4:$P$2003,0),""))</f>
        <v/>
      </c>
    </row>
    <row r="1492">
      <c r="A1492" s="4">
        <f>IF($R1492="","",IF($R1492="T","Gesamtergebnis",IF($R1492="B",INDEX($M$4:$M$2003,$S1492),INDEX($L$4:$L$2003,$S1492))))</f>
        <v/>
      </c>
      <c r="B1492" s="4">
        <f>IF($R1492="","",IF($R1492="T",$K$3,IF($R1492="B",COUNTIFS($M$4:$M$2003,INDEX($M$4:$M$2003,$S1492),$N$4:$N$2003,1),1)))</f>
        <v/>
      </c>
      <c r="L1492">
        <f>IF($K$1="","",IFERROR(INDEX(Lines!$A:$AA,ROW()-2,$K$1),""))</f>
        <v/>
      </c>
      <c r="M1492">
        <f>IF($K$2="","",IFERROR(INDEX(Lines!$A:$AA,ROW()-2,$K$2),""))</f>
        <v/>
      </c>
      <c r="N1492">
        <f>IF(AND(L1492&lt;&gt;"",LEFT(L1492,1)="N",M1492&lt;&gt;"PICKING",M1492&lt;&gt;""),1,0)</f>
        <v/>
      </c>
      <c r="O1492">
        <f>IF(N1492=1,M1492&amp;"|"&amp;L1492,REPT("z",40))</f>
        <v/>
      </c>
      <c r="P1492">
        <f>IF(N1492=1,COUNTIF($O$4:$O$2003,"&lt;"&amp;O1492)+1,"")</f>
        <v/>
      </c>
      <c r="Q1492">
        <f>IF(OR($R1491="",$R1491="T"),"",IF($R1491="B",$Q1491,IF($Q1491+1&gt;$K$3,"",$Q1491+1)))</f>
        <v/>
      </c>
      <c r="R1492">
        <f>IF(OR($R1491="",$R1491="T"),"",IF($R1491="B","S",IF($Q1491+1&gt;$K$3,"T",IF(INDEX($M$4:$M$2003,MATCH($Q1491+1,$P$4:$P$2003,0))&lt;&gt;INDEX($M$4:$M$2003,MATCH($Q1491,$P$4:$P$2003,0)),"B","S"))))</f>
        <v/>
      </c>
      <c r="S1492">
        <f>IF(Q1492="","",IFERROR(MATCH(Q1492,$P$4:$P$2003,0),""))</f>
        <v/>
      </c>
    </row>
    <row r="1493">
      <c r="A1493" s="4">
        <f>IF($R1493="","",IF($R1493="T","Gesamtergebnis",IF($R1493="B",INDEX($M$4:$M$2003,$S1493),INDEX($L$4:$L$2003,$S1493))))</f>
        <v/>
      </c>
      <c r="B1493" s="4">
        <f>IF($R1493="","",IF($R1493="T",$K$3,IF($R1493="B",COUNTIFS($M$4:$M$2003,INDEX($M$4:$M$2003,$S1493),$N$4:$N$2003,1),1)))</f>
        <v/>
      </c>
      <c r="L1493">
        <f>IF($K$1="","",IFERROR(INDEX(Lines!$A:$AA,ROW()-2,$K$1),""))</f>
        <v/>
      </c>
      <c r="M1493">
        <f>IF($K$2="","",IFERROR(INDEX(Lines!$A:$AA,ROW()-2,$K$2),""))</f>
        <v/>
      </c>
      <c r="N1493">
        <f>IF(AND(L1493&lt;&gt;"",LEFT(L1493,1)="N",M1493&lt;&gt;"PICKING",M1493&lt;&gt;""),1,0)</f>
        <v/>
      </c>
      <c r="O1493">
        <f>IF(N1493=1,M1493&amp;"|"&amp;L1493,REPT("z",40))</f>
        <v/>
      </c>
      <c r="P1493">
        <f>IF(N1493=1,COUNTIF($O$4:$O$2003,"&lt;"&amp;O1493)+1,"")</f>
        <v/>
      </c>
      <c r="Q1493">
        <f>IF(OR($R1492="",$R1492="T"),"",IF($R1492="B",$Q1492,IF($Q1492+1&gt;$K$3,"",$Q1492+1)))</f>
        <v/>
      </c>
      <c r="R1493">
        <f>IF(OR($R1492="",$R1492="T"),"",IF($R1492="B","S",IF($Q1492+1&gt;$K$3,"T",IF(INDEX($M$4:$M$2003,MATCH($Q1492+1,$P$4:$P$2003,0))&lt;&gt;INDEX($M$4:$M$2003,MATCH($Q1492,$P$4:$P$2003,0)),"B","S"))))</f>
        <v/>
      </c>
      <c r="S1493">
        <f>IF(Q1493="","",IFERROR(MATCH(Q1493,$P$4:$P$2003,0),""))</f>
        <v/>
      </c>
    </row>
    <row r="1494">
      <c r="A1494" s="4">
        <f>IF($R1494="","",IF($R1494="T","Gesamtergebnis",IF($R1494="B",INDEX($M$4:$M$2003,$S1494),INDEX($L$4:$L$2003,$S1494))))</f>
        <v/>
      </c>
      <c r="B1494" s="4">
        <f>IF($R1494="","",IF($R1494="T",$K$3,IF($R1494="B",COUNTIFS($M$4:$M$2003,INDEX($M$4:$M$2003,$S1494),$N$4:$N$2003,1),1)))</f>
        <v/>
      </c>
      <c r="L1494">
        <f>IF($K$1="","",IFERROR(INDEX(Lines!$A:$AA,ROW()-2,$K$1),""))</f>
        <v/>
      </c>
      <c r="M1494">
        <f>IF($K$2="","",IFERROR(INDEX(Lines!$A:$AA,ROW()-2,$K$2),""))</f>
        <v/>
      </c>
      <c r="N1494">
        <f>IF(AND(L1494&lt;&gt;"",LEFT(L1494,1)="N",M1494&lt;&gt;"PICKING",M1494&lt;&gt;""),1,0)</f>
        <v/>
      </c>
      <c r="O1494">
        <f>IF(N1494=1,M1494&amp;"|"&amp;L1494,REPT("z",40))</f>
        <v/>
      </c>
      <c r="P1494">
        <f>IF(N1494=1,COUNTIF($O$4:$O$2003,"&lt;"&amp;O1494)+1,"")</f>
        <v/>
      </c>
      <c r="Q1494">
        <f>IF(OR($R1493="",$R1493="T"),"",IF($R1493="B",$Q1493,IF($Q1493+1&gt;$K$3,"",$Q1493+1)))</f>
        <v/>
      </c>
      <c r="R1494">
        <f>IF(OR($R1493="",$R1493="T"),"",IF($R1493="B","S",IF($Q1493+1&gt;$K$3,"T",IF(INDEX($M$4:$M$2003,MATCH($Q1493+1,$P$4:$P$2003,0))&lt;&gt;INDEX($M$4:$M$2003,MATCH($Q1493,$P$4:$P$2003,0)),"B","S"))))</f>
        <v/>
      </c>
      <c r="S1494">
        <f>IF(Q1494="","",IFERROR(MATCH(Q1494,$P$4:$P$2003,0),""))</f>
        <v/>
      </c>
    </row>
    <row r="1495">
      <c r="A1495" s="4">
        <f>IF($R1495="","",IF($R1495="T","Gesamtergebnis",IF($R1495="B",INDEX($M$4:$M$2003,$S1495),INDEX($L$4:$L$2003,$S1495))))</f>
        <v/>
      </c>
      <c r="B1495" s="4">
        <f>IF($R1495="","",IF($R1495="T",$K$3,IF($R1495="B",COUNTIFS($M$4:$M$2003,INDEX($M$4:$M$2003,$S1495),$N$4:$N$2003,1),1)))</f>
        <v/>
      </c>
      <c r="L1495">
        <f>IF($K$1="","",IFERROR(INDEX(Lines!$A:$AA,ROW()-2,$K$1),""))</f>
        <v/>
      </c>
      <c r="M1495">
        <f>IF($K$2="","",IFERROR(INDEX(Lines!$A:$AA,ROW()-2,$K$2),""))</f>
        <v/>
      </c>
      <c r="N1495">
        <f>IF(AND(L1495&lt;&gt;"",LEFT(L1495,1)="N",M1495&lt;&gt;"PICKING",M1495&lt;&gt;""),1,0)</f>
        <v/>
      </c>
      <c r="O1495">
        <f>IF(N1495=1,M1495&amp;"|"&amp;L1495,REPT("z",40))</f>
        <v/>
      </c>
      <c r="P1495">
        <f>IF(N1495=1,COUNTIF($O$4:$O$2003,"&lt;"&amp;O1495)+1,"")</f>
        <v/>
      </c>
      <c r="Q1495">
        <f>IF(OR($R1494="",$R1494="T"),"",IF($R1494="B",$Q1494,IF($Q1494+1&gt;$K$3,"",$Q1494+1)))</f>
        <v/>
      </c>
      <c r="R1495">
        <f>IF(OR($R1494="",$R1494="T"),"",IF($R1494="B","S",IF($Q1494+1&gt;$K$3,"T",IF(INDEX($M$4:$M$2003,MATCH($Q1494+1,$P$4:$P$2003,0))&lt;&gt;INDEX($M$4:$M$2003,MATCH($Q1494,$P$4:$P$2003,0)),"B","S"))))</f>
        <v/>
      </c>
      <c r="S1495">
        <f>IF(Q1495="","",IFERROR(MATCH(Q1495,$P$4:$P$2003,0),""))</f>
        <v/>
      </c>
    </row>
    <row r="1496">
      <c r="A1496" s="4">
        <f>IF($R1496="","",IF($R1496="T","Gesamtergebnis",IF($R1496="B",INDEX($M$4:$M$2003,$S1496),INDEX($L$4:$L$2003,$S1496))))</f>
        <v/>
      </c>
      <c r="B1496" s="4">
        <f>IF($R1496="","",IF($R1496="T",$K$3,IF($R1496="B",COUNTIFS($M$4:$M$2003,INDEX($M$4:$M$2003,$S1496),$N$4:$N$2003,1),1)))</f>
        <v/>
      </c>
      <c r="L1496">
        <f>IF($K$1="","",IFERROR(INDEX(Lines!$A:$AA,ROW()-2,$K$1),""))</f>
        <v/>
      </c>
      <c r="M1496">
        <f>IF($K$2="","",IFERROR(INDEX(Lines!$A:$AA,ROW()-2,$K$2),""))</f>
        <v/>
      </c>
      <c r="N1496">
        <f>IF(AND(L1496&lt;&gt;"",LEFT(L1496,1)="N",M1496&lt;&gt;"PICKING",M1496&lt;&gt;""),1,0)</f>
        <v/>
      </c>
      <c r="O1496">
        <f>IF(N1496=1,M1496&amp;"|"&amp;L1496,REPT("z",40))</f>
        <v/>
      </c>
      <c r="P1496">
        <f>IF(N1496=1,COUNTIF($O$4:$O$2003,"&lt;"&amp;O1496)+1,"")</f>
        <v/>
      </c>
      <c r="Q1496">
        <f>IF(OR($R1495="",$R1495="T"),"",IF($R1495="B",$Q1495,IF($Q1495+1&gt;$K$3,"",$Q1495+1)))</f>
        <v/>
      </c>
      <c r="R1496">
        <f>IF(OR($R1495="",$R1495="T"),"",IF($R1495="B","S",IF($Q1495+1&gt;$K$3,"T",IF(INDEX($M$4:$M$2003,MATCH($Q1495+1,$P$4:$P$2003,0))&lt;&gt;INDEX($M$4:$M$2003,MATCH($Q1495,$P$4:$P$2003,0)),"B","S"))))</f>
        <v/>
      </c>
      <c r="S1496">
        <f>IF(Q1496="","",IFERROR(MATCH(Q1496,$P$4:$P$2003,0),""))</f>
        <v/>
      </c>
    </row>
    <row r="1497">
      <c r="A1497" s="4">
        <f>IF($R1497="","",IF($R1497="T","Gesamtergebnis",IF($R1497="B",INDEX($M$4:$M$2003,$S1497),INDEX($L$4:$L$2003,$S1497))))</f>
        <v/>
      </c>
      <c r="B1497" s="4">
        <f>IF($R1497="","",IF($R1497="T",$K$3,IF($R1497="B",COUNTIFS($M$4:$M$2003,INDEX($M$4:$M$2003,$S1497),$N$4:$N$2003,1),1)))</f>
        <v/>
      </c>
      <c r="L1497">
        <f>IF($K$1="","",IFERROR(INDEX(Lines!$A:$AA,ROW()-2,$K$1),""))</f>
        <v/>
      </c>
      <c r="M1497">
        <f>IF($K$2="","",IFERROR(INDEX(Lines!$A:$AA,ROW()-2,$K$2),""))</f>
        <v/>
      </c>
      <c r="N1497">
        <f>IF(AND(L1497&lt;&gt;"",LEFT(L1497,1)="N",M1497&lt;&gt;"PICKING",M1497&lt;&gt;""),1,0)</f>
        <v/>
      </c>
      <c r="O1497">
        <f>IF(N1497=1,M1497&amp;"|"&amp;L1497,REPT("z",40))</f>
        <v/>
      </c>
      <c r="P1497">
        <f>IF(N1497=1,COUNTIF($O$4:$O$2003,"&lt;"&amp;O1497)+1,"")</f>
        <v/>
      </c>
      <c r="Q1497">
        <f>IF(OR($R1496="",$R1496="T"),"",IF($R1496="B",$Q1496,IF($Q1496+1&gt;$K$3,"",$Q1496+1)))</f>
        <v/>
      </c>
      <c r="R1497">
        <f>IF(OR($R1496="",$R1496="T"),"",IF($R1496="B","S",IF($Q1496+1&gt;$K$3,"T",IF(INDEX($M$4:$M$2003,MATCH($Q1496+1,$P$4:$P$2003,0))&lt;&gt;INDEX($M$4:$M$2003,MATCH($Q1496,$P$4:$P$2003,0)),"B","S"))))</f>
        <v/>
      </c>
      <c r="S1497">
        <f>IF(Q1497="","",IFERROR(MATCH(Q1497,$P$4:$P$2003,0),""))</f>
        <v/>
      </c>
    </row>
    <row r="1498">
      <c r="A1498" s="4">
        <f>IF($R1498="","",IF($R1498="T","Gesamtergebnis",IF($R1498="B",INDEX($M$4:$M$2003,$S1498),INDEX($L$4:$L$2003,$S1498))))</f>
        <v/>
      </c>
      <c r="B1498" s="4">
        <f>IF($R1498="","",IF($R1498="T",$K$3,IF($R1498="B",COUNTIFS($M$4:$M$2003,INDEX($M$4:$M$2003,$S1498),$N$4:$N$2003,1),1)))</f>
        <v/>
      </c>
      <c r="L1498">
        <f>IF($K$1="","",IFERROR(INDEX(Lines!$A:$AA,ROW()-2,$K$1),""))</f>
        <v/>
      </c>
      <c r="M1498">
        <f>IF($K$2="","",IFERROR(INDEX(Lines!$A:$AA,ROW()-2,$K$2),""))</f>
        <v/>
      </c>
      <c r="N1498">
        <f>IF(AND(L1498&lt;&gt;"",LEFT(L1498,1)="N",M1498&lt;&gt;"PICKING",M1498&lt;&gt;""),1,0)</f>
        <v/>
      </c>
      <c r="O1498">
        <f>IF(N1498=1,M1498&amp;"|"&amp;L1498,REPT("z",40))</f>
        <v/>
      </c>
      <c r="P1498">
        <f>IF(N1498=1,COUNTIF($O$4:$O$2003,"&lt;"&amp;O1498)+1,"")</f>
        <v/>
      </c>
      <c r="Q1498">
        <f>IF(OR($R1497="",$R1497="T"),"",IF($R1497="B",$Q1497,IF($Q1497+1&gt;$K$3,"",$Q1497+1)))</f>
        <v/>
      </c>
      <c r="R1498">
        <f>IF(OR($R1497="",$R1497="T"),"",IF($R1497="B","S",IF($Q1497+1&gt;$K$3,"T",IF(INDEX($M$4:$M$2003,MATCH($Q1497+1,$P$4:$P$2003,0))&lt;&gt;INDEX($M$4:$M$2003,MATCH($Q1497,$P$4:$P$2003,0)),"B","S"))))</f>
        <v/>
      </c>
      <c r="S1498">
        <f>IF(Q1498="","",IFERROR(MATCH(Q1498,$P$4:$P$2003,0),""))</f>
        <v/>
      </c>
    </row>
    <row r="1499">
      <c r="A1499" s="4">
        <f>IF($R1499="","",IF($R1499="T","Gesamtergebnis",IF($R1499="B",INDEX($M$4:$M$2003,$S1499),INDEX($L$4:$L$2003,$S1499))))</f>
        <v/>
      </c>
      <c r="B1499" s="4">
        <f>IF($R1499="","",IF($R1499="T",$K$3,IF($R1499="B",COUNTIFS($M$4:$M$2003,INDEX($M$4:$M$2003,$S1499),$N$4:$N$2003,1),1)))</f>
        <v/>
      </c>
      <c r="L1499">
        <f>IF($K$1="","",IFERROR(INDEX(Lines!$A:$AA,ROW()-2,$K$1),""))</f>
        <v/>
      </c>
      <c r="M1499">
        <f>IF($K$2="","",IFERROR(INDEX(Lines!$A:$AA,ROW()-2,$K$2),""))</f>
        <v/>
      </c>
      <c r="N1499">
        <f>IF(AND(L1499&lt;&gt;"",LEFT(L1499,1)="N",M1499&lt;&gt;"PICKING",M1499&lt;&gt;""),1,0)</f>
        <v/>
      </c>
      <c r="O1499">
        <f>IF(N1499=1,M1499&amp;"|"&amp;L1499,REPT("z",40))</f>
        <v/>
      </c>
      <c r="P1499">
        <f>IF(N1499=1,COUNTIF($O$4:$O$2003,"&lt;"&amp;O1499)+1,"")</f>
        <v/>
      </c>
      <c r="Q1499">
        <f>IF(OR($R1498="",$R1498="T"),"",IF($R1498="B",$Q1498,IF($Q1498+1&gt;$K$3,"",$Q1498+1)))</f>
        <v/>
      </c>
      <c r="R1499">
        <f>IF(OR($R1498="",$R1498="T"),"",IF($R1498="B","S",IF($Q1498+1&gt;$K$3,"T",IF(INDEX($M$4:$M$2003,MATCH($Q1498+1,$P$4:$P$2003,0))&lt;&gt;INDEX($M$4:$M$2003,MATCH($Q1498,$P$4:$P$2003,0)),"B","S"))))</f>
        <v/>
      </c>
      <c r="S1499">
        <f>IF(Q1499="","",IFERROR(MATCH(Q1499,$P$4:$P$2003,0),""))</f>
        <v/>
      </c>
    </row>
    <row r="1500">
      <c r="A1500" s="4">
        <f>IF($R1500="","",IF($R1500="T","Gesamtergebnis",IF($R1500="B",INDEX($M$4:$M$2003,$S1500),INDEX($L$4:$L$2003,$S1500))))</f>
        <v/>
      </c>
      <c r="B1500" s="4">
        <f>IF($R1500="","",IF($R1500="T",$K$3,IF($R1500="B",COUNTIFS($M$4:$M$2003,INDEX($M$4:$M$2003,$S1500),$N$4:$N$2003,1),1)))</f>
        <v/>
      </c>
      <c r="L1500">
        <f>IF($K$1="","",IFERROR(INDEX(Lines!$A:$AA,ROW()-2,$K$1),""))</f>
        <v/>
      </c>
      <c r="M1500">
        <f>IF($K$2="","",IFERROR(INDEX(Lines!$A:$AA,ROW()-2,$K$2),""))</f>
        <v/>
      </c>
      <c r="N1500">
        <f>IF(AND(L1500&lt;&gt;"",LEFT(L1500,1)="N",M1500&lt;&gt;"PICKING",M1500&lt;&gt;""),1,0)</f>
        <v/>
      </c>
      <c r="O1500">
        <f>IF(N1500=1,M1500&amp;"|"&amp;L1500,REPT("z",40))</f>
        <v/>
      </c>
      <c r="P1500">
        <f>IF(N1500=1,COUNTIF($O$4:$O$2003,"&lt;"&amp;O1500)+1,"")</f>
        <v/>
      </c>
      <c r="Q1500">
        <f>IF(OR($R1499="",$R1499="T"),"",IF($R1499="B",$Q1499,IF($Q1499+1&gt;$K$3,"",$Q1499+1)))</f>
        <v/>
      </c>
      <c r="R1500">
        <f>IF(OR($R1499="",$R1499="T"),"",IF($R1499="B","S",IF($Q1499+1&gt;$K$3,"T",IF(INDEX($M$4:$M$2003,MATCH($Q1499+1,$P$4:$P$2003,0))&lt;&gt;INDEX($M$4:$M$2003,MATCH($Q1499,$P$4:$P$2003,0)),"B","S"))))</f>
        <v/>
      </c>
      <c r="S1500">
        <f>IF(Q1500="","",IFERROR(MATCH(Q1500,$P$4:$P$2003,0),""))</f>
        <v/>
      </c>
    </row>
    <row r="1501">
      <c r="A1501" s="4">
        <f>IF($R1501="","",IF($R1501="T","Gesamtergebnis",IF($R1501="B",INDEX($M$4:$M$2003,$S1501),INDEX($L$4:$L$2003,$S1501))))</f>
        <v/>
      </c>
      <c r="B1501" s="4">
        <f>IF($R1501="","",IF($R1501="T",$K$3,IF($R1501="B",COUNTIFS($M$4:$M$2003,INDEX($M$4:$M$2003,$S1501),$N$4:$N$2003,1),1)))</f>
        <v/>
      </c>
      <c r="L1501">
        <f>IF($K$1="","",IFERROR(INDEX(Lines!$A:$AA,ROW()-2,$K$1),""))</f>
        <v/>
      </c>
      <c r="M1501">
        <f>IF($K$2="","",IFERROR(INDEX(Lines!$A:$AA,ROW()-2,$K$2),""))</f>
        <v/>
      </c>
      <c r="N1501">
        <f>IF(AND(L1501&lt;&gt;"",LEFT(L1501,1)="N",M1501&lt;&gt;"PICKING",M1501&lt;&gt;""),1,0)</f>
        <v/>
      </c>
      <c r="O1501">
        <f>IF(N1501=1,M1501&amp;"|"&amp;L1501,REPT("z",40))</f>
        <v/>
      </c>
      <c r="P1501">
        <f>IF(N1501=1,COUNTIF($O$4:$O$2003,"&lt;"&amp;O1501)+1,"")</f>
        <v/>
      </c>
      <c r="Q1501">
        <f>IF(OR($R1500="",$R1500="T"),"",IF($R1500="B",$Q1500,IF($Q1500+1&gt;$K$3,"",$Q1500+1)))</f>
        <v/>
      </c>
      <c r="R1501">
        <f>IF(OR($R1500="",$R1500="T"),"",IF($R1500="B","S",IF($Q1500+1&gt;$K$3,"T",IF(INDEX($M$4:$M$2003,MATCH($Q1500+1,$P$4:$P$2003,0))&lt;&gt;INDEX($M$4:$M$2003,MATCH($Q1500,$P$4:$P$2003,0)),"B","S"))))</f>
        <v/>
      </c>
      <c r="S1501">
        <f>IF(Q1501="","",IFERROR(MATCH(Q1501,$P$4:$P$2003,0),""))</f>
        <v/>
      </c>
    </row>
    <row r="1502">
      <c r="A1502" s="4">
        <f>IF($R1502="","",IF($R1502="T","Gesamtergebnis",IF($R1502="B",INDEX($M$4:$M$2003,$S1502),INDEX($L$4:$L$2003,$S1502))))</f>
        <v/>
      </c>
      <c r="B1502" s="4">
        <f>IF($R1502="","",IF($R1502="T",$K$3,IF($R1502="B",COUNTIFS($M$4:$M$2003,INDEX($M$4:$M$2003,$S1502),$N$4:$N$2003,1),1)))</f>
        <v/>
      </c>
      <c r="L1502">
        <f>IF($K$1="","",IFERROR(INDEX(Lines!$A:$AA,ROW()-2,$K$1),""))</f>
        <v/>
      </c>
      <c r="M1502">
        <f>IF($K$2="","",IFERROR(INDEX(Lines!$A:$AA,ROW()-2,$K$2),""))</f>
        <v/>
      </c>
      <c r="N1502">
        <f>IF(AND(L1502&lt;&gt;"",LEFT(L1502,1)="N",M1502&lt;&gt;"PICKING",M1502&lt;&gt;""),1,0)</f>
        <v/>
      </c>
      <c r="O1502">
        <f>IF(N1502=1,M1502&amp;"|"&amp;L1502,REPT("z",40))</f>
        <v/>
      </c>
      <c r="P1502">
        <f>IF(N1502=1,COUNTIF($O$4:$O$2003,"&lt;"&amp;O1502)+1,"")</f>
        <v/>
      </c>
      <c r="Q1502">
        <f>IF(OR($R1501="",$R1501="T"),"",IF($R1501="B",$Q1501,IF($Q1501+1&gt;$K$3,"",$Q1501+1)))</f>
        <v/>
      </c>
      <c r="R1502">
        <f>IF(OR($R1501="",$R1501="T"),"",IF($R1501="B","S",IF($Q1501+1&gt;$K$3,"T",IF(INDEX($M$4:$M$2003,MATCH($Q1501+1,$P$4:$P$2003,0))&lt;&gt;INDEX($M$4:$M$2003,MATCH($Q1501,$P$4:$P$2003,0)),"B","S"))))</f>
        <v/>
      </c>
      <c r="S1502">
        <f>IF(Q1502="","",IFERROR(MATCH(Q1502,$P$4:$P$2003,0),""))</f>
        <v/>
      </c>
    </row>
    <row r="1503">
      <c r="A1503" s="4">
        <f>IF($R1503="","",IF($R1503="T","Gesamtergebnis",IF($R1503="B",INDEX($M$4:$M$2003,$S1503),INDEX($L$4:$L$2003,$S1503))))</f>
        <v/>
      </c>
      <c r="B1503" s="4">
        <f>IF($R1503="","",IF($R1503="T",$K$3,IF($R1503="B",COUNTIFS($M$4:$M$2003,INDEX($M$4:$M$2003,$S1503),$N$4:$N$2003,1),1)))</f>
        <v/>
      </c>
      <c r="L1503">
        <f>IF($K$1="","",IFERROR(INDEX(Lines!$A:$AA,ROW()-2,$K$1),""))</f>
        <v/>
      </c>
      <c r="M1503">
        <f>IF($K$2="","",IFERROR(INDEX(Lines!$A:$AA,ROW()-2,$K$2),""))</f>
        <v/>
      </c>
      <c r="N1503">
        <f>IF(AND(L1503&lt;&gt;"",LEFT(L1503,1)="N",M1503&lt;&gt;"PICKING",M1503&lt;&gt;""),1,0)</f>
        <v/>
      </c>
      <c r="O1503">
        <f>IF(N1503=1,M1503&amp;"|"&amp;L1503,REPT("z",40))</f>
        <v/>
      </c>
      <c r="P1503">
        <f>IF(N1503=1,COUNTIF($O$4:$O$2003,"&lt;"&amp;O1503)+1,"")</f>
        <v/>
      </c>
      <c r="Q1503">
        <f>IF(OR($R1502="",$R1502="T"),"",IF($R1502="B",$Q1502,IF($Q1502+1&gt;$K$3,"",$Q1502+1)))</f>
        <v/>
      </c>
      <c r="R1503">
        <f>IF(OR($R1502="",$R1502="T"),"",IF($R1502="B","S",IF($Q1502+1&gt;$K$3,"T",IF(INDEX($M$4:$M$2003,MATCH($Q1502+1,$P$4:$P$2003,0))&lt;&gt;INDEX($M$4:$M$2003,MATCH($Q1502,$P$4:$P$2003,0)),"B","S"))))</f>
        <v/>
      </c>
      <c r="S1503">
        <f>IF(Q1503="","",IFERROR(MATCH(Q1503,$P$4:$P$2003,0),""))</f>
        <v/>
      </c>
    </row>
    <row r="1504">
      <c r="A1504" s="4">
        <f>IF($R1504="","",IF($R1504="T","Gesamtergebnis",IF($R1504="B",INDEX($M$4:$M$2003,$S1504),INDEX($L$4:$L$2003,$S1504))))</f>
        <v/>
      </c>
      <c r="B1504" s="4">
        <f>IF($R1504="","",IF($R1504="T",$K$3,IF($R1504="B",COUNTIFS($M$4:$M$2003,INDEX($M$4:$M$2003,$S1504),$N$4:$N$2003,1),1)))</f>
        <v/>
      </c>
      <c r="L1504">
        <f>IF($K$1="","",IFERROR(INDEX(Lines!$A:$AA,ROW()-2,$K$1),""))</f>
        <v/>
      </c>
      <c r="M1504">
        <f>IF($K$2="","",IFERROR(INDEX(Lines!$A:$AA,ROW()-2,$K$2),""))</f>
        <v/>
      </c>
      <c r="N1504">
        <f>IF(AND(L1504&lt;&gt;"",LEFT(L1504,1)="N",M1504&lt;&gt;"PICKING",M1504&lt;&gt;""),1,0)</f>
        <v/>
      </c>
      <c r="O1504">
        <f>IF(N1504=1,M1504&amp;"|"&amp;L1504,REPT("z",40))</f>
        <v/>
      </c>
      <c r="P1504">
        <f>IF(N1504=1,COUNTIF($O$4:$O$2003,"&lt;"&amp;O1504)+1,"")</f>
        <v/>
      </c>
      <c r="Q1504">
        <f>IF(OR($R1503="",$R1503="T"),"",IF($R1503="B",$Q1503,IF($Q1503+1&gt;$K$3,"",$Q1503+1)))</f>
        <v/>
      </c>
      <c r="R1504">
        <f>IF(OR($R1503="",$R1503="T"),"",IF($R1503="B","S",IF($Q1503+1&gt;$K$3,"T",IF(INDEX($M$4:$M$2003,MATCH($Q1503+1,$P$4:$P$2003,0))&lt;&gt;INDEX($M$4:$M$2003,MATCH($Q1503,$P$4:$P$2003,0)),"B","S"))))</f>
        <v/>
      </c>
      <c r="S1504">
        <f>IF(Q1504="","",IFERROR(MATCH(Q1504,$P$4:$P$2003,0),""))</f>
        <v/>
      </c>
    </row>
    <row r="1505">
      <c r="A1505" s="4">
        <f>IF($R1505="","",IF($R1505="T","Gesamtergebnis",IF($R1505="B",INDEX($M$4:$M$2003,$S1505),INDEX($L$4:$L$2003,$S1505))))</f>
        <v/>
      </c>
      <c r="B1505" s="4">
        <f>IF($R1505="","",IF($R1505="T",$K$3,IF($R1505="B",COUNTIFS($M$4:$M$2003,INDEX($M$4:$M$2003,$S1505),$N$4:$N$2003,1),1)))</f>
        <v/>
      </c>
      <c r="L1505">
        <f>IF($K$1="","",IFERROR(INDEX(Lines!$A:$AA,ROW()-2,$K$1),""))</f>
        <v/>
      </c>
      <c r="M1505">
        <f>IF($K$2="","",IFERROR(INDEX(Lines!$A:$AA,ROW()-2,$K$2),""))</f>
        <v/>
      </c>
      <c r="N1505">
        <f>IF(AND(L1505&lt;&gt;"",LEFT(L1505,1)="N",M1505&lt;&gt;"PICKING",M1505&lt;&gt;""),1,0)</f>
        <v/>
      </c>
      <c r="O1505">
        <f>IF(N1505=1,M1505&amp;"|"&amp;L1505,REPT("z",40))</f>
        <v/>
      </c>
      <c r="P1505">
        <f>IF(N1505=1,COUNTIF($O$4:$O$2003,"&lt;"&amp;O1505)+1,"")</f>
        <v/>
      </c>
      <c r="Q1505">
        <f>IF(OR($R1504="",$R1504="T"),"",IF($R1504="B",$Q1504,IF($Q1504+1&gt;$K$3,"",$Q1504+1)))</f>
        <v/>
      </c>
      <c r="R1505">
        <f>IF(OR($R1504="",$R1504="T"),"",IF($R1504="B","S",IF($Q1504+1&gt;$K$3,"T",IF(INDEX($M$4:$M$2003,MATCH($Q1504+1,$P$4:$P$2003,0))&lt;&gt;INDEX($M$4:$M$2003,MATCH($Q1504,$P$4:$P$2003,0)),"B","S"))))</f>
        <v/>
      </c>
      <c r="S1505">
        <f>IF(Q1505="","",IFERROR(MATCH(Q1505,$P$4:$P$2003,0),""))</f>
        <v/>
      </c>
    </row>
    <row r="1506">
      <c r="A1506" s="4">
        <f>IF($R1506="","",IF($R1506="T","Gesamtergebnis",IF($R1506="B",INDEX($M$4:$M$2003,$S1506),INDEX($L$4:$L$2003,$S1506))))</f>
        <v/>
      </c>
      <c r="B1506" s="4">
        <f>IF($R1506="","",IF($R1506="T",$K$3,IF($R1506="B",COUNTIFS($M$4:$M$2003,INDEX($M$4:$M$2003,$S1506),$N$4:$N$2003,1),1)))</f>
        <v/>
      </c>
      <c r="L1506">
        <f>IF($K$1="","",IFERROR(INDEX(Lines!$A:$AA,ROW()-2,$K$1),""))</f>
        <v/>
      </c>
      <c r="M1506">
        <f>IF($K$2="","",IFERROR(INDEX(Lines!$A:$AA,ROW()-2,$K$2),""))</f>
        <v/>
      </c>
      <c r="N1506">
        <f>IF(AND(L1506&lt;&gt;"",LEFT(L1506,1)="N",M1506&lt;&gt;"PICKING",M1506&lt;&gt;""),1,0)</f>
        <v/>
      </c>
      <c r="O1506">
        <f>IF(N1506=1,M1506&amp;"|"&amp;L1506,REPT("z",40))</f>
        <v/>
      </c>
      <c r="P1506">
        <f>IF(N1506=1,COUNTIF($O$4:$O$2003,"&lt;"&amp;O1506)+1,"")</f>
        <v/>
      </c>
      <c r="Q1506">
        <f>IF(OR($R1505="",$R1505="T"),"",IF($R1505="B",$Q1505,IF($Q1505+1&gt;$K$3,"",$Q1505+1)))</f>
        <v/>
      </c>
      <c r="R1506">
        <f>IF(OR($R1505="",$R1505="T"),"",IF($R1505="B","S",IF($Q1505+1&gt;$K$3,"T",IF(INDEX($M$4:$M$2003,MATCH($Q1505+1,$P$4:$P$2003,0))&lt;&gt;INDEX($M$4:$M$2003,MATCH($Q1505,$P$4:$P$2003,0)),"B","S"))))</f>
        <v/>
      </c>
      <c r="S1506">
        <f>IF(Q1506="","",IFERROR(MATCH(Q1506,$P$4:$P$2003,0),""))</f>
        <v/>
      </c>
    </row>
    <row r="1507">
      <c r="A1507" s="4">
        <f>IF($R1507="","",IF($R1507="T","Gesamtergebnis",IF($R1507="B",INDEX($M$4:$M$2003,$S1507),INDEX($L$4:$L$2003,$S1507))))</f>
        <v/>
      </c>
      <c r="B1507" s="4">
        <f>IF($R1507="","",IF($R1507="T",$K$3,IF($R1507="B",COUNTIFS($M$4:$M$2003,INDEX($M$4:$M$2003,$S1507),$N$4:$N$2003,1),1)))</f>
        <v/>
      </c>
      <c r="L1507">
        <f>IF($K$1="","",IFERROR(INDEX(Lines!$A:$AA,ROW()-2,$K$1),""))</f>
        <v/>
      </c>
      <c r="M1507">
        <f>IF($K$2="","",IFERROR(INDEX(Lines!$A:$AA,ROW()-2,$K$2),""))</f>
        <v/>
      </c>
      <c r="N1507">
        <f>IF(AND(L1507&lt;&gt;"",LEFT(L1507,1)="N",M1507&lt;&gt;"PICKING",M1507&lt;&gt;""),1,0)</f>
        <v/>
      </c>
      <c r="O1507">
        <f>IF(N1507=1,M1507&amp;"|"&amp;L1507,REPT("z",40))</f>
        <v/>
      </c>
      <c r="P1507">
        <f>IF(N1507=1,COUNTIF($O$4:$O$2003,"&lt;"&amp;O1507)+1,"")</f>
        <v/>
      </c>
      <c r="Q1507">
        <f>IF(OR($R1506="",$R1506="T"),"",IF($R1506="B",$Q1506,IF($Q1506+1&gt;$K$3,"",$Q1506+1)))</f>
        <v/>
      </c>
      <c r="R1507">
        <f>IF(OR($R1506="",$R1506="T"),"",IF($R1506="B","S",IF($Q1506+1&gt;$K$3,"T",IF(INDEX($M$4:$M$2003,MATCH($Q1506+1,$P$4:$P$2003,0))&lt;&gt;INDEX($M$4:$M$2003,MATCH($Q1506,$P$4:$P$2003,0)),"B","S"))))</f>
        <v/>
      </c>
      <c r="S1507">
        <f>IF(Q1507="","",IFERROR(MATCH(Q1507,$P$4:$P$2003,0),""))</f>
        <v/>
      </c>
    </row>
    <row r="1508">
      <c r="A1508" s="4">
        <f>IF($R1508="","",IF($R1508="T","Gesamtergebnis",IF($R1508="B",INDEX($M$4:$M$2003,$S1508),INDEX($L$4:$L$2003,$S1508))))</f>
        <v/>
      </c>
      <c r="B1508" s="4">
        <f>IF($R1508="","",IF($R1508="T",$K$3,IF($R1508="B",COUNTIFS($M$4:$M$2003,INDEX($M$4:$M$2003,$S1508),$N$4:$N$2003,1),1)))</f>
        <v/>
      </c>
      <c r="L1508">
        <f>IF($K$1="","",IFERROR(INDEX(Lines!$A:$AA,ROW()-2,$K$1),""))</f>
        <v/>
      </c>
      <c r="M1508">
        <f>IF($K$2="","",IFERROR(INDEX(Lines!$A:$AA,ROW()-2,$K$2),""))</f>
        <v/>
      </c>
      <c r="N1508">
        <f>IF(AND(L1508&lt;&gt;"",LEFT(L1508,1)="N",M1508&lt;&gt;"PICKING",M1508&lt;&gt;""),1,0)</f>
        <v/>
      </c>
      <c r="O1508">
        <f>IF(N1508=1,M1508&amp;"|"&amp;L1508,REPT("z",40))</f>
        <v/>
      </c>
      <c r="P1508">
        <f>IF(N1508=1,COUNTIF($O$4:$O$2003,"&lt;"&amp;O1508)+1,"")</f>
        <v/>
      </c>
      <c r="Q1508">
        <f>IF(OR($R1507="",$R1507="T"),"",IF($R1507="B",$Q1507,IF($Q1507+1&gt;$K$3,"",$Q1507+1)))</f>
        <v/>
      </c>
      <c r="R1508">
        <f>IF(OR($R1507="",$R1507="T"),"",IF($R1507="B","S",IF($Q1507+1&gt;$K$3,"T",IF(INDEX($M$4:$M$2003,MATCH($Q1507+1,$P$4:$P$2003,0))&lt;&gt;INDEX($M$4:$M$2003,MATCH($Q1507,$P$4:$P$2003,0)),"B","S"))))</f>
        <v/>
      </c>
      <c r="S1508">
        <f>IF(Q1508="","",IFERROR(MATCH(Q1508,$P$4:$P$2003,0),""))</f>
        <v/>
      </c>
    </row>
    <row r="1509">
      <c r="A1509" s="4">
        <f>IF($R1509="","",IF($R1509="T","Gesamtergebnis",IF($R1509="B",INDEX($M$4:$M$2003,$S1509),INDEX($L$4:$L$2003,$S1509))))</f>
        <v/>
      </c>
      <c r="B1509" s="4">
        <f>IF($R1509="","",IF($R1509="T",$K$3,IF($R1509="B",COUNTIFS($M$4:$M$2003,INDEX($M$4:$M$2003,$S1509),$N$4:$N$2003,1),1)))</f>
        <v/>
      </c>
      <c r="L1509">
        <f>IF($K$1="","",IFERROR(INDEX(Lines!$A:$AA,ROW()-2,$K$1),""))</f>
        <v/>
      </c>
      <c r="M1509">
        <f>IF($K$2="","",IFERROR(INDEX(Lines!$A:$AA,ROW()-2,$K$2),""))</f>
        <v/>
      </c>
      <c r="N1509">
        <f>IF(AND(L1509&lt;&gt;"",LEFT(L1509,1)="N",M1509&lt;&gt;"PICKING",M1509&lt;&gt;""),1,0)</f>
        <v/>
      </c>
      <c r="O1509">
        <f>IF(N1509=1,M1509&amp;"|"&amp;L1509,REPT("z",40))</f>
        <v/>
      </c>
      <c r="P1509">
        <f>IF(N1509=1,COUNTIF($O$4:$O$2003,"&lt;"&amp;O1509)+1,"")</f>
        <v/>
      </c>
      <c r="Q1509">
        <f>IF(OR($R1508="",$R1508="T"),"",IF($R1508="B",$Q1508,IF($Q1508+1&gt;$K$3,"",$Q1508+1)))</f>
        <v/>
      </c>
      <c r="R1509">
        <f>IF(OR($R1508="",$R1508="T"),"",IF($R1508="B","S",IF($Q1508+1&gt;$K$3,"T",IF(INDEX($M$4:$M$2003,MATCH($Q1508+1,$P$4:$P$2003,0))&lt;&gt;INDEX($M$4:$M$2003,MATCH($Q1508,$P$4:$P$2003,0)),"B","S"))))</f>
        <v/>
      </c>
      <c r="S1509">
        <f>IF(Q1509="","",IFERROR(MATCH(Q1509,$P$4:$P$2003,0),""))</f>
        <v/>
      </c>
    </row>
    <row r="1510">
      <c r="A1510" s="4">
        <f>IF($R1510="","",IF($R1510="T","Gesamtergebnis",IF($R1510="B",INDEX($M$4:$M$2003,$S1510),INDEX($L$4:$L$2003,$S1510))))</f>
        <v/>
      </c>
      <c r="B1510" s="4">
        <f>IF($R1510="","",IF($R1510="T",$K$3,IF($R1510="B",COUNTIFS($M$4:$M$2003,INDEX($M$4:$M$2003,$S1510),$N$4:$N$2003,1),1)))</f>
        <v/>
      </c>
      <c r="L1510">
        <f>IF($K$1="","",IFERROR(INDEX(Lines!$A:$AA,ROW()-2,$K$1),""))</f>
        <v/>
      </c>
      <c r="M1510">
        <f>IF($K$2="","",IFERROR(INDEX(Lines!$A:$AA,ROW()-2,$K$2),""))</f>
        <v/>
      </c>
      <c r="N1510">
        <f>IF(AND(L1510&lt;&gt;"",LEFT(L1510,1)="N",M1510&lt;&gt;"PICKING",M1510&lt;&gt;""),1,0)</f>
        <v/>
      </c>
      <c r="O1510">
        <f>IF(N1510=1,M1510&amp;"|"&amp;L1510,REPT("z",40))</f>
        <v/>
      </c>
      <c r="P1510">
        <f>IF(N1510=1,COUNTIF($O$4:$O$2003,"&lt;"&amp;O1510)+1,"")</f>
        <v/>
      </c>
      <c r="Q1510">
        <f>IF(OR($R1509="",$R1509="T"),"",IF($R1509="B",$Q1509,IF($Q1509+1&gt;$K$3,"",$Q1509+1)))</f>
        <v/>
      </c>
      <c r="R1510">
        <f>IF(OR($R1509="",$R1509="T"),"",IF($R1509="B","S",IF($Q1509+1&gt;$K$3,"T",IF(INDEX($M$4:$M$2003,MATCH($Q1509+1,$P$4:$P$2003,0))&lt;&gt;INDEX($M$4:$M$2003,MATCH($Q1509,$P$4:$P$2003,0)),"B","S"))))</f>
        <v/>
      </c>
      <c r="S1510">
        <f>IF(Q1510="","",IFERROR(MATCH(Q1510,$P$4:$P$2003,0),""))</f>
        <v/>
      </c>
    </row>
    <row r="1511">
      <c r="A1511" s="4">
        <f>IF($R1511="","",IF($R1511="T","Gesamtergebnis",IF($R1511="B",INDEX($M$4:$M$2003,$S1511),INDEX($L$4:$L$2003,$S1511))))</f>
        <v/>
      </c>
      <c r="B1511" s="4">
        <f>IF($R1511="","",IF($R1511="T",$K$3,IF($R1511="B",COUNTIFS($M$4:$M$2003,INDEX($M$4:$M$2003,$S1511),$N$4:$N$2003,1),1)))</f>
        <v/>
      </c>
      <c r="L1511">
        <f>IF($K$1="","",IFERROR(INDEX(Lines!$A:$AA,ROW()-2,$K$1),""))</f>
        <v/>
      </c>
      <c r="M1511">
        <f>IF($K$2="","",IFERROR(INDEX(Lines!$A:$AA,ROW()-2,$K$2),""))</f>
        <v/>
      </c>
      <c r="N1511">
        <f>IF(AND(L1511&lt;&gt;"",LEFT(L1511,1)="N",M1511&lt;&gt;"PICKING",M1511&lt;&gt;""),1,0)</f>
        <v/>
      </c>
      <c r="O1511">
        <f>IF(N1511=1,M1511&amp;"|"&amp;L1511,REPT("z",40))</f>
        <v/>
      </c>
      <c r="P1511">
        <f>IF(N1511=1,COUNTIF($O$4:$O$2003,"&lt;"&amp;O1511)+1,"")</f>
        <v/>
      </c>
      <c r="Q1511">
        <f>IF(OR($R1510="",$R1510="T"),"",IF($R1510="B",$Q1510,IF($Q1510+1&gt;$K$3,"",$Q1510+1)))</f>
        <v/>
      </c>
      <c r="R1511">
        <f>IF(OR($R1510="",$R1510="T"),"",IF($R1510="B","S",IF($Q1510+1&gt;$K$3,"T",IF(INDEX($M$4:$M$2003,MATCH($Q1510+1,$P$4:$P$2003,0))&lt;&gt;INDEX($M$4:$M$2003,MATCH($Q1510,$P$4:$P$2003,0)),"B","S"))))</f>
        <v/>
      </c>
      <c r="S1511">
        <f>IF(Q1511="","",IFERROR(MATCH(Q1511,$P$4:$P$2003,0),""))</f>
        <v/>
      </c>
    </row>
    <row r="1512">
      <c r="A1512" s="4">
        <f>IF($R1512="","",IF($R1512="T","Gesamtergebnis",IF($R1512="B",INDEX($M$4:$M$2003,$S1512),INDEX($L$4:$L$2003,$S1512))))</f>
        <v/>
      </c>
      <c r="B1512" s="4">
        <f>IF($R1512="","",IF($R1512="T",$K$3,IF($R1512="B",COUNTIFS($M$4:$M$2003,INDEX($M$4:$M$2003,$S1512),$N$4:$N$2003,1),1)))</f>
        <v/>
      </c>
      <c r="L1512">
        <f>IF($K$1="","",IFERROR(INDEX(Lines!$A:$AA,ROW()-2,$K$1),""))</f>
        <v/>
      </c>
      <c r="M1512">
        <f>IF($K$2="","",IFERROR(INDEX(Lines!$A:$AA,ROW()-2,$K$2),""))</f>
        <v/>
      </c>
      <c r="N1512">
        <f>IF(AND(L1512&lt;&gt;"",LEFT(L1512,1)="N",M1512&lt;&gt;"PICKING",M1512&lt;&gt;""),1,0)</f>
        <v/>
      </c>
      <c r="O1512">
        <f>IF(N1512=1,M1512&amp;"|"&amp;L1512,REPT("z",40))</f>
        <v/>
      </c>
      <c r="P1512">
        <f>IF(N1512=1,COUNTIF($O$4:$O$2003,"&lt;"&amp;O1512)+1,"")</f>
        <v/>
      </c>
      <c r="Q1512">
        <f>IF(OR($R1511="",$R1511="T"),"",IF($R1511="B",$Q1511,IF($Q1511+1&gt;$K$3,"",$Q1511+1)))</f>
        <v/>
      </c>
      <c r="R1512">
        <f>IF(OR($R1511="",$R1511="T"),"",IF($R1511="B","S",IF($Q1511+1&gt;$K$3,"T",IF(INDEX($M$4:$M$2003,MATCH($Q1511+1,$P$4:$P$2003,0))&lt;&gt;INDEX($M$4:$M$2003,MATCH($Q1511,$P$4:$P$2003,0)),"B","S"))))</f>
        <v/>
      </c>
      <c r="S1512">
        <f>IF(Q1512="","",IFERROR(MATCH(Q1512,$P$4:$P$2003,0),""))</f>
        <v/>
      </c>
    </row>
    <row r="1513">
      <c r="A1513" s="4">
        <f>IF($R1513="","",IF($R1513="T","Gesamtergebnis",IF($R1513="B",INDEX($M$4:$M$2003,$S1513),INDEX($L$4:$L$2003,$S1513))))</f>
        <v/>
      </c>
      <c r="B1513" s="4">
        <f>IF($R1513="","",IF($R1513="T",$K$3,IF($R1513="B",COUNTIFS($M$4:$M$2003,INDEX($M$4:$M$2003,$S1513),$N$4:$N$2003,1),1)))</f>
        <v/>
      </c>
      <c r="L1513">
        <f>IF($K$1="","",IFERROR(INDEX(Lines!$A:$AA,ROW()-2,$K$1),""))</f>
        <v/>
      </c>
      <c r="M1513">
        <f>IF($K$2="","",IFERROR(INDEX(Lines!$A:$AA,ROW()-2,$K$2),""))</f>
        <v/>
      </c>
      <c r="N1513">
        <f>IF(AND(L1513&lt;&gt;"",LEFT(L1513,1)="N",M1513&lt;&gt;"PICKING",M1513&lt;&gt;""),1,0)</f>
        <v/>
      </c>
      <c r="O1513">
        <f>IF(N1513=1,M1513&amp;"|"&amp;L1513,REPT("z",40))</f>
        <v/>
      </c>
      <c r="P1513">
        <f>IF(N1513=1,COUNTIF($O$4:$O$2003,"&lt;"&amp;O1513)+1,"")</f>
        <v/>
      </c>
      <c r="Q1513">
        <f>IF(OR($R1512="",$R1512="T"),"",IF($R1512="B",$Q1512,IF($Q1512+1&gt;$K$3,"",$Q1512+1)))</f>
        <v/>
      </c>
      <c r="R1513">
        <f>IF(OR($R1512="",$R1512="T"),"",IF($R1512="B","S",IF($Q1512+1&gt;$K$3,"T",IF(INDEX($M$4:$M$2003,MATCH($Q1512+1,$P$4:$P$2003,0))&lt;&gt;INDEX($M$4:$M$2003,MATCH($Q1512,$P$4:$P$2003,0)),"B","S"))))</f>
        <v/>
      </c>
      <c r="S1513">
        <f>IF(Q1513="","",IFERROR(MATCH(Q1513,$P$4:$P$2003,0),""))</f>
        <v/>
      </c>
    </row>
    <row r="1514">
      <c r="A1514" s="4">
        <f>IF($R1514="","",IF($R1514="T","Gesamtergebnis",IF($R1514="B",INDEX($M$4:$M$2003,$S1514),INDEX($L$4:$L$2003,$S1514))))</f>
        <v/>
      </c>
      <c r="B1514" s="4">
        <f>IF($R1514="","",IF($R1514="T",$K$3,IF($R1514="B",COUNTIFS($M$4:$M$2003,INDEX($M$4:$M$2003,$S1514),$N$4:$N$2003,1),1)))</f>
        <v/>
      </c>
      <c r="L1514">
        <f>IF($K$1="","",IFERROR(INDEX(Lines!$A:$AA,ROW()-2,$K$1),""))</f>
        <v/>
      </c>
      <c r="M1514">
        <f>IF($K$2="","",IFERROR(INDEX(Lines!$A:$AA,ROW()-2,$K$2),""))</f>
        <v/>
      </c>
      <c r="N1514">
        <f>IF(AND(L1514&lt;&gt;"",LEFT(L1514,1)="N",M1514&lt;&gt;"PICKING",M1514&lt;&gt;""),1,0)</f>
        <v/>
      </c>
      <c r="O1514">
        <f>IF(N1514=1,M1514&amp;"|"&amp;L1514,REPT("z",40))</f>
        <v/>
      </c>
      <c r="P1514">
        <f>IF(N1514=1,COUNTIF($O$4:$O$2003,"&lt;"&amp;O1514)+1,"")</f>
        <v/>
      </c>
      <c r="Q1514">
        <f>IF(OR($R1513="",$R1513="T"),"",IF($R1513="B",$Q1513,IF($Q1513+1&gt;$K$3,"",$Q1513+1)))</f>
        <v/>
      </c>
      <c r="R1514">
        <f>IF(OR($R1513="",$R1513="T"),"",IF($R1513="B","S",IF($Q1513+1&gt;$K$3,"T",IF(INDEX($M$4:$M$2003,MATCH($Q1513+1,$P$4:$P$2003,0))&lt;&gt;INDEX($M$4:$M$2003,MATCH($Q1513,$P$4:$P$2003,0)),"B","S"))))</f>
        <v/>
      </c>
      <c r="S1514">
        <f>IF(Q1514="","",IFERROR(MATCH(Q1514,$P$4:$P$2003,0),""))</f>
        <v/>
      </c>
    </row>
    <row r="1515">
      <c r="A1515" s="4">
        <f>IF($R1515="","",IF($R1515="T","Gesamtergebnis",IF($R1515="B",INDEX($M$4:$M$2003,$S1515),INDEX($L$4:$L$2003,$S1515))))</f>
        <v/>
      </c>
      <c r="B1515" s="4">
        <f>IF($R1515="","",IF($R1515="T",$K$3,IF($R1515="B",COUNTIFS($M$4:$M$2003,INDEX($M$4:$M$2003,$S1515),$N$4:$N$2003,1),1)))</f>
        <v/>
      </c>
      <c r="L1515">
        <f>IF($K$1="","",IFERROR(INDEX(Lines!$A:$AA,ROW()-2,$K$1),""))</f>
        <v/>
      </c>
      <c r="M1515">
        <f>IF($K$2="","",IFERROR(INDEX(Lines!$A:$AA,ROW()-2,$K$2),""))</f>
        <v/>
      </c>
      <c r="N1515">
        <f>IF(AND(L1515&lt;&gt;"",LEFT(L1515,1)="N",M1515&lt;&gt;"PICKING",M1515&lt;&gt;""),1,0)</f>
        <v/>
      </c>
      <c r="O1515">
        <f>IF(N1515=1,M1515&amp;"|"&amp;L1515,REPT("z",40))</f>
        <v/>
      </c>
      <c r="P1515">
        <f>IF(N1515=1,COUNTIF($O$4:$O$2003,"&lt;"&amp;O1515)+1,"")</f>
        <v/>
      </c>
      <c r="Q1515">
        <f>IF(OR($R1514="",$R1514="T"),"",IF($R1514="B",$Q1514,IF($Q1514+1&gt;$K$3,"",$Q1514+1)))</f>
        <v/>
      </c>
      <c r="R1515">
        <f>IF(OR($R1514="",$R1514="T"),"",IF($R1514="B","S",IF($Q1514+1&gt;$K$3,"T",IF(INDEX($M$4:$M$2003,MATCH($Q1514+1,$P$4:$P$2003,0))&lt;&gt;INDEX($M$4:$M$2003,MATCH($Q1514,$P$4:$P$2003,0)),"B","S"))))</f>
        <v/>
      </c>
      <c r="S1515">
        <f>IF(Q1515="","",IFERROR(MATCH(Q1515,$P$4:$P$2003,0),""))</f>
        <v/>
      </c>
    </row>
    <row r="1516">
      <c r="A1516" s="4">
        <f>IF($R1516="","",IF($R1516="T","Gesamtergebnis",IF($R1516="B",INDEX($M$4:$M$2003,$S1516),INDEX($L$4:$L$2003,$S1516))))</f>
        <v/>
      </c>
      <c r="B1516" s="4">
        <f>IF($R1516="","",IF($R1516="T",$K$3,IF($R1516="B",COUNTIFS($M$4:$M$2003,INDEX($M$4:$M$2003,$S1516),$N$4:$N$2003,1),1)))</f>
        <v/>
      </c>
      <c r="L1516">
        <f>IF($K$1="","",IFERROR(INDEX(Lines!$A:$AA,ROW()-2,$K$1),""))</f>
        <v/>
      </c>
      <c r="M1516">
        <f>IF($K$2="","",IFERROR(INDEX(Lines!$A:$AA,ROW()-2,$K$2),""))</f>
        <v/>
      </c>
      <c r="N1516">
        <f>IF(AND(L1516&lt;&gt;"",LEFT(L1516,1)="N",M1516&lt;&gt;"PICKING",M1516&lt;&gt;""),1,0)</f>
        <v/>
      </c>
      <c r="O1516">
        <f>IF(N1516=1,M1516&amp;"|"&amp;L1516,REPT("z",40))</f>
        <v/>
      </c>
      <c r="P1516">
        <f>IF(N1516=1,COUNTIF($O$4:$O$2003,"&lt;"&amp;O1516)+1,"")</f>
        <v/>
      </c>
      <c r="Q1516">
        <f>IF(OR($R1515="",$R1515="T"),"",IF($R1515="B",$Q1515,IF($Q1515+1&gt;$K$3,"",$Q1515+1)))</f>
        <v/>
      </c>
      <c r="R1516">
        <f>IF(OR($R1515="",$R1515="T"),"",IF($R1515="B","S",IF($Q1515+1&gt;$K$3,"T",IF(INDEX($M$4:$M$2003,MATCH($Q1515+1,$P$4:$P$2003,0))&lt;&gt;INDEX($M$4:$M$2003,MATCH($Q1515,$P$4:$P$2003,0)),"B","S"))))</f>
        <v/>
      </c>
      <c r="S1516">
        <f>IF(Q1516="","",IFERROR(MATCH(Q1516,$P$4:$P$2003,0),""))</f>
        <v/>
      </c>
    </row>
    <row r="1517">
      <c r="A1517" s="4">
        <f>IF($R1517="","",IF($R1517="T","Gesamtergebnis",IF($R1517="B",INDEX($M$4:$M$2003,$S1517),INDEX($L$4:$L$2003,$S1517))))</f>
        <v/>
      </c>
      <c r="B1517" s="4">
        <f>IF($R1517="","",IF($R1517="T",$K$3,IF($R1517="B",COUNTIFS($M$4:$M$2003,INDEX($M$4:$M$2003,$S1517),$N$4:$N$2003,1),1)))</f>
        <v/>
      </c>
      <c r="L1517">
        <f>IF($K$1="","",IFERROR(INDEX(Lines!$A:$AA,ROW()-2,$K$1),""))</f>
        <v/>
      </c>
      <c r="M1517">
        <f>IF($K$2="","",IFERROR(INDEX(Lines!$A:$AA,ROW()-2,$K$2),""))</f>
        <v/>
      </c>
      <c r="N1517">
        <f>IF(AND(L1517&lt;&gt;"",LEFT(L1517,1)="N",M1517&lt;&gt;"PICKING",M1517&lt;&gt;""),1,0)</f>
        <v/>
      </c>
      <c r="O1517">
        <f>IF(N1517=1,M1517&amp;"|"&amp;L1517,REPT("z",40))</f>
        <v/>
      </c>
      <c r="P1517">
        <f>IF(N1517=1,COUNTIF($O$4:$O$2003,"&lt;"&amp;O1517)+1,"")</f>
        <v/>
      </c>
      <c r="Q1517">
        <f>IF(OR($R1516="",$R1516="T"),"",IF($R1516="B",$Q1516,IF($Q1516+1&gt;$K$3,"",$Q1516+1)))</f>
        <v/>
      </c>
      <c r="R1517">
        <f>IF(OR($R1516="",$R1516="T"),"",IF($R1516="B","S",IF($Q1516+1&gt;$K$3,"T",IF(INDEX($M$4:$M$2003,MATCH($Q1516+1,$P$4:$P$2003,0))&lt;&gt;INDEX($M$4:$M$2003,MATCH($Q1516,$P$4:$P$2003,0)),"B","S"))))</f>
        <v/>
      </c>
      <c r="S1517">
        <f>IF(Q1517="","",IFERROR(MATCH(Q1517,$P$4:$P$2003,0),""))</f>
        <v/>
      </c>
    </row>
    <row r="1518">
      <c r="A1518" s="4">
        <f>IF($R1518="","",IF($R1518="T","Gesamtergebnis",IF($R1518="B",INDEX($M$4:$M$2003,$S1518),INDEX($L$4:$L$2003,$S1518))))</f>
        <v/>
      </c>
      <c r="B1518" s="4">
        <f>IF($R1518="","",IF($R1518="T",$K$3,IF($R1518="B",COUNTIFS($M$4:$M$2003,INDEX($M$4:$M$2003,$S1518),$N$4:$N$2003,1),1)))</f>
        <v/>
      </c>
      <c r="L1518">
        <f>IF($K$1="","",IFERROR(INDEX(Lines!$A:$AA,ROW()-2,$K$1),""))</f>
        <v/>
      </c>
      <c r="M1518">
        <f>IF($K$2="","",IFERROR(INDEX(Lines!$A:$AA,ROW()-2,$K$2),""))</f>
        <v/>
      </c>
      <c r="N1518">
        <f>IF(AND(L1518&lt;&gt;"",LEFT(L1518,1)="N",M1518&lt;&gt;"PICKING",M1518&lt;&gt;""),1,0)</f>
        <v/>
      </c>
      <c r="O1518">
        <f>IF(N1518=1,M1518&amp;"|"&amp;L1518,REPT("z",40))</f>
        <v/>
      </c>
      <c r="P1518">
        <f>IF(N1518=1,COUNTIF($O$4:$O$2003,"&lt;"&amp;O1518)+1,"")</f>
        <v/>
      </c>
      <c r="Q1518">
        <f>IF(OR($R1517="",$R1517="T"),"",IF($R1517="B",$Q1517,IF($Q1517+1&gt;$K$3,"",$Q1517+1)))</f>
        <v/>
      </c>
      <c r="R1518">
        <f>IF(OR($R1517="",$R1517="T"),"",IF($R1517="B","S",IF($Q1517+1&gt;$K$3,"T",IF(INDEX($M$4:$M$2003,MATCH($Q1517+1,$P$4:$P$2003,0))&lt;&gt;INDEX($M$4:$M$2003,MATCH($Q1517,$P$4:$P$2003,0)),"B","S"))))</f>
        <v/>
      </c>
      <c r="S1518">
        <f>IF(Q1518="","",IFERROR(MATCH(Q1518,$P$4:$P$2003,0),""))</f>
        <v/>
      </c>
    </row>
    <row r="1519">
      <c r="A1519" s="4">
        <f>IF($R1519="","",IF($R1519="T","Gesamtergebnis",IF($R1519="B",INDEX($M$4:$M$2003,$S1519),INDEX($L$4:$L$2003,$S1519))))</f>
        <v/>
      </c>
      <c r="B1519" s="4">
        <f>IF($R1519="","",IF($R1519="T",$K$3,IF($R1519="B",COUNTIFS($M$4:$M$2003,INDEX($M$4:$M$2003,$S1519),$N$4:$N$2003,1),1)))</f>
        <v/>
      </c>
      <c r="L1519">
        <f>IF($K$1="","",IFERROR(INDEX(Lines!$A:$AA,ROW()-2,$K$1),""))</f>
        <v/>
      </c>
      <c r="M1519">
        <f>IF($K$2="","",IFERROR(INDEX(Lines!$A:$AA,ROW()-2,$K$2),""))</f>
        <v/>
      </c>
      <c r="N1519">
        <f>IF(AND(L1519&lt;&gt;"",LEFT(L1519,1)="N",M1519&lt;&gt;"PICKING",M1519&lt;&gt;""),1,0)</f>
        <v/>
      </c>
      <c r="O1519">
        <f>IF(N1519=1,M1519&amp;"|"&amp;L1519,REPT("z",40))</f>
        <v/>
      </c>
      <c r="P1519">
        <f>IF(N1519=1,COUNTIF($O$4:$O$2003,"&lt;"&amp;O1519)+1,"")</f>
        <v/>
      </c>
      <c r="Q1519">
        <f>IF(OR($R1518="",$R1518="T"),"",IF($R1518="B",$Q1518,IF($Q1518+1&gt;$K$3,"",$Q1518+1)))</f>
        <v/>
      </c>
      <c r="R1519">
        <f>IF(OR($R1518="",$R1518="T"),"",IF($R1518="B","S",IF($Q1518+1&gt;$K$3,"T",IF(INDEX($M$4:$M$2003,MATCH($Q1518+1,$P$4:$P$2003,0))&lt;&gt;INDEX($M$4:$M$2003,MATCH($Q1518,$P$4:$P$2003,0)),"B","S"))))</f>
        <v/>
      </c>
      <c r="S1519">
        <f>IF(Q1519="","",IFERROR(MATCH(Q1519,$P$4:$P$2003,0),""))</f>
        <v/>
      </c>
    </row>
    <row r="1520">
      <c r="A1520" s="4">
        <f>IF($R1520="","",IF($R1520="T","Gesamtergebnis",IF($R1520="B",INDEX($M$4:$M$2003,$S1520),INDEX($L$4:$L$2003,$S1520))))</f>
        <v/>
      </c>
      <c r="B1520" s="4">
        <f>IF($R1520="","",IF($R1520="T",$K$3,IF($R1520="B",COUNTIFS($M$4:$M$2003,INDEX($M$4:$M$2003,$S1520),$N$4:$N$2003,1),1)))</f>
        <v/>
      </c>
      <c r="L1520">
        <f>IF($K$1="","",IFERROR(INDEX(Lines!$A:$AA,ROW()-2,$K$1),""))</f>
        <v/>
      </c>
      <c r="M1520">
        <f>IF($K$2="","",IFERROR(INDEX(Lines!$A:$AA,ROW()-2,$K$2),""))</f>
        <v/>
      </c>
      <c r="N1520">
        <f>IF(AND(L1520&lt;&gt;"",LEFT(L1520,1)="N",M1520&lt;&gt;"PICKING",M1520&lt;&gt;""),1,0)</f>
        <v/>
      </c>
      <c r="O1520">
        <f>IF(N1520=1,M1520&amp;"|"&amp;L1520,REPT("z",40))</f>
        <v/>
      </c>
      <c r="P1520">
        <f>IF(N1520=1,COUNTIF($O$4:$O$2003,"&lt;"&amp;O1520)+1,"")</f>
        <v/>
      </c>
      <c r="Q1520">
        <f>IF(OR($R1519="",$R1519="T"),"",IF($R1519="B",$Q1519,IF($Q1519+1&gt;$K$3,"",$Q1519+1)))</f>
        <v/>
      </c>
      <c r="R1520">
        <f>IF(OR($R1519="",$R1519="T"),"",IF($R1519="B","S",IF($Q1519+1&gt;$K$3,"T",IF(INDEX($M$4:$M$2003,MATCH($Q1519+1,$P$4:$P$2003,0))&lt;&gt;INDEX($M$4:$M$2003,MATCH($Q1519,$P$4:$P$2003,0)),"B","S"))))</f>
        <v/>
      </c>
      <c r="S1520">
        <f>IF(Q1520="","",IFERROR(MATCH(Q1520,$P$4:$P$2003,0),""))</f>
        <v/>
      </c>
    </row>
    <row r="1521">
      <c r="A1521" s="4">
        <f>IF($R1521="","",IF($R1521="T","Gesamtergebnis",IF($R1521="B",INDEX($M$4:$M$2003,$S1521),INDEX($L$4:$L$2003,$S1521))))</f>
        <v/>
      </c>
      <c r="B1521" s="4">
        <f>IF($R1521="","",IF($R1521="T",$K$3,IF($R1521="B",COUNTIFS($M$4:$M$2003,INDEX($M$4:$M$2003,$S1521),$N$4:$N$2003,1),1)))</f>
        <v/>
      </c>
      <c r="L1521">
        <f>IF($K$1="","",IFERROR(INDEX(Lines!$A:$AA,ROW()-2,$K$1),""))</f>
        <v/>
      </c>
      <c r="M1521">
        <f>IF($K$2="","",IFERROR(INDEX(Lines!$A:$AA,ROW()-2,$K$2),""))</f>
        <v/>
      </c>
      <c r="N1521">
        <f>IF(AND(L1521&lt;&gt;"",LEFT(L1521,1)="N",M1521&lt;&gt;"PICKING",M1521&lt;&gt;""),1,0)</f>
        <v/>
      </c>
      <c r="O1521">
        <f>IF(N1521=1,M1521&amp;"|"&amp;L1521,REPT("z",40))</f>
        <v/>
      </c>
      <c r="P1521">
        <f>IF(N1521=1,COUNTIF($O$4:$O$2003,"&lt;"&amp;O1521)+1,"")</f>
        <v/>
      </c>
      <c r="Q1521">
        <f>IF(OR($R1520="",$R1520="T"),"",IF($R1520="B",$Q1520,IF($Q1520+1&gt;$K$3,"",$Q1520+1)))</f>
        <v/>
      </c>
      <c r="R1521">
        <f>IF(OR($R1520="",$R1520="T"),"",IF($R1520="B","S",IF($Q1520+1&gt;$K$3,"T",IF(INDEX($M$4:$M$2003,MATCH($Q1520+1,$P$4:$P$2003,0))&lt;&gt;INDEX($M$4:$M$2003,MATCH($Q1520,$P$4:$P$2003,0)),"B","S"))))</f>
        <v/>
      </c>
      <c r="S1521">
        <f>IF(Q1521="","",IFERROR(MATCH(Q1521,$P$4:$P$2003,0),""))</f>
        <v/>
      </c>
    </row>
    <row r="1522">
      <c r="A1522" s="4">
        <f>IF($R1522="","",IF($R1522="T","Gesamtergebnis",IF($R1522="B",INDEX($M$4:$M$2003,$S1522),INDEX($L$4:$L$2003,$S1522))))</f>
        <v/>
      </c>
      <c r="B1522" s="4">
        <f>IF($R1522="","",IF($R1522="T",$K$3,IF($R1522="B",COUNTIFS($M$4:$M$2003,INDEX($M$4:$M$2003,$S1522),$N$4:$N$2003,1),1)))</f>
        <v/>
      </c>
      <c r="L1522">
        <f>IF($K$1="","",IFERROR(INDEX(Lines!$A:$AA,ROW()-2,$K$1),""))</f>
        <v/>
      </c>
      <c r="M1522">
        <f>IF($K$2="","",IFERROR(INDEX(Lines!$A:$AA,ROW()-2,$K$2),""))</f>
        <v/>
      </c>
      <c r="N1522">
        <f>IF(AND(L1522&lt;&gt;"",LEFT(L1522,1)="N",M1522&lt;&gt;"PICKING",M1522&lt;&gt;""),1,0)</f>
        <v/>
      </c>
      <c r="O1522">
        <f>IF(N1522=1,M1522&amp;"|"&amp;L1522,REPT("z",40))</f>
        <v/>
      </c>
      <c r="P1522">
        <f>IF(N1522=1,COUNTIF($O$4:$O$2003,"&lt;"&amp;O1522)+1,"")</f>
        <v/>
      </c>
      <c r="Q1522">
        <f>IF(OR($R1521="",$R1521="T"),"",IF($R1521="B",$Q1521,IF($Q1521+1&gt;$K$3,"",$Q1521+1)))</f>
        <v/>
      </c>
      <c r="R1522">
        <f>IF(OR($R1521="",$R1521="T"),"",IF($R1521="B","S",IF($Q1521+1&gt;$K$3,"T",IF(INDEX($M$4:$M$2003,MATCH($Q1521+1,$P$4:$P$2003,0))&lt;&gt;INDEX($M$4:$M$2003,MATCH($Q1521,$P$4:$P$2003,0)),"B","S"))))</f>
        <v/>
      </c>
      <c r="S1522">
        <f>IF(Q1522="","",IFERROR(MATCH(Q1522,$P$4:$P$2003,0),""))</f>
        <v/>
      </c>
    </row>
    <row r="1523">
      <c r="A1523" s="4">
        <f>IF($R1523="","",IF($R1523="T","Gesamtergebnis",IF($R1523="B",INDEX($M$4:$M$2003,$S1523),INDEX($L$4:$L$2003,$S1523))))</f>
        <v/>
      </c>
      <c r="B1523" s="4">
        <f>IF($R1523="","",IF($R1523="T",$K$3,IF($R1523="B",COUNTIFS($M$4:$M$2003,INDEX($M$4:$M$2003,$S1523),$N$4:$N$2003,1),1)))</f>
        <v/>
      </c>
      <c r="L1523">
        <f>IF($K$1="","",IFERROR(INDEX(Lines!$A:$AA,ROW()-2,$K$1),""))</f>
        <v/>
      </c>
      <c r="M1523">
        <f>IF($K$2="","",IFERROR(INDEX(Lines!$A:$AA,ROW()-2,$K$2),""))</f>
        <v/>
      </c>
      <c r="N1523">
        <f>IF(AND(L1523&lt;&gt;"",LEFT(L1523,1)="N",M1523&lt;&gt;"PICKING",M1523&lt;&gt;""),1,0)</f>
        <v/>
      </c>
      <c r="O1523">
        <f>IF(N1523=1,M1523&amp;"|"&amp;L1523,REPT("z",40))</f>
        <v/>
      </c>
      <c r="P1523">
        <f>IF(N1523=1,COUNTIF($O$4:$O$2003,"&lt;"&amp;O1523)+1,"")</f>
        <v/>
      </c>
      <c r="Q1523">
        <f>IF(OR($R1522="",$R1522="T"),"",IF($R1522="B",$Q1522,IF($Q1522+1&gt;$K$3,"",$Q1522+1)))</f>
        <v/>
      </c>
      <c r="R1523">
        <f>IF(OR($R1522="",$R1522="T"),"",IF($R1522="B","S",IF($Q1522+1&gt;$K$3,"T",IF(INDEX($M$4:$M$2003,MATCH($Q1522+1,$P$4:$P$2003,0))&lt;&gt;INDEX($M$4:$M$2003,MATCH($Q1522,$P$4:$P$2003,0)),"B","S"))))</f>
        <v/>
      </c>
      <c r="S1523">
        <f>IF(Q1523="","",IFERROR(MATCH(Q1523,$P$4:$P$2003,0),""))</f>
        <v/>
      </c>
    </row>
    <row r="1524">
      <c r="A1524" s="4">
        <f>IF($R1524="","",IF($R1524="T","Gesamtergebnis",IF($R1524="B",INDEX($M$4:$M$2003,$S1524),INDEX($L$4:$L$2003,$S1524))))</f>
        <v/>
      </c>
      <c r="B1524" s="4">
        <f>IF($R1524="","",IF($R1524="T",$K$3,IF($R1524="B",COUNTIFS($M$4:$M$2003,INDEX($M$4:$M$2003,$S1524),$N$4:$N$2003,1),1)))</f>
        <v/>
      </c>
      <c r="L1524">
        <f>IF($K$1="","",IFERROR(INDEX(Lines!$A:$AA,ROW()-2,$K$1),""))</f>
        <v/>
      </c>
      <c r="M1524">
        <f>IF($K$2="","",IFERROR(INDEX(Lines!$A:$AA,ROW()-2,$K$2),""))</f>
        <v/>
      </c>
      <c r="N1524">
        <f>IF(AND(L1524&lt;&gt;"",LEFT(L1524,1)="N",M1524&lt;&gt;"PICKING",M1524&lt;&gt;""),1,0)</f>
        <v/>
      </c>
      <c r="O1524">
        <f>IF(N1524=1,M1524&amp;"|"&amp;L1524,REPT("z",40))</f>
        <v/>
      </c>
      <c r="P1524">
        <f>IF(N1524=1,COUNTIF($O$4:$O$2003,"&lt;"&amp;O1524)+1,"")</f>
        <v/>
      </c>
      <c r="Q1524">
        <f>IF(OR($R1523="",$R1523="T"),"",IF($R1523="B",$Q1523,IF($Q1523+1&gt;$K$3,"",$Q1523+1)))</f>
        <v/>
      </c>
      <c r="R1524">
        <f>IF(OR($R1523="",$R1523="T"),"",IF($R1523="B","S",IF($Q1523+1&gt;$K$3,"T",IF(INDEX($M$4:$M$2003,MATCH($Q1523+1,$P$4:$P$2003,0))&lt;&gt;INDEX($M$4:$M$2003,MATCH($Q1523,$P$4:$P$2003,0)),"B","S"))))</f>
        <v/>
      </c>
      <c r="S1524">
        <f>IF(Q1524="","",IFERROR(MATCH(Q1524,$P$4:$P$2003,0),""))</f>
        <v/>
      </c>
    </row>
    <row r="1525">
      <c r="A1525" s="4">
        <f>IF($R1525="","",IF($R1525="T","Gesamtergebnis",IF($R1525="B",INDEX($M$4:$M$2003,$S1525),INDEX($L$4:$L$2003,$S1525))))</f>
        <v/>
      </c>
      <c r="B1525" s="4">
        <f>IF($R1525="","",IF($R1525="T",$K$3,IF($R1525="B",COUNTIFS($M$4:$M$2003,INDEX($M$4:$M$2003,$S1525),$N$4:$N$2003,1),1)))</f>
        <v/>
      </c>
      <c r="L1525">
        <f>IF($K$1="","",IFERROR(INDEX(Lines!$A:$AA,ROW()-2,$K$1),""))</f>
        <v/>
      </c>
      <c r="M1525">
        <f>IF($K$2="","",IFERROR(INDEX(Lines!$A:$AA,ROW()-2,$K$2),""))</f>
        <v/>
      </c>
      <c r="N1525">
        <f>IF(AND(L1525&lt;&gt;"",LEFT(L1525,1)="N",M1525&lt;&gt;"PICKING",M1525&lt;&gt;""),1,0)</f>
        <v/>
      </c>
      <c r="O1525">
        <f>IF(N1525=1,M1525&amp;"|"&amp;L1525,REPT("z",40))</f>
        <v/>
      </c>
      <c r="P1525">
        <f>IF(N1525=1,COUNTIF($O$4:$O$2003,"&lt;"&amp;O1525)+1,"")</f>
        <v/>
      </c>
      <c r="Q1525">
        <f>IF(OR($R1524="",$R1524="T"),"",IF($R1524="B",$Q1524,IF($Q1524+1&gt;$K$3,"",$Q1524+1)))</f>
        <v/>
      </c>
      <c r="R1525">
        <f>IF(OR($R1524="",$R1524="T"),"",IF($R1524="B","S",IF($Q1524+1&gt;$K$3,"T",IF(INDEX($M$4:$M$2003,MATCH($Q1524+1,$P$4:$P$2003,0))&lt;&gt;INDEX($M$4:$M$2003,MATCH($Q1524,$P$4:$P$2003,0)),"B","S"))))</f>
        <v/>
      </c>
      <c r="S1525">
        <f>IF(Q1525="","",IFERROR(MATCH(Q1525,$P$4:$P$2003,0),""))</f>
        <v/>
      </c>
    </row>
    <row r="1526">
      <c r="A1526" s="4">
        <f>IF($R1526="","",IF($R1526="T","Gesamtergebnis",IF($R1526="B",INDEX($M$4:$M$2003,$S1526),INDEX($L$4:$L$2003,$S1526))))</f>
        <v/>
      </c>
      <c r="B1526" s="4">
        <f>IF($R1526="","",IF($R1526="T",$K$3,IF($R1526="B",COUNTIFS($M$4:$M$2003,INDEX($M$4:$M$2003,$S1526),$N$4:$N$2003,1),1)))</f>
        <v/>
      </c>
      <c r="L1526">
        <f>IF($K$1="","",IFERROR(INDEX(Lines!$A:$AA,ROW()-2,$K$1),""))</f>
        <v/>
      </c>
      <c r="M1526">
        <f>IF($K$2="","",IFERROR(INDEX(Lines!$A:$AA,ROW()-2,$K$2),""))</f>
        <v/>
      </c>
      <c r="N1526">
        <f>IF(AND(L1526&lt;&gt;"",LEFT(L1526,1)="N",M1526&lt;&gt;"PICKING",M1526&lt;&gt;""),1,0)</f>
        <v/>
      </c>
      <c r="O1526">
        <f>IF(N1526=1,M1526&amp;"|"&amp;L1526,REPT("z",40))</f>
        <v/>
      </c>
      <c r="P1526">
        <f>IF(N1526=1,COUNTIF($O$4:$O$2003,"&lt;"&amp;O1526)+1,"")</f>
        <v/>
      </c>
      <c r="Q1526">
        <f>IF(OR($R1525="",$R1525="T"),"",IF($R1525="B",$Q1525,IF($Q1525+1&gt;$K$3,"",$Q1525+1)))</f>
        <v/>
      </c>
      <c r="R1526">
        <f>IF(OR($R1525="",$R1525="T"),"",IF($R1525="B","S",IF($Q1525+1&gt;$K$3,"T",IF(INDEX($M$4:$M$2003,MATCH($Q1525+1,$P$4:$P$2003,0))&lt;&gt;INDEX($M$4:$M$2003,MATCH($Q1525,$P$4:$P$2003,0)),"B","S"))))</f>
        <v/>
      </c>
      <c r="S1526">
        <f>IF(Q1526="","",IFERROR(MATCH(Q1526,$P$4:$P$2003,0),""))</f>
        <v/>
      </c>
    </row>
    <row r="1527">
      <c r="A1527" s="4">
        <f>IF($R1527="","",IF($R1527="T","Gesamtergebnis",IF($R1527="B",INDEX($M$4:$M$2003,$S1527),INDEX($L$4:$L$2003,$S1527))))</f>
        <v/>
      </c>
      <c r="B1527" s="4">
        <f>IF($R1527="","",IF($R1527="T",$K$3,IF($R1527="B",COUNTIFS($M$4:$M$2003,INDEX($M$4:$M$2003,$S1527),$N$4:$N$2003,1),1)))</f>
        <v/>
      </c>
      <c r="L1527">
        <f>IF($K$1="","",IFERROR(INDEX(Lines!$A:$AA,ROW()-2,$K$1),""))</f>
        <v/>
      </c>
      <c r="M1527">
        <f>IF($K$2="","",IFERROR(INDEX(Lines!$A:$AA,ROW()-2,$K$2),""))</f>
        <v/>
      </c>
      <c r="N1527">
        <f>IF(AND(L1527&lt;&gt;"",LEFT(L1527,1)="N",M1527&lt;&gt;"PICKING",M1527&lt;&gt;""),1,0)</f>
        <v/>
      </c>
      <c r="O1527">
        <f>IF(N1527=1,M1527&amp;"|"&amp;L1527,REPT("z",40))</f>
        <v/>
      </c>
      <c r="P1527">
        <f>IF(N1527=1,COUNTIF($O$4:$O$2003,"&lt;"&amp;O1527)+1,"")</f>
        <v/>
      </c>
      <c r="Q1527">
        <f>IF(OR($R1526="",$R1526="T"),"",IF($R1526="B",$Q1526,IF($Q1526+1&gt;$K$3,"",$Q1526+1)))</f>
        <v/>
      </c>
      <c r="R1527">
        <f>IF(OR($R1526="",$R1526="T"),"",IF($R1526="B","S",IF($Q1526+1&gt;$K$3,"T",IF(INDEX($M$4:$M$2003,MATCH($Q1526+1,$P$4:$P$2003,0))&lt;&gt;INDEX($M$4:$M$2003,MATCH($Q1526,$P$4:$P$2003,0)),"B","S"))))</f>
        <v/>
      </c>
      <c r="S1527">
        <f>IF(Q1527="","",IFERROR(MATCH(Q1527,$P$4:$P$2003,0),""))</f>
        <v/>
      </c>
    </row>
    <row r="1528">
      <c r="A1528" s="4">
        <f>IF($R1528="","",IF($R1528="T","Gesamtergebnis",IF($R1528="B",INDEX($M$4:$M$2003,$S1528),INDEX($L$4:$L$2003,$S1528))))</f>
        <v/>
      </c>
      <c r="B1528" s="4">
        <f>IF($R1528="","",IF($R1528="T",$K$3,IF($R1528="B",COUNTIFS($M$4:$M$2003,INDEX($M$4:$M$2003,$S1528),$N$4:$N$2003,1),1)))</f>
        <v/>
      </c>
      <c r="L1528">
        <f>IF($K$1="","",IFERROR(INDEX(Lines!$A:$AA,ROW()-2,$K$1),""))</f>
        <v/>
      </c>
      <c r="M1528">
        <f>IF($K$2="","",IFERROR(INDEX(Lines!$A:$AA,ROW()-2,$K$2),""))</f>
        <v/>
      </c>
      <c r="N1528">
        <f>IF(AND(L1528&lt;&gt;"",LEFT(L1528,1)="N",M1528&lt;&gt;"PICKING",M1528&lt;&gt;""),1,0)</f>
        <v/>
      </c>
      <c r="O1528">
        <f>IF(N1528=1,M1528&amp;"|"&amp;L1528,REPT("z",40))</f>
        <v/>
      </c>
      <c r="P1528">
        <f>IF(N1528=1,COUNTIF($O$4:$O$2003,"&lt;"&amp;O1528)+1,"")</f>
        <v/>
      </c>
      <c r="Q1528">
        <f>IF(OR($R1527="",$R1527="T"),"",IF($R1527="B",$Q1527,IF($Q1527+1&gt;$K$3,"",$Q1527+1)))</f>
        <v/>
      </c>
      <c r="R1528">
        <f>IF(OR($R1527="",$R1527="T"),"",IF($R1527="B","S",IF($Q1527+1&gt;$K$3,"T",IF(INDEX($M$4:$M$2003,MATCH($Q1527+1,$P$4:$P$2003,0))&lt;&gt;INDEX($M$4:$M$2003,MATCH($Q1527,$P$4:$P$2003,0)),"B","S"))))</f>
        <v/>
      </c>
      <c r="S1528">
        <f>IF(Q1528="","",IFERROR(MATCH(Q1528,$P$4:$P$2003,0),""))</f>
        <v/>
      </c>
    </row>
    <row r="1529">
      <c r="A1529" s="4">
        <f>IF($R1529="","",IF($R1529="T","Gesamtergebnis",IF($R1529="B",INDEX($M$4:$M$2003,$S1529),INDEX($L$4:$L$2003,$S1529))))</f>
        <v/>
      </c>
      <c r="B1529" s="4">
        <f>IF($R1529="","",IF($R1529="T",$K$3,IF($R1529="B",COUNTIFS($M$4:$M$2003,INDEX($M$4:$M$2003,$S1529),$N$4:$N$2003,1),1)))</f>
        <v/>
      </c>
      <c r="L1529">
        <f>IF($K$1="","",IFERROR(INDEX(Lines!$A:$AA,ROW()-2,$K$1),""))</f>
        <v/>
      </c>
      <c r="M1529">
        <f>IF($K$2="","",IFERROR(INDEX(Lines!$A:$AA,ROW()-2,$K$2),""))</f>
        <v/>
      </c>
      <c r="N1529">
        <f>IF(AND(L1529&lt;&gt;"",LEFT(L1529,1)="N",M1529&lt;&gt;"PICKING",M1529&lt;&gt;""),1,0)</f>
        <v/>
      </c>
      <c r="O1529">
        <f>IF(N1529=1,M1529&amp;"|"&amp;L1529,REPT("z",40))</f>
        <v/>
      </c>
      <c r="P1529">
        <f>IF(N1529=1,COUNTIF($O$4:$O$2003,"&lt;"&amp;O1529)+1,"")</f>
        <v/>
      </c>
      <c r="Q1529">
        <f>IF(OR($R1528="",$R1528="T"),"",IF($R1528="B",$Q1528,IF($Q1528+1&gt;$K$3,"",$Q1528+1)))</f>
        <v/>
      </c>
      <c r="R1529">
        <f>IF(OR($R1528="",$R1528="T"),"",IF($R1528="B","S",IF($Q1528+1&gt;$K$3,"T",IF(INDEX($M$4:$M$2003,MATCH($Q1528+1,$P$4:$P$2003,0))&lt;&gt;INDEX($M$4:$M$2003,MATCH($Q1528,$P$4:$P$2003,0)),"B","S"))))</f>
        <v/>
      </c>
      <c r="S1529">
        <f>IF(Q1529="","",IFERROR(MATCH(Q1529,$P$4:$P$2003,0),""))</f>
        <v/>
      </c>
    </row>
    <row r="1530">
      <c r="A1530" s="4">
        <f>IF($R1530="","",IF($R1530="T","Gesamtergebnis",IF($R1530="B",INDEX($M$4:$M$2003,$S1530),INDEX($L$4:$L$2003,$S1530))))</f>
        <v/>
      </c>
      <c r="B1530" s="4">
        <f>IF($R1530="","",IF($R1530="T",$K$3,IF($R1530="B",COUNTIFS($M$4:$M$2003,INDEX($M$4:$M$2003,$S1530),$N$4:$N$2003,1),1)))</f>
        <v/>
      </c>
      <c r="L1530">
        <f>IF($K$1="","",IFERROR(INDEX(Lines!$A:$AA,ROW()-2,$K$1),""))</f>
        <v/>
      </c>
      <c r="M1530">
        <f>IF($K$2="","",IFERROR(INDEX(Lines!$A:$AA,ROW()-2,$K$2),""))</f>
        <v/>
      </c>
      <c r="N1530">
        <f>IF(AND(L1530&lt;&gt;"",LEFT(L1530,1)="N",M1530&lt;&gt;"PICKING",M1530&lt;&gt;""),1,0)</f>
        <v/>
      </c>
      <c r="O1530">
        <f>IF(N1530=1,M1530&amp;"|"&amp;L1530,REPT("z",40))</f>
        <v/>
      </c>
      <c r="P1530">
        <f>IF(N1530=1,COUNTIF($O$4:$O$2003,"&lt;"&amp;O1530)+1,"")</f>
        <v/>
      </c>
      <c r="Q1530">
        <f>IF(OR($R1529="",$R1529="T"),"",IF($R1529="B",$Q1529,IF($Q1529+1&gt;$K$3,"",$Q1529+1)))</f>
        <v/>
      </c>
      <c r="R1530">
        <f>IF(OR($R1529="",$R1529="T"),"",IF($R1529="B","S",IF($Q1529+1&gt;$K$3,"T",IF(INDEX($M$4:$M$2003,MATCH($Q1529+1,$P$4:$P$2003,0))&lt;&gt;INDEX($M$4:$M$2003,MATCH($Q1529,$P$4:$P$2003,0)),"B","S"))))</f>
        <v/>
      </c>
      <c r="S1530">
        <f>IF(Q1530="","",IFERROR(MATCH(Q1530,$P$4:$P$2003,0),""))</f>
        <v/>
      </c>
    </row>
    <row r="1531">
      <c r="A1531" s="4">
        <f>IF($R1531="","",IF($R1531="T","Gesamtergebnis",IF($R1531="B",INDEX($M$4:$M$2003,$S1531),INDEX($L$4:$L$2003,$S1531))))</f>
        <v/>
      </c>
      <c r="B1531" s="4">
        <f>IF($R1531="","",IF($R1531="T",$K$3,IF($R1531="B",COUNTIFS($M$4:$M$2003,INDEX($M$4:$M$2003,$S1531),$N$4:$N$2003,1),1)))</f>
        <v/>
      </c>
      <c r="L1531">
        <f>IF($K$1="","",IFERROR(INDEX(Lines!$A:$AA,ROW()-2,$K$1),""))</f>
        <v/>
      </c>
      <c r="M1531">
        <f>IF($K$2="","",IFERROR(INDEX(Lines!$A:$AA,ROW()-2,$K$2),""))</f>
        <v/>
      </c>
      <c r="N1531">
        <f>IF(AND(L1531&lt;&gt;"",LEFT(L1531,1)="N",M1531&lt;&gt;"PICKING",M1531&lt;&gt;""),1,0)</f>
        <v/>
      </c>
      <c r="O1531">
        <f>IF(N1531=1,M1531&amp;"|"&amp;L1531,REPT("z",40))</f>
        <v/>
      </c>
      <c r="P1531">
        <f>IF(N1531=1,COUNTIF($O$4:$O$2003,"&lt;"&amp;O1531)+1,"")</f>
        <v/>
      </c>
      <c r="Q1531">
        <f>IF(OR($R1530="",$R1530="T"),"",IF($R1530="B",$Q1530,IF($Q1530+1&gt;$K$3,"",$Q1530+1)))</f>
        <v/>
      </c>
      <c r="R1531">
        <f>IF(OR($R1530="",$R1530="T"),"",IF($R1530="B","S",IF($Q1530+1&gt;$K$3,"T",IF(INDEX($M$4:$M$2003,MATCH($Q1530+1,$P$4:$P$2003,0))&lt;&gt;INDEX($M$4:$M$2003,MATCH($Q1530,$P$4:$P$2003,0)),"B","S"))))</f>
        <v/>
      </c>
      <c r="S1531">
        <f>IF(Q1531="","",IFERROR(MATCH(Q1531,$P$4:$P$2003,0),""))</f>
        <v/>
      </c>
    </row>
    <row r="1532">
      <c r="A1532" s="4">
        <f>IF($R1532="","",IF($R1532="T","Gesamtergebnis",IF($R1532="B",INDEX($M$4:$M$2003,$S1532),INDEX($L$4:$L$2003,$S1532))))</f>
        <v/>
      </c>
      <c r="B1532" s="4">
        <f>IF($R1532="","",IF($R1532="T",$K$3,IF($R1532="B",COUNTIFS($M$4:$M$2003,INDEX($M$4:$M$2003,$S1532),$N$4:$N$2003,1),1)))</f>
        <v/>
      </c>
      <c r="L1532">
        <f>IF($K$1="","",IFERROR(INDEX(Lines!$A:$AA,ROW()-2,$K$1),""))</f>
        <v/>
      </c>
      <c r="M1532">
        <f>IF($K$2="","",IFERROR(INDEX(Lines!$A:$AA,ROW()-2,$K$2),""))</f>
        <v/>
      </c>
      <c r="N1532">
        <f>IF(AND(L1532&lt;&gt;"",LEFT(L1532,1)="N",M1532&lt;&gt;"PICKING",M1532&lt;&gt;""),1,0)</f>
        <v/>
      </c>
      <c r="O1532">
        <f>IF(N1532=1,M1532&amp;"|"&amp;L1532,REPT("z",40))</f>
        <v/>
      </c>
      <c r="P1532">
        <f>IF(N1532=1,COUNTIF($O$4:$O$2003,"&lt;"&amp;O1532)+1,"")</f>
        <v/>
      </c>
      <c r="Q1532">
        <f>IF(OR($R1531="",$R1531="T"),"",IF($R1531="B",$Q1531,IF($Q1531+1&gt;$K$3,"",$Q1531+1)))</f>
        <v/>
      </c>
      <c r="R1532">
        <f>IF(OR($R1531="",$R1531="T"),"",IF($R1531="B","S",IF($Q1531+1&gt;$K$3,"T",IF(INDEX($M$4:$M$2003,MATCH($Q1531+1,$P$4:$P$2003,0))&lt;&gt;INDEX($M$4:$M$2003,MATCH($Q1531,$P$4:$P$2003,0)),"B","S"))))</f>
        <v/>
      </c>
      <c r="S1532">
        <f>IF(Q1532="","",IFERROR(MATCH(Q1532,$P$4:$P$2003,0),""))</f>
        <v/>
      </c>
    </row>
    <row r="1533">
      <c r="A1533" s="4">
        <f>IF($R1533="","",IF($R1533="T","Gesamtergebnis",IF($R1533="B",INDEX($M$4:$M$2003,$S1533),INDEX($L$4:$L$2003,$S1533))))</f>
        <v/>
      </c>
      <c r="B1533" s="4">
        <f>IF($R1533="","",IF($R1533="T",$K$3,IF($R1533="B",COUNTIFS($M$4:$M$2003,INDEX($M$4:$M$2003,$S1533),$N$4:$N$2003,1),1)))</f>
        <v/>
      </c>
      <c r="L1533">
        <f>IF($K$1="","",IFERROR(INDEX(Lines!$A:$AA,ROW()-2,$K$1),""))</f>
        <v/>
      </c>
      <c r="M1533">
        <f>IF($K$2="","",IFERROR(INDEX(Lines!$A:$AA,ROW()-2,$K$2),""))</f>
        <v/>
      </c>
      <c r="N1533">
        <f>IF(AND(L1533&lt;&gt;"",LEFT(L1533,1)="N",M1533&lt;&gt;"PICKING",M1533&lt;&gt;""),1,0)</f>
        <v/>
      </c>
      <c r="O1533">
        <f>IF(N1533=1,M1533&amp;"|"&amp;L1533,REPT("z",40))</f>
        <v/>
      </c>
      <c r="P1533">
        <f>IF(N1533=1,COUNTIF($O$4:$O$2003,"&lt;"&amp;O1533)+1,"")</f>
        <v/>
      </c>
      <c r="Q1533">
        <f>IF(OR($R1532="",$R1532="T"),"",IF($R1532="B",$Q1532,IF($Q1532+1&gt;$K$3,"",$Q1532+1)))</f>
        <v/>
      </c>
      <c r="R1533">
        <f>IF(OR($R1532="",$R1532="T"),"",IF($R1532="B","S",IF($Q1532+1&gt;$K$3,"T",IF(INDEX($M$4:$M$2003,MATCH($Q1532+1,$P$4:$P$2003,0))&lt;&gt;INDEX($M$4:$M$2003,MATCH($Q1532,$P$4:$P$2003,0)),"B","S"))))</f>
        <v/>
      </c>
      <c r="S1533">
        <f>IF(Q1533="","",IFERROR(MATCH(Q1533,$P$4:$P$2003,0),""))</f>
        <v/>
      </c>
    </row>
    <row r="1534">
      <c r="A1534" s="4">
        <f>IF($R1534="","",IF($R1534="T","Gesamtergebnis",IF($R1534="B",INDEX($M$4:$M$2003,$S1534),INDEX($L$4:$L$2003,$S1534))))</f>
        <v/>
      </c>
      <c r="B1534" s="4">
        <f>IF($R1534="","",IF($R1534="T",$K$3,IF($R1534="B",COUNTIFS($M$4:$M$2003,INDEX($M$4:$M$2003,$S1534),$N$4:$N$2003,1),1)))</f>
        <v/>
      </c>
      <c r="L1534">
        <f>IF($K$1="","",IFERROR(INDEX(Lines!$A:$AA,ROW()-2,$K$1),""))</f>
        <v/>
      </c>
      <c r="M1534">
        <f>IF($K$2="","",IFERROR(INDEX(Lines!$A:$AA,ROW()-2,$K$2),""))</f>
        <v/>
      </c>
      <c r="N1534">
        <f>IF(AND(L1534&lt;&gt;"",LEFT(L1534,1)="N",M1534&lt;&gt;"PICKING",M1534&lt;&gt;""),1,0)</f>
        <v/>
      </c>
      <c r="O1534">
        <f>IF(N1534=1,M1534&amp;"|"&amp;L1534,REPT("z",40))</f>
        <v/>
      </c>
      <c r="P1534">
        <f>IF(N1534=1,COUNTIF($O$4:$O$2003,"&lt;"&amp;O1534)+1,"")</f>
        <v/>
      </c>
      <c r="Q1534">
        <f>IF(OR($R1533="",$R1533="T"),"",IF($R1533="B",$Q1533,IF($Q1533+1&gt;$K$3,"",$Q1533+1)))</f>
        <v/>
      </c>
      <c r="R1534">
        <f>IF(OR($R1533="",$R1533="T"),"",IF($R1533="B","S",IF($Q1533+1&gt;$K$3,"T",IF(INDEX($M$4:$M$2003,MATCH($Q1533+1,$P$4:$P$2003,0))&lt;&gt;INDEX($M$4:$M$2003,MATCH($Q1533,$P$4:$P$2003,0)),"B","S"))))</f>
        <v/>
      </c>
      <c r="S1534">
        <f>IF(Q1534="","",IFERROR(MATCH(Q1534,$P$4:$P$2003,0),""))</f>
        <v/>
      </c>
    </row>
    <row r="1535">
      <c r="A1535" s="4">
        <f>IF($R1535="","",IF($R1535="T","Gesamtergebnis",IF($R1535="B",INDEX($M$4:$M$2003,$S1535),INDEX($L$4:$L$2003,$S1535))))</f>
        <v/>
      </c>
      <c r="B1535" s="4">
        <f>IF($R1535="","",IF($R1535="T",$K$3,IF($R1535="B",COUNTIFS($M$4:$M$2003,INDEX($M$4:$M$2003,$S1535),$N$4:$N$2003,1),1)))</f>
        <v/>
      </c>
      <c r="L1535">
        <f>IF($K$1="","",IFERROR(INDEX(Lines!$A:$AA,ROW()-2,$K$1),""))</f>
        <v/>
      </c>
      <c r="M1535">
        <f>IF($K$2="","",IFERROR(INDEX(Lines!$A:$AA,ROW()-2,$K$2),""))</f>
        <v/>
      </c>
      <c r="N1535">
        <f>IF(AND(L1535&lt;&gt;"",LEFT(L1535,1)="N",M1535&lt;&gt;"PICKING",M1535&lt;&gt;""),1,0)</f>
        <v/>
      </c>
      <c r="O1535">
        <f>IF(N1535=1,M1535&amp;"|"&amp;L1535,REPT("z",40))</f>
        <v/>
      </c>
      <c r="P1535">
        <f>IF(N1535=1,COUNTIF($O$4:$O$2003,"&lt;"&amp;O1535)+1,"")</f>
        <v/>
      </c>
      <c r="Q1535">
        <f>IF(OR($R1534="",$R1534="T"),"",IF($R1534="B",$Q1534,IF($Q1534+1&gt;$K$3,"",$Q1534+1)))</f>
        <v/>
      </c>
      <c r="R1535">
        <f>IF(OR($R1534="",$R1534="T"),"",IF($R1534="B","S",IF($Q1534+1&gt;$K$3,"T",IF(INDEX($M$4:$M$2003,MATCH($Q1534+1,$P$4:$P$2003,0))&lt;&gt;INDEX($M$4:$M$2003,MATCH($Q1534,$P$4:$P$2003,0)),"B","S"))))</f>
        <v/>
      </c>
      <c r="S1535">
        <f>IF(Q1535="","",IFERROR(MATCH(Q1535,$P$4:$P$2003,0),""))</f>
        <v/>
      </c>
    </row>
    <row r="1536">
      <c r="A1536" s="4">
        <f>IF($R1536="","",IF($R1536="T","Gesamtergebnis",IF($R1536="B",INDEX($M$4:$M$2003,$S1536),INDEX($L$4:$L$2003,$S1536))))</f>
        <v/>
      </c>
      <c r="B1536" s="4">
        <f>IF($R1536="","",IF($R1536="T",$K$3,IF($R1536="B",COUNTIFS($M$4:$M$2003,INDEX($M$4:$M$2003,$S1536),$N$4:$N$2003,1),1)))</f>
        <v/>
      </c>
      <c r="L1536">
        <f>IF($K$1="","",IFERROR(INDEX(Lines!$A:$AA,ROW()-2,$K$1),""))</f>
        <v/>
      </c>
      <c r="M1536">
        <f>IF($K$2="","",IFERROR(INDEX(Lines!$A:$AA,ROW()-2,$K$2),""))</f>
        <v/>
      </c>
      <c r="N1536">
        <f>IF(AND(L1536&lt;&gt;"",LEFT(L1536,1)="N",M1536&lt;&gt;"PICKING",M1536&lt;&gt;""),1,0)</f>
        <v/>
      </c>
      <c r="O1536">
        <f>IF(N1536=1,M1536&amp;"|"&amp;L1536,REPT("z",40))</f>
        <v/>
      </c>
      <c r="P1536">
        <f>IF(N1536=1,COUNTIF($O$4:$O$2003,"&lt;"&amp;O1536)+1,"")</f>
        <v/>
      </c>
      <c r="Q1536">
        <f>IF(OR($R1535="",$R1535="T"),"",IF($R1535="B",$Q1535,IF($Q1535+1&gt;$K$3,"",$Q1535+1)))</f>
        <v/>
      </c>
      <c r="R1536">
        <f>IF(OR($R1535="",$R1535="T"),"",IF($R1535="B","S",IF($Q1535+1&gt;$K$3,"T",IF(INDEX($M$4:$M$2003,MATCH($Q1535+1,$P$4:$P$2003,0))&lt;&gt;INDEX($M$4:$M$2003,MATCH($Q1535,$P$4:$P$2003,0)),"B","S"))))</f>
        <v/>
      </c>
      <c r="S1536">
        <f>IF(Q1536="","",IFERROR(MATCH(Q1536,$P$4:$P$2003,0),""))</f>
        <v/>
      </c>
    </row>
    <row r="1537">
      <c r="A1537" s="4">
        <f>IF($R1537="","",IF($R1537="T","Gesamtergebnis",IF($R1537="B",INDEX($M$4:$M$2003,$S1537),INDEX($L$4:$L$2003,$S1537))))</f>
        <v/>
      </c>
      <c r="B1537" s="4">
        <f>IF($R1537="","",IF($R1537="T",$K$3,IF($R1537="B",COUNTIFS($M$4:$M$2003,INDEX($M$4:$M$2003,$S1537),$N$4:$N$2003,1),1)))</f>
        <v/>
      </c>
      <c r="L1537">
        <f>IF($K$1="","",IFERROR(INDEX(Lines!$A:$AA,ROW()-2,$K$1),""))</f>
        <v/>
      </c>
      <c r="M1537">
        <f>IF($K$2="","",IFERROR(INDEX(Lines!$A:$AA,ROW()-2,$K$2),""))</f>
        <v/>
      </c>
      <c r="N1537">
        <f>IF(AND(L1537&lt;&gt;"",LEFT(L1537,1)="N",M1537&lt;&gt;"PICKING",M1537&lt;&gt;""),1,0)</f>
        <v/>
      </c>
      <c r="O1537">
        <f>IF(N1537=1,M1537&amp;"|"&amp;L1537,REPT("z",40))</f>
        <v/>
      </c>
      <c r="P1537">
        <f>IF(N1537=1,COUNTIF($O$4:$O$2003,"&lt;"&amp;O1537)+1,"")</f>
        <v/>
      </c>
      <c r="Q1537">
        <f>IF(OR($R1536="",$R1536="T"),"",IF($R1536="B",$Q1536,IF($Q1536+1&gt;$K$3,"",$Q1536+1)))</f>
        <v/>
      </c>
      <c r="R1537">
        <f>IF(OR($R1536="",$R1536="T"),"",IF($R1536="B","S",IF($Q1536+1&gt;$K$3,"T",IF(INDEX($M$4:$M$2003,MATCH($Q1536+1,$P$4:$P$2003,0))&lt;&gt;INDEX($M$4:$M$2003,MATCH($Q1536,$P$4:$P$2003,0)),"B","S"))))</f>
        <v/>
      </c>
      <c r="S1537">
        <f>IF(Q1537="","",IFERROR(MATCH(Q1537,$P$4:$P$2003,0),""))</f>
        <v/>
      </c>
    </row>
    <row r="1538">
      <c r="A1538" s="4">
        <f>IF($R1538="","",IF($R1538="T","Gesamtergebnis",IF($R1538="B",INDEX($M$4:$M$2003,$S1538),INDEX($L$4:$L$2003,$S1538))))</f>
        <v/>
      </c>
      <c r="B1538" s="4">
        <f>IF($R1538="","",IF($R1538="T",$K$3,IF($R1538="B",COUNTIFS($M$4:$M$2003,INDEX($M$4:$M$2003,$S1538),$N$4:$N$2003,1),1)))</f>
        <v/>
      </c>
      <c r="L1538">
        <f>IF($K$1="","",IFERROR(INDEX(Lines!$A:$AA,ROW()-2,$K$1),""))</f>
        <v/>
      </c>
      <c r="M1538">
        <f>IF($K$2="","",IFERROR(INDEX(Lines!$A:$AA,ROW()-2,$K$2),""))</f>
        <v/>
      </c>
      <c r="N1538">
        <f>IF(AND(L1538&lt;&gt;"",LEFT(L1538,1)="N",M1538&lt;&gt;"PICKING",M1538&lt;&gt;""),1,0)</f>
        <v/>
      </c>
      <c r="O1538">
        <f>IF(N1538=1,M1538&amp;"|"&amp;L1538,REPT("z",40))</f>
        <v/>
      </c>
      <c r="P1538">
        <f>IF(N1538=1,COUNTIF($O$4:$O$2003,"&lt;"&amp;O1538)+1,"")</f>
        <v/>
      </c>
      <c r="Q1538">
        <f>IF(OR($R1537="",$R1537="T"),"",IF($R1537="B",$Q1537,IF($Q1537+1&gt;$K$3,"",$Q1537+1)))</f>
        <v/>
      </c>
      <c r="R1538">
        <f>IF(OR($R1537="",$R1537="T"),"",IF($R1537="B","S",IF($Q1537+1&gt;$K$3,"T",IF(INDEX($M$4:$M$2003,MATCH($Q1537+1,$P$4:$P$2003,0))&lt;&gt;INDEX($M$4:$M$2003,MATCH($Q1537,$P$4:$P$2003,0)),"B","S"))))</f>
        <v/>
      </c>
      <c r="S1538">
        <f>IF(Q1538="","",IFERROR(MATCH(Q1538,$P$4:$P$2003,0),""))</f>
        <v/>
      </c>
    </row>
    <row r="1539">
      <c r="A1539" s="4">
        <f>IF($R1539="","",IF($R1539="T","Gesamtergebnis",IF($R1539="B",INDEX($M$4:$M$2003,$S1539),INDEX($L$4:$L$2003,$S1539))))</f>
        <v/>
      </c>
      <c r="B1539" s="4">
        <f>IF($R1539="","",IF($R1539="T",$K$3,IF($R1539="B",COUNTIFS($M$4:$M$2003,INDEX($M$4:$M$2003,$S1539),$N$4:$N$2003,1),1)))</f>
        <v/>
      </c>
      <c r="L1539">
        <f>IF($K$1="","",IFERROR(INDEX(Lines!$A:$AA,ROW()-2,$K$1),""))</f>
        <v/>
      </c>
      <c r="M1539">
        <f>IF($K$2="","",IFERROR(INDEX(Lines!$A:$AA,ROW()-2,$K$2),""))</f>
        <v/>
      </c>
      <c r="N1539">
        <f>IF(AND(L1539&lt;&gt;"",LEFT(L1539,1)="N",M1539&lt;&gt;"PICKING",M1539&lt;&gt;""),1,0)</f>
        <v/>
      </c>
      <c r="O1539">
        <f>IF(N1539=1,M1539&amp;"|"&amp;L1539,REPT("z",40))</f>
        <v/>
      </c>
      <c r="P1539">
        <f>IF(N1539=1,COUNTIF($O$4:$O$2003,"&lt;"&amp;O1539)+1,"")</f>
        <v/>
      </c>
      <c r="Q1539">
        <f>IF(OR($R1538="",$R1538="T"),"",IF($R1538="B",$Q1538,IF($Q1538+1&gt;$K$3,"",$Q1538+1)))</f>
        <v/>
      </c>
      <c r="R1539">
        <f>IF(OR($R1538="",$R1538="T"),"",IF($R1538="B","S",IF($Q1538+1&gt;$K$3,"T",IF(INDEX($M$4:$M$2003,MATCH($Q1538+1,$P$4:$P$2003,0))&lt;&gt;INDEX($M$4:$M$2003,MATCH($Q1538,$P$4:$P$2003,0)),"B","S"))))</f>
        <v/>
      </c>
      <c r="S1539">
        <f>IF(Q1539="","",IFERROR(MATCH(Q1539,$P$4:$P$2003,0),""))</f>
        <v/>
      </c>
    </row>
    <row r="1540">
      <c r="A1540" s="4">
        <f>IF($R1540="","",IF($R1540="T","Gesamtergebnis",IF($R1540="B",INDEX($M$4:$M$2003,$S1540),INDEX($L$4:$L$2003,$S1540))))</f>
        <v/>
      </c>
      <c r="B1540" s="4">
        <f>IF($R1540="","",IF($R1540="T",$K$3,IF($R1540="B",COUNTIFS($M$4:$M$2003,INDEX($M$4:$M$2003,$S1540),$N$4:$N$2003,1),1)))</f>
        <v/>
      </c>
      <c r="L1540">
        <f>IF($K$1="","",IFERROR(INDEX(Lines!$A:$AA,ROW()-2,$K$1),""))</f>
        <v/>
      </c>
      <c r="M1540">
        <f>IF($K$2="","",IFERROR(INDEX(Lines!$A:$AA,ROW()-2,$K$2),""))</f>
        <v/>
      </c>
      <c r="N1540">
        <f>IF(AND(L1540&lt;&gt;"",LEFT(L1540,1)="N",M1540&lt;&gt;"PICKING",M1540&lt;&gt;""),1,0)</f>
        <v/>
      </c>
      <c r="O1540">
        <f>IF(N1540=1,M1540&amp;"|"&amp;L1540,REPT("z",40))</f>
        <v/>
      </c>
      <c r="P1540">
        <f>IF(N1540=1,COUNTIF($O$4:$O$2003,"&lt;"&amp;O1540)+1,"")</f>
        <v/>
      </c>
      <c r="Q1540">
        <f>IF(OR($R1539="",$R1539="T"),"",IF($R1539="B",$Q1539,IF($Q1539+1&gt;$K$3,"",$Q1539+1)))</f>
        <v/>
      </c>
      <c r="R1540">
        <f>IF(OR($R1539="",$R1539="T"),"",IF($R1539="B","S",IF($Q1539+1&gt;$K$3,"T",IF(INDEX($M$4:$M$2003,MATCH($Q1539+1,$P$4:$P$2003,0))&lt;&gt;INDEX($M$4:$M$2003,MATCH($Q1539,$P$4:$P$2003,0)),"B","S"))))</f>
        <v/>
      </c>
      <c r="S1540">
        <f>IF(Q1540="","",IFERROR(MATCH(Q1540,$P$4:$P$2003,0),""))</f>
        <v/>
      </c>
    </row>
    <row r="1541">
      <c r="A1541" s="4">
        <f>IF($R1541="","",IF($R1541="T","Gesamtergebnis",IF($R1541="B",INDEX($M$4:$M$2003,$S1541),INDEX($L$4:$L$2003,$S1541))))</f>
        <v/>
      </c>
      <c r="B1541" s="4">
        <f>IF($R1541="","",IF($R1541="T",$K$3,IF($R1541="B",COUNTIFS($M$4:$M$2003,INDEX($M$4:$M$2003,$S1541),$N$4:$N$2003,1),1)))</f>
        <v/>
      </c>
      <c r="L1541">
        <f>IF($K$1="","",IFERROR(INDEX(Lines!$A:$AA,ROW()-2,$K$1),""))</f>
        <v/>
      </c>
      <c r="M1541">
        <f>IF($K$2="","",IFERROR(INDEX(Lines!$A:$AA,ROW()-2,$K$2),""))</f>
        <v/>
      </c>
      <c r="N1541">
        <f>IF(AND(L1541&lt;&gt;"",LEFT(L1541,1)="N",M1541&lt;&gt;"PICKING",M1541&lt;&gt;""),1,0)</f>
        <v/>
      </c>
      <c r="O1541">
        <f>IF(N1541=1,M1541&amp;"|"&amp;L1541,REPT("z",40))</f>
        <v/>
      </c>
      <c r="P1541">
        <f>IF(N1541=1,COUNTIF($O$4:$O$2003,"&lt;"&amp;O1541)+1,"")</f>
        <v/>
      </c>
      <c r="Q1541">
        <f>IF(OR($R1540="",$R1540="T"),"",IF($R1540="B",$Q1540,IF($Q1540+1&gt;$K$3,"",$Q1540+1)))</f>
        <v/>
      </c>
      <c r="R1541">
        <f>IF(OR($R1540="",$R1540="T"),"",IF($R1540="B","S",IF($Q1540+1&gt;$K$3,"T",IF(INDEX($M$4:$M$2003,MATCH($Q1540+1,$P$4:$P$2003,0))&lt;&gt;INDEX($M$4:$M$2003,MATCH($Q1540,$P$4:$P$2003,0)),"B","S"))))</f>
        <v/>
      </c>
      <c r="S1541">
        <f>IF(Q1541="","",IFERROR(MATCH(Q1541,$P$4:$P$2003,0),""))</f>
        <v/>
      </c>
    </row>
    <row r="1542">
      <c r="A1542" s="4">
        <f>IF($R1542="","",IF($R1542="T","Gesamtergebnis",IF($R1542="B",INDEX($M$4:$M$2003,$S1542),INDEX($L$4:$L$2003,$S1542))))</f>
        <v/>
      </c>
      <c r="B1542" s="4">
        <f>IF($R1542="","",IF($R1542="T",$K$3,IF($R1542="B",COUNTIFS($M$4:$M$2003,INDEX($M$4:$M$2003,$S1542),$N$4:$N$2003,1),1)))</f>
        <v/>
      </c>
      <c r="L1542">
        <f>IF($K$1="","",IFERROR(INDEX(Lines!$A:$AA,ROW()-2,$K$1),""))</f>
        <v/>
      </c>
      <c r="M1542">
        <f>IF($K$2="","",IFERROR(INDEX(Lines!$A:$AA,ROW()-2,$K$2),""))</f>
        <v/>
      </c>
      <c r="N1542">
        <f>IF(AND(L1542&lt;&gt;"",LEFT(L1542,1)="N",M1542&lt;&gt;"PICKING",M1542&lt;&gt;""),1,0)</f>
        <v/>
      </c>
      <c r="O1542">
        <f>IF(N1542=1,M1542&amp;"|"&amp;L1542,REPT("z",40))</f>
        <v/>
      </c>
      <c r="P1542">
        <f>IF(N1542=1,COUNTIF($O$4:$O$2003,"&lt;"&amp;O1542)+1,"")</f>
        <v/>
      </c>
      <c r="Q1542">
        <f>IF(OR($R1541="",$R1541="T"),"",IF($R1541="B",$Q1541,IF($Q1541+1&gt;$K$3,"",$Q1541+1)))</f>
        <v/>
      </c>
      <c r="R1542">
        <f>IF(OR($R1541="",$R1541="T"),"",IF($R1541="B","S",IF($Q1541+1&gt;$K$3,"T",IF(INDEX($M$4:$M$2003,MATCH($Q1541+1,$P$4:$P$2003,0))&lt;&gt;INDEX($M$4:$M$2003,MATCH($Q1541,$P$4:$P$2003,0)),"B","S"))))</f>
        <v/>
      </c>
      <c r="S1542">
        <f>IF(Q1542="","",IFERROR(MATCH(Q1542,$P$4:$P$2003,0),""))</f>
        <v/>
      </c>
    </row>
    <row r="1543">
      <c r="A1543" s="4">
        <f>IF($R1543="","",IF($R1543="T","Gesamtergebnis",IF($R1543="B",INDEX($M$4:$M$2003,$S1543),INDEX($L$4:$L$2003,$S1543))))</f>
        <v/>
      </c>
      <c r="B1543" s="4">
        <f>IF($R1543="","",IF($R1543="T",$K$3,IF($R1543="B",COUNTIFS($M$4:$M$2003,INDEX($M$4:$M$2003,$S1543),$N$4:$N$2003,1),1)))</f>
        <v/>
      </c>
      <c r="L1543">
        <f>IF($K$1="","",IFERROR(INDEX(Lines!$A:$AA,ROW()-2,$K$1),""))</f>
        <v/>
      </c>
      <c r="M1543">
        <f>IF($K$2="","",IFERROR(INDEX(Lines!$A:$AA,ROW()-2,$K$2),""))</f>
        <v/>
      </c>
      <c r="N1543">
        <f>IF(AND(L1543&lt;&gt;"",LEFT(L1543,1)="N",M1543&lt;&gt;"PICKING",M1543&lt;&gt;""),1,0)</f>
        <v/>
      </c>
      <c r="O1543">
        <f>IF(N1543=1,M1543&amp;"|"&amp;L1543,REPT("z",40))</f>
        <v/>
      </c>
      <c r="P1543">
        <f>IF(N1543=1,COUNTIF($O$4:$O$2003,"&lt;"&amp;O1543)+1,"")</f>
        <v/>
      </c>
      <c r="Q1543">
        <f>IF(OR($R1542="",$R1542="T"),"",IF($R1542="B",$Q1542,IF($Q1542+1&gt;$K$3,"",$Q1542+1)))</f>
        <v/>
      </c>
      <c r="R1543">
        <f>IF(OR($R1542="",$R1542="T"),"",IF($R1542="B","S",IF($Q1542+1&gt;$K$3,"T",IF(INDEX($M$4:$M$2003,MATCH($Q1542+1,$P$4:$P$2003,0))&lt;&gt;INDEX($M$4:$M$2003,MATCH($Q1542,$P$4:$P$2003,0)),"B","S"))))</f>
        <v/>
      </c>
      <c r="S1543">
        <f>IF(Q1543="","",IFERROR(MATCH(Q1543,$P$4:$P$2003,0),""))</f>
        <v/>
      </c>
    </row>
    <row r="1544">
      <c r="A1544" s="4">
        <f>IF($R1544="","",IF($R1544="T","Gesamtergebnis",IF($R1544="B",INDEX($M$4:$M$2003,$S1544),INDEX($L$4:$L$2003,$S1544))))</f>
        <v/>
      </c>
      <c r="B1544" s="4">
        <f>IF($R1544="","",IF($R1544="T",$K$3,IF($R1544="B",COUNTIFS($M$4:$M$2003,INDEX($M$4:$M$2003,$S1544),$N$4:$N$2003,1),1)))</f>
        <v/>
      </c>
      <c r="L1544">
        <f>IF($K$1="","",IFERROR(INDEX(Lines!$A:$AA,ROW()-2,$K$1),""))</f>
        <v/>
      </c>
      <c r="M1544">
        <f>IF($K$2="","",IFERROR(INDEX(Lines!$A:$AA,ROW()-2,$K$2),""))</f>
        <v/>
      </c>
      <c r="N1544">
        <f>IF(AND(L1544&lt;&gt;"",LEFT(L1544,1)="N",M1544&lt;&gt;"PICKING",M1544&lt;&gt;""),1,0)</f>
        <v/>
      </c>
      <c r="O1544">
        <f>IF(N1544=1,M1544&amp;"|"&amp;L1544,REPT("z",40))</f>
        <v/>
      </c>
      <c r="P1544">
        <f>IF(N1544=1,COUNTIF($O$4:$O$2003,"&lt;"&amp;O1544)+1,"")</f>
        <v/>
      </c>
      <c r="Q1544">
        <f>IF(OR($R1543="",$R1543="T"),"",IF($R1543="B",$Q1543,IF($Q1543+1&gt;$K$3,"",$Q1543+1)))</f>
        <v/>
      </c>
      <c r="R1544">
        <f>IF(OR($R1543="",$R1543="T"),"",IF($R1543="B","S",IF($Q1543+1&gt;$K$3,"T",IF(INDEX($M$4:$M$2003,MATCH($Q1543+1,$P$4:$P$2003,0))&lt;&gt;INDEX($M$4:$M$2003,MATCH($Q1543,$P$4:$P$2003,0)),"B","S"))))</f>
        <v/>
      </c>
      <c r="S1544">
        <f>IF(Q1544="","",IFERROR(MATCH(Q1544,$P$4:$P$2003,0),""))</f>
        <v/>
      </c>
    </row>
    <row r="1545">
      <c r="A1545" s="4">
        <f>IF($R1545="","",IF($R1545="T","Gesamtergebnis",IF($R1545="B",INDEX($M$4:$M$2003,$S1545),INDEX($L$4:$L$2003,$S1545))))</f>
        <v/>
      </c>
      <c r="B1545" s="4">
        <f>IF($R1545="","",IF($R1545="T",$K$3,IF($R1545="B",COUNTIFS($M$4:$M$2003,INDEX($M$4:$M$2003,$S1545),$N$4:$N$2003,1),1)))</f>
        <v/>
      </c>
      <c r="L1545">
        <f>IF($K$1="","",IFERROR(INDEX(Lines!$A:$AA,ROW()-2,$K$1),""))</f>
        <v/>
      </c>
      <c r="M1545">
        <f>IF($K$2="","",IFERROR(INDEX(Lines!$A:$AA,ROW()-2,$K$2),""))</f>
        <v/>
      </c>
      <c r="N1545">
        <f>IF(AND(L1545&lt;&gt;"",LEFT(L1545,1)="N",M1545&lt;&gt;"PICKING",M1545&lt;&gt;""),1,0)</f>
        <v/>
      </c>
      <c r="O1545">
        <f>IF(N1545=1,M1545&amp;"|"&amp;L1545,REPT("z",40))</f>
        <v/>
      </c>
      <c r="P1545">
        <f>IF(N1545=1,COUNTIF($O$4:$O$2003,"&lt;"&amp;O1545)+1,"")</f>
        <v/>
      </c>
      <c r="Q1545">
        <f>IF(OR($R1544="",$R1544="T"),"",IF($R1544="B",$Q1544,IF($Q1544+1&gt;$K$3,"",$Q1544+1)))</f>
        <v/>
      </c>
      <c r="R1545">
        <f>IF(OR($R1544="",$R1544="T"),"",IF($R1544="B","S",IF($Q1544+1&gt;$K$3,"T",IF(INDEX($M$4:$M$2003,MATCH($Q1544+1,$P$4:$P$2003,0))&lt;&gt;INDEX($M$4:$M$2003,MATCH($Q1544,$P$4:$P$2003,0)),"B","S"))))</f>
        <v/>
      </c>
      <c r="S1545">
        <f>IF(Q1545="","",IFERROR(MATCH(Q1545,$P$4:$P$2003,0),""))</f>
        <v/>
      </c>
    </row>
    <row r="1546">
      <c r="A1546" s="4">
        <f>IF($R1546="","",IF($R1546="T","Gesamtergebnis",IF($R1546="B",INDEX($M$4:$M$2003,$S1546),INDEX($L$4:$L$2003,$S1546))))</f>
        <v/>
      </c>
      <c r="B1546" s="4">
        <f>IF($R1546="","",IF($R1546="T",$K$3,IF($R1546="B",COUNTIFS($M$4:$M$2003,INDEX($M$4:$M$2003,$S1546),$N$4:$N$2003,1),1)))</f>
        <v/>
      </c>
      <c r="L1546">
        <f>IF($K$1="","",IFERROR(INDEX(Lines!$A:$AA,ROW()-2,$K$1),""))</f>
        <v/>
      </c>
      <c r="M1546">
        <f>IF($K$2="","",IFERROR(INDEX(Lines!$A:$AA,ROW()-2,$K$2),""))</f>
        <v/>
      </c>
      <c r="N1546">
        <f>IF(AND(L1546&lt;&gt;"",LEFT(L1546,1)="N",M1546&lt;&gt;"PICKING",M1546&lt;&gt;""),1,0)</f>
        <v/>
      </c>
      <c r="O1546">
        <f>IF(N1546=1,M1546&amp;"|"&amp;L1546,REPT("z",40))</f>
        <v/>
      </c>
      <c r="P1546">
        <f>IF(N1546=1,COUNTIF($O$4:$O$2003,"&lt;"&amp;O1546)+1,"")</f>
        <v/>
      </c>
      <c r="Q1546">
        <f>IF(OR($R1545="",$R1545="T"),"",IF($R1545="B",$Q1545,IF($Q1545+1&gt;$K$3,"",$Q1545+1)))</f>
        <v/>
      </c>
      <c r="R1546">
        <f>IF(OR($R1545="",$R1545="T"),"",IF($R1545="B","S",IF($Q1545+1&gt;$K$3,"T",IF(INDEX($M$4:$M$2003,MATCH($Q1545+1,$P$4:$P$2003,0))&lt;&gt;INDEX($M$4:$M$2003,MATCH($Q1545,$P$4:$P$2003,0)),"B","S"))))</f>
        <v/>
      </c>
      <c r="S1546">
        <f>IF(Q1546="","",IFERROR(MATCH(Q1546,$P$4:$P$2003,0),""))</f>
        <v/>
      </c>
    </row>
    <row r="1547">
      <c r="A1547" s="4">
        <f>IF($R1547="","",IF($R1547="T","Gesamtergebnis",IF($R1547="B",INDEX($M$4:$M$2003,$S1547),INDEX($L$4:$L$2003,$S1547))))</f>
        <v/>
      </c>
      <c r="B1547" s="4">
        <f>IF($R1547="","",IF($R1547="T",$K$3,IF($R1547="B",COUNTIFS($M$4:$M$2003,INDEX($M$4:$M$2003,$S1547),$N$4:$N$2003,1),1)))</f>
        <v/>
      </c>
      <c r="L1547">
        <f>IF($K$1="","",IFERROR(INDEX(Lines!$A:$AA,ROW()-2,$K$1),""))</f>
        <v/>
      </c>
      <c r="M1547">
        <f>IF($K$2="","",IFERROR(INDEX(Lines!$A:$AA,ROW()-2,$K$2),""))</f>
        <v/>
      </c>
      <c r="N1547">
        <f>IF(AND(L1547&lt;&gt;"",LEFT(L1547,1)="N",M1547&lt;&gt;"PICKING",M1547&lt;&gt;""),1,0)</f>
        <v/>
      </c>
      <c r="O1547">
        <f>IF(N1547=1,M1547&amp;"|"&amp;L1547,REPT("z",40))</f>
        <v/>
      </c>
      <c r="P1547">
        <f>IF(N1547=1,COUNTIF($O$4:$O$2003,"&lt;"&amp;O1547)+1,"")</f>
        <v/>
      </c>
      <c r="Q1547">
        <f>IF(OR($R1546="",$R1546="T"),"",IF($R1546="B",$Q1546,IF($Q1546+1&gt;$K$3,"",$Q1546+1)))</f>
        <v/>
      </c>
      <c r="R1547">
        <f>IF(OR($R1546="",$R1546="T"),"",IF($R1546="B","S",IF($Q1546+1&gt;$K$3,"T",IF(INDEX($M$4:$M$2003,MATCH($Q1546+1,$P$4:$P$2003,0))&lt;&gt;INDEX($M$4:$M$2003,MATCH($Q1546,$P$4:$P$2003,0)),"B","S"))))</f>
        <v/>
      </c>
      <c r="S1547">
        <f>IF(Q1547="","",IFERROR(MATCH(Q1547,$P$4:$P$2003,0),""))</f>
        <v/>
      </c>
    </row>
    <row r="1548">
      <c r="A1548" s="4">
        <f>IF($R1548="","",IF($R1548="T","Gesamtergebnis",IF($R1548="B",INDEX($M$4:$M$2003,$S1548),INDEX($L$4:$L$2003,$S1548))))</f>
        <v/>
      </c>
      <c r="B1548" s="4">
        <f>IF($R1548="","",IF($R1548="T",$K$3,IF($R1548="B",COUNTIFS($M$4:$M$2003,INDEX($M$4:$M$2003,$S1548),$N$4:$N$2003,1),1)))</f>
        <v/>
      </c>
      <c r="L1548">
        <f>IF($K$1="","",IFERROR(INDEX(Lines!$A:$AA,ROW()-2,$K$1),""))</f>
        <v/>
      </c>
      <c r="M1548">
        <f>IF($K$2="","",IFERROR(INDEX(Lines!$A:$AA,ROW()-2,$K$2),""))</f>
        <v/>
      </c>
      <c r="N1548">
        <f>IF(AND(L1548&lt;&gt;"",LEFT(L1548,1)="N",M1548&lt;&gt;"PICKING",M1548&lt;&gt;""),1,0)</f>
        <v/>
      </c>
      <c r="O1548">
        <f>IF(N1548=1,M1548&amp;"|"&amp;L1548,REPT("z",40))</f>
        <v/>
      </c>
      <c r="P1548">
        <f>IF(N1548=1,COUNTIF($O$4:$O$2003,"&lt;"&amp;O1548)+1,"")</f>
        <v/>
      </c>
      <c r="Q1548">
        <f>IF(OR($R1547="",$R1547="T"),"",IF($R1547="B",$Q1547,IF($Q1547+1&gt;$K$3,"",$Q1547+1)))</f>
        <v/>
      </c>
      <c r="R1548">
        <f>IF(OR($R1547="",$R1547="T"),"",IF($R1547="B","S",IF($Q1547+1&gt;$K$3,"T",IF(INDEX($M$4:$M$2003,MATCH($Q1547+1,$P$4:$P$2003,0))&lt;&gt;INDEX($M$4:$M$2003,MATCH($Q1547,$P$4:$P$2003,0)),"B","S"))))</f>
        <v/>
      </c>
      <c r="S1548">
        <f>IF(Q1548="","",IFERROR(MATCH(Q1548,$P$4:$P$2003,0),""))</f>
        <v/>
      </c>
    </row>
    <row r="1549">
      <c r="A1549" s="4">
        <f>IF($R1549="","",IF($R1549="T","Gesamtergebnis",IF($R1549="B",INDEX($M$4:$M$2003,$S1549),INDEX($L$4:$L$2003,$S1549))))</f>
        <v/>
      </c>
      <c r="B1549" s="4">
        <f>IF($R1549="","",IF($R1549="T",$K$3,IF($R1549="B",COUNTIFS($M$4:$M$2003,INDEX($M$4:$M$2003,$S1549),$N$4:$N$2003,1),1)))</f>
        <v/>
      </c>
      <c r="L1549">
        <f>IF($K$1="","",IFERROR(INDEX(Lines!$A:$AA,ROW()-2,$K$1),""))</f>
        <v/>
      </c>
      <c r="M1549">
        <f>IF($K$2="","",IFERROR(INDEX(Lines!$A:$AA,ROW()-2,$K$2),""))</f>
        <v/>
      </c>
      <c r="N1549">
        <f>IF(AND(L1549&lt;&gt;"",LEFT(L1549,1)="N",M1549&lt;&gt;"PICKING",M1549&lt;&gt;""),1,0)</f>
        <v/>
      </c>
      <c r="O1549">
        <f>IF(N1549=1,M1549&amp;"|"&amp;L1549,REPT("z",40))</f>
        <v/>
      </c>
      <c r="P1549">
        <f>IF(N1549=1,COUNTIF($O$4:$O$2003,"&lt;"&amp;O1549)+1,"")</f>
        <v/>
      </c>
      <c r="Q1549">
        <f>IF(OR($R1548="",$R1548="T"),"",IF($R1548="B",$Q1548,IF($Q1548+1&gt;$K$3,"",$Q1548+1)))</f>
        <v/>
      </c>
      <c r="R1549">
        <f>IF(OR($R1548="",$R1548="T"),"",IF($R1548="B","S",IF($Q1548+1&gt;$K$3,"T",IF(INDEX($M$4:$M$2003,MATCH($Q1548+1,$P$4:$P$2003,0))&lt;&gt;INDEX($M$4:$M$2003,MATCH($Q1548,$P$4:$P$2003,0)),"B","S"))))</f>
        <v/>
      </c>
      <c r="S1549">
        <f>IF(Q1549="","",IFERROR(MATCH(Q1549,$P$4:$P$2003,0),""))</f>
        <v/>
      </c>
    </row>
    <row r="1550">
      <c r="A1550" s="4">
        <f>IF($R1550="","",IF($R1550="T","Gesamtergebnis",IF($R1550="B",INDEX($M$4:$M$2003,$S1550),INDEX($L$4:$L$2003,$S1550))))</f>
        <v/>
      </c>
      <c r="B1550" s="4">
        <f>IF($R1550="","",IF($R1550="T",$K$3,IF($R1550="B",COUNTIFS($M$4:$M$2003,INDEX($M$4:$M$2003,$S1550),$N$4:$N$2003,1),1)))</f>
        <v/>
      </c>
      <c r="L1550">
        <f>IF($K$1="","",IFERROR(INDEX(Lines!$A:$AA,ROW()-2,$K$1),""))</f>
        <v/>
      </c>
      <c r="M1550">
        <f>IF($K$2="","",IFERROR(INDEX(Lines!$A:$AA,ROW()-2,$K$2),""))</f>
        <v/>
      </c>
      <c r="N1550">
        <f>IF(AND(L1550&lt;&gt;"",LEFT(L1550,1)="N",M1550&lt;&gt;"PICKING",M1550&lt;&gt;""),1,0)</f>
        <v/>
      </c>
      <c r="O1550">
        <f>IF(N1550=1,M1550&amp;"|"&amp;L1550,REPT("z",40))</f>
        <v/>
      </c>
      <c r="P1550">
        <f>IF(N1550=1,COUNTIF($O$4:$O$2003,"&lt;"&amp;O1550)+1,"")</f>
        <v/>
      </c>
      <c r="Q1550">
        <f>IF(OR($R1549="",$R1549="T"),"",IF($R1549="B",$Q1549,IF($Q1549+1&gt;$K$3,"",$Q1549+1)))</f>
        <v/>
      </c>
      <c r="R1550">
        <f>IF(OR($R1549="",$R1549="T"),"",IF($R1549="B","S",IF($Q1549+1&gt;$K$3,"T",IF(INDEX($M$4:$M$2003,MATCH($Q1549+1,$P$4:$P$2003,0))&lt;&gt;INDEX($M$4:$M$2003,MATCH($Q1549,$P$4:$P$2003,0)),"B","S"))))</f>
        <v/>
      </c>
      <c r="S1550">
        <f>IF(Q1550="","",IFERROR(MATCH(Q1550,$P$4:$P$2003,0),""))</f>
        <v/>
      </c>
    </row>
    <row r="1551">
      <c r="A1551" s="4">
        <f>IF($R1551="","",IF($R1551="T","Gesamtergebnis",IF($R1551="B",INDEX($M$4:$M$2003,$S1551),INDEX($L$4:$L$2003,$S1551))))</f>
        <v/>
      </c>
      <c r="B1551" s="4">
        <f>IF($R1551="","",IF($R1551="T",$K$3,IF($R1551="B",COUNTIFS($M$4:$M$2003,INDEX($M$4:$M$2003,$S1551),$N$4:$N$2003,1),1)))</f>
        <v/>
      </c>
      <c r="L1551">
        <f>IF($K$1="","",IFERROR(INDEX(Lines!$A:$AA,ROW()-2,$K$1),""))</f>
        <v/>
      </c>
      <c r="M1551">
        <f>IF($K$2="","",IFERROR(INDEX(Lines!$A:$AA,ROW()-2,$K$2),""))</f>
        <v/>
      </c>
      <c r="N1551">
        <f>IF(AND(L1551&lt;&gt;"",LEFT(L1551,1)="N",M1551&lt;&gt;"PICKING",M1551&lt;&gt;""),1,0)</f>
        <v/>
      </c>
      <c r="O1551">
        <f>IF(N1551=1,M1551&amp;"|"&amp;L1551,REPT("z",40))</f>
        <v/>
      </c>
      <c r="P1551">
        <f>IF(N1551=1,COUNTIF($O$4:$O$2003,"&lt;"&amp;O1551)+1,"")</f>
        <v/>
      </c>
      <c r="Q1551">
        <f>IF(OR($R1550="",$R1550="T"),"",IF($R1550="B",$Q1550,IF($Q1550+1&gt;$K$3,"",$Q1550+1)))</f>
        <v/>
      </c>
      <c r="R1551">
        <f>IF(OR($R1550="",$R1550="T"),"",IF($R1550="B","S",IF($Q1550+1&gt;$K$3,"T",IF(INDEX($M$4:$M$2003,MATCH($Q1550+1,$P$4:$P$2003,0))&lt;&gt;INDEX($M$4:$M$2003,MATCH($Q1550,$P$4:$P$2003,0)),"B","S"))))</f>
        <v/>
      </c>
      <c r="S1551">
        <f>IF(Q1551="","",IFERROR(MATCH(Q1551,$P$4:$P$2003,0),""))</f>
        <v/>
      </c>
    </row>
    <row r="1552">
      <c r="A1552" s="4">
        <f>IF($R1552="","",IF($R1552="T","Gesamtergebnis",IF($R1552="B",INDEX($M$4:$M$2003,$S1552),INDEX($L$4:$L$2003,$S1552))))</f>
        <v/>
      </c>
      <c r="B1552" s="4">
        <f>IF($R1552="","",IF($R1552="T",$K$3,IF($R1552="B",COUNTIFS($M$4:$M$2003,INDEX($M$4:$M$2003,$S1552),$N$4:$N$2003,1),1)))</f>
        <v/>
      </c>
      <c r="L1552">
        <f>IF($K$1="","",IFERROR(INDEX(Lines!$A:$AA,ROW()-2,$K$1),""))</f>
        <v/>
      </c>
      <c r="M1552">
        <f>IF($K$2="","",IFERROR(INDEX(Lines!$A:$AA,ROW()-2,$K$2),""))</f>
        <v/>
      </c>
      <c r="N1552">
        <f>IF(AND(L1552&lt;&gt;"",LEFT(L1552,1)="N",M1552&lt;&gt;"PICKING",M1552&lt;&gt;""),1,0)</f>
        <v/>
      </c>
      <c r="O1552">
        <f>IF(N1552=1,M1552&amp;"|"&amp;L1552,REPT("z",40))</f>
        <v/>
      </c>
      <c r="P1552">
        <f>IF(N1552=1,COUNTIF($O$4:$O$2003,"&lt;"&amp;O1552)+1,"")</f>
        <v/>
      </c>
      <c r="Q1552">
        <f>IF(OR($R1551="",$R1551="T"),"",IF($R1551="B",$Q1551,IF($Q1551+1&gt;$K$3,"",$Q1551+1)))</f>
        <v/>
      </c>
      <c r="R1552">
        <f>IF(OR($R1551="",$R1551="T"),"",IF($R1551="B","S",IF($Q1551+1&gt;$K$3,"T",IF(INDEX($M$4:$M$2003,MATCH($Q1551+1,$P$4:$P$2003,0))&lt;&gt;INDEX($M$4:$M$2003,MATCH($Q1551,$P$4:$P$2003,0)),"B","S"))))</f>
        <v/>
      </c>
      <c r="S1552">
        <f>IF(Q1552="","",IFERROR(MATCH(Q1552,$P$4:$P$2003,0),""))</f>
        <v/>
      </c>
    </row>
    <row r="1553">
      <c r="A1553" s="4">
        <f>IF($R1553="","",IF($R1553="T","Gesamtergebnis",IF($R1553="B",INDEX($M$4:$M$2003,$S1553),INDEX($L$4:$L$2003,$S1553))))</f>
        <v/>
      </c>
      <c r="B1553" s="4">
        <f>IF($R1553="","",IF($R1553="T",$K$3,IF($R1553="B",COUNTIFS($M$4:$M$2003,INDEX($M$4:$M$2003,$S1553),$N$4:$N$2003,1),1)))</f>
        <v/>
      </c>
      <c r="L1553">
        <f>IF($K$1="","",IFERROR(INDEX(Lines!$A:$AA,ROW()-2,$K$1),""))</f>
        <v/>
      </c>
      <c r="M1553">
        <f>IF($K$2="","",IFERROR(INDEX(Lines!$A:$AA,ROW()-2,$K$2),""))</f>
        <v/>
      </c>
      <c r="N1553">
        <f>IF(AND(L1553&lt;&gt;"",LEFT(L1553,1)="N",M1553&lt;&gt;"PICKING",M1553&lt;&gt;""),1,0)</f>
        <v/>
      </c>
      <c r="O1553">
        <f>IF(N1553=1,M1553&amp;"|"&amp;L1553,REPT("z",40))</f>
        <v/>
      </c>
      <c r="P1553">
        <f>IF(N1553=1,COUNTIF($O$4:$O$2003,"&lt;"&amp;O1553)+1,"")</f>
        <v/>
      </c>
      <c r="Q1553">
        <f>IF(OR($R1552="",$R1552="T"),"",IF($R1552="B",$Q1552,IF($Q1552+1&gt;$K$3,"",$Q1552+1)))</f>
        <v/>
      </c>
      <c r="R1553">
        <f>IF(OR($R1552="",$R1552="T"),"",IF($R1552="B","S",IF($Q1552+1&gt;$K$3,"T",IF(INDEX($M$4:$M$2003,MATCH($Q1552+1,$P$4:$P$2003,0))&lt;&gt;INDEX($M$4:$M$2003,MATCH($Q1552,$P$4:$P$2003,0)),"B","S"))))</f>
        <v/>
      </c>
      <c r="S1553">
        <f>IF(Q1553="","",IFERROR(MATCH(Q1553,$P$4:$P$2003,0),""))</f>
        <v/>
      </c>
    </row>
    <row r="1554">
      <c r="A1554" s="4">
        <f>IF($R1554="","",IF($R1554="T","Gesamtergebnis",IF($R1554="B",INDEX($M$4:$M$2003,$S1554),INDEX($L$4:$L$2003,$S1554))))</f>
        <v/>
      </c>
      <c r="B1554" s="4">
        <f>IF($R1554="","",IF($R1554="T",$K$3,IF($R1554="B",COUNTIFS($M$4:$M$2003,INDEX($M$4:$M$2003,$S1554),$N$4:$N$2003,1),1)))</f>
        <v/>
      </c>
      <c r="L1554">
        <f>IF($K$1="","",IFERROR(INDEX(Lines!$A:$AA,ROW()-2,$K$1),""))</f>
        <v/>
      </c>
      <c r="M1554">
        <f>IF($K$2="","",IFERROR(INDEX(Lines!$A:$AA,ROW()-2,$K$2),""))</f>
        <v/>
      </c>
      <c r="N1554">
        <f>IF(AND(L1554&lt;&gt;"",LEFT(L1554,1)="N",M1554&lt;&gt;"PICKING",M1554&lt;&gt;""),1,0)</f>
        <v/>
      </c>
      <c r="O1554">
        <f>IF(N1554=1,M1554&amp;"|"&amp;L1554,REPT("z",40))</f>
        <v/>
      </c>
      <c r="P1554">
        <f>IF(N1554=1,COUNTIF($O$4:$O$2003,"&lt;"&amp;O1554)+1,"")</f>
        <v/>
      </c>
      <c r="Q1554">
        <f>IF(OR($R1553="",$R1553="T"),"",IF($R1553="B",$Q1553,IF($Q1553+1&gt;$K$3,"",$Q1553+1)))</f>
        <v/>
      </c>
      <c r="R1554">
        <f>IF(OR($R1553="",$R1553="T"),"",IF($R1553="B","S",IF($Q1553+1&gt;$K$3,"T",IF(INDEX($M$4:$M$2003,MATCH($Q1553+1,$P$4:$P$2003,0))&lt;&gt;INDEX($M$4:$M$2003,MATCH($Q1553,$P$4:$P$2003,0)),"B","S"))))</f>
        <v/>
      </c>
      <c r="S1554">
        <f>IF(Q1554="","",IFERROR(MATCH(Q1554,$P$4:$P$2003,0),""))</f>
        <v/>
      </c>
    </row>
    <row r="1555">
      <c r="A1555" s="4">
        <f>IF($R1555="","",IF($R1555="T","Gesamtergebnis",IF($R1555="B",INDEX($M$4:$M$2003,$S1555),INDEX($L$4:$L$2003,$S1555))))</f>
        <v/>
      </c>
      <c r="B1555" s="4">
        <f>IF($R1555="","",IF($R1555="T",$K$3,IF($R1555="B",COUNTIFS($M$4:$M$2003,INDEX($M$4:$M$2003,$S1555),$N$4:$N$2003,1),1)))</f>
        <v/>
      </c>
      <c r="L1555">
        <f>IF($K$1="","",IFERROR(INDEX(Lines!$A:$AA,ROW()-2,$K$1),""))</f>
        <v/>
      </c>
      <c r="M1555">
        <f>IF($K$2="","",IFERROR(INDEX(Lines!$A:$AA,ROW()-2,$K$2),""))</f>
        <v/>
      </c>
      <c r="N1555">
        <f>IF(AND(L1555&lt;&gt;"",LEFT(L1555,1)="N",M1555&lt;&gt;"PICKING",M1555&lt;&gt;""),1,0)</f>
        <v/>
      </c>
      <c r="O1555">
        <f>IF(N1555=1,M1555&amp;"|"&amp;L1555,REPT("z",40))</f>
        <v/>
      </c>
      <c r="P1555">
        <f>IF(N1555=1,COUNTIF($O$4:$O$2003,"&lt;"&amp;O1555)+1,"")</f>
        <v/>
      </c>
      <c r="Q1555">
        <f>IF(OR($R1554="",$R1554="T"),"",IF($R1554="B",$Q1554,IF($Q1554+1&gt;$K$3,"",$Q1554+1)))</f>
        <v/>
      </c>
      <c r="R1555">
        <f>IF(OR($R1554="",$R1554="T"),"",IF($R1554="B","S",IF($Q1554+1&gt;$K$3,"T",IF(INDEX($M$4:$M$2003,MATCH($Q1554+1,$P$4:$P$2003,0))&lt;&gt;INDEX($M$4:$M$2003,MATCH($Q1554,$P$4:$P$2003,0)),"B","S"))))</f>
        <v/>
      </c>
      <c r="S1555">
        <f>IF(Q1555="","",IFERROR(MATCH(Q1555,$P$4:$P$2003,0),""))</f>
        <v/>
      </c>
    </row>
    <row r="1556">
      <c r="A1556" s="4">
        <f>IF($R1556="","",IF($R1556="T","Gesamtergebnis",IF($R1556="B",INDEX($M$4:$M$2003,$S1556),INDEX($L$4:$L$2003,$S1556))))</f>
        <v/>
      </c>
      <c r="B1556" s="4">
        <f>IF($R1556="","",IF($R1556="T",$K$3,IF($R1556="B",COUNTIFS($M$4:$M$2003,INDEX($M$4:$M$2003,$S1556),$N$4:$N$2003,1),1)))</f>
        <v/>
      </c>
      <c r="L1556">
        <f>IF($K$1="","",IFERROR(INDEX(Lines!$A:$AA,ROW()-2,$K$1),""))</f>
        <v/>
      </c>
      <c r="M1556">
        <f>IF($K$2="","",IFERROR(INDEX(Lines!$A:$AA,ROW()-2,$K$2),""))</f>
        <v/>
      </c>
      <c r="N1556">
        <f>IF(AND(L1556&lt;&gt;"",LEFT(L1556,1)="N",M1556&lt;&gt;"PICKING",M1556&lt;&gt;""),1,0)</f>
        <v/>
      </c>
      <c r="O1556">
        <f>IF(N1556=1,M1556&amp;"|"&amp;L1556,REPT("z",40))</f>
        <v/>
      </c>
      <c r="P1556">
        <f>IF(N1556=1,COUNTIF($O$4:$O$2003,"&lt;"&amp;O1556)+1,"")</f>
        <v/>
      </c>
      <c r="Q1556">
        <f>IF(OR($R1555="",$R1555="T"),"",IF($R1555="B",$Q1555,IF($Q1555+1&gt;$K$3,"",$Q1555+1)))</f>
        <v/>
      </c>
      <c r="R1556">
        <f>IF(OR($R1555="",$R1555="T"),"",IF($R1555="B","S",IF($Q1555+1&gt;$K$3,"T",IF(INDEX($M$4:$M$2003,MATCH($Q1555+1,$P$4:$P$2003,0))&lt;&gt;INDEX($M$4:$M$2003,MATCH($Q1555,$P$4:$P$2003,0)),"B","S"))))</f>
        <v/>
      </c>
      <c r="S1556">
        <f>IF(Q1556="","",IFERROR(MATCH(Q1556,$P$4:$P$2003,0),""))</f>
        <v/>
      </c>
    </row>
    <row r="1557">
      <c r="A1557" s="4">
        <f>IF($R1557="","",IF($R1557="T","Gesamtergebnis",IF($R1557="B",INDEX($M$4:$M$2003,$S1557),INDEX($L$4:$L$2003,$S1557))))</f>
        <v/>
      </c>
      <c r="B1557" s="4">
        <f>IF($R1557="","",IF($R1557="T",$K$3,IF($R1557="B",COUNTIFS($M$4:$M$2003,INDEX($M$4:$M$2003,$S1557),$N$4:$N$2003,1),1)))</f>
        <v/>
      </c>
      <c r="L1557">
        <f>IF($K$1="","",IFERROR(INDEX(Lines!$A:$AA,ROW()-2,$K$1),""))</f>
        <v/>
      </c>
      <c r="M1557">
        <f>IF($K$2="","",IFERROR(INDEX(Lines!$A:$AA,ROW()-2,$K$2),""))</f>
        <v/>
      </c>
      <c r="N1557">
        <f>IF(AND(L1557&lt;&gt;"",LEFT(L1557,1)="N",M1557&lt;&gt;"PICKING",M1557&lt;&gt;""),1,0)</f>
        <v/>
      </c>
      <c r="O1557">
        <f>IF(N1557=1,M1557&amp;"|"&amp;L1557,REPT("z",40))</f>
        <v/>
      </c>
      <c r="P1557">
        <f>IF(N1557=1,COUNTIF($O$4:$O$2003,"&lt;"&amp;O1557)+1,"")</f>
        <v/>
      </c>
      <c r="Q1557">
        <f>IF(OR($R1556="",$R1556="T"),"",IF($R1556="B",$Q1556,IF($Q1556+1&gt;$K$3,"",$Q1556+1)))</f>
        <v/>
      </c>
      <c r="R1557">
        <f>IF(OR($R1556="",$R1556="T"),"",IF($R1556="B","S",IF($Q1556+1&gt;$K$3,"T",IF(INDEX($M$4:$M$2003,MATCH($Q1556+1,$P$4:$P$2003,0))&lt;&gt;INDEX($M$4:$M$2003,MATCH($Q1556,$P$4:$P$2003,0)),"B","S"))))</f>
        <v/>
      </c>
      <c r="S1557">
        <f>IF(Q1557="","",IFERROR(MATCH(Q1557,$P$4:$P$2003,0),""))</f>
        <v/>
      </c>
    </row>
    <row r="1558">
      <c r="A1558" s="4">
        <f>IF($R1558="","",IF($R1558="T","Gesamtergebnis",IF($R1558="B",INDEX($M$4:$M$2003,$S1558),INDEX($L$4:$L$2003,$S1558))))</f>
        <v/>
      </c>
      <c r="B1558" s="4">
        <f>IF($R1558="","",IF($R1558="T",$K$3,IF($R1558="B",COUNTIFS($M$4:$M$2003,INDEX($M$4:$M$2003,$S1558),$N$4:$N$2003,1),1)))</f>
        <v/>
      </c>
      <c r="L1558">
        <f>IF($K$1="","",IFERROR(INDEX(Lines!$A:$AA,ROW()-2,$K$1),""))</f>
        <v/>
      </c>
      <c r="M1558">
        <f>IF($K$2="","",IFERROR(INDEX(Lines!$A:$AA,ROW()-2,$K$2),""))</f>
        <v/>
      </c>
      <c r="N1558">
        <f>IF(AND(L1558&lt;&gt;"",LEFT(L1558,1)="N",M1558&lt;&gt;"PICKING",M1558&lt;&gt;""),1,0)</f>
        <v/>
      </c>
      <c r="O1558">
        <f>IF(N1558=1,M1558&amp;"|"&amp;L1558,REPT("z",40))</f>
        <v/>
      </c>
      <c r="P1558">
        <f>IF(N1558=1,COUNTIF($O$4:$O$2003,"&lt;"&amp;O1558)+1,"")</f>
        <v/>
      </c>
      <c r="Q1558">
        <f>IF(OR($R1557="",$R1557="T"),"",IF($R1557="B",$Q1557,IF($Q1557+1&gt;$K$3,"",$Q1557+1)))</f>
        <v/>
      </c>
      <c r="R1558">
        <f>IF(OR($R1557="",$R1557="T"),"",IF($R1557="B","S",IF($Q1557+1&gt;$K$3,"T",IF(INDEX($M$4:$M$2003,MATCH($Q1557+1,$P$4:$P$2003,0))&lt;&gt;INDEX($M$4:$M$2003,MATCH($Q1557,$P$4:$P$2003,0)),"B","S"))))</f>
        <v/>
      </c>
      <c r="S1558">
        <f>IF(Q1558="","",IFERROR(MATCH(Q1558,$P$4:$P$2003,0),""))</f>
        <v/>
      </c>
    </row>
    <row r="1559">
      <c r="A1559" s="4">
        <f>IF($R1559="","",IF($R1559="T","Gesamtergebnis",IF($R1559="B",INDEX($M$4:$M$2003,$S1559),INDEX($L$4:$L$2003,$S1559))))</f>
        <v/>
      </c>
      <c r="B1559" s="4">
        <f>IF($R1559="","",IF($R1559="T",$K$3,IF($R1559="B",COUNTIFS($M$4:$M$2003,INDEX($M$4:$M$2003,$S1559),$N$4:$N$2003,1),1)))</f>
        <v/>
      </c>
      <c r="L1559">
        <f>IF($K$1="","",IFERROR(INDEX(Lines!$A:$AA,ROW()-2,$K$1),""))</f>
        <v/>
      </c>
      <c r="M1559">
        <f>IF($K$2="","",IFERROR(INDEX(Lines!$A:$AA,ROW()-2,$K$2),""))</f>
        <v/>
      </c>
      <c r="N1559">
        <f>IF(AND(L1559&lt;&gt;"",LEFT(L1559,1)="N",M1559&lt;&gt;"PICKING",M1559&lt;&gt;""),1,0)</f>
        <v/>
      </c>
      <c r="O1559">
        <f>IF(N1559=1,M1559&amp;"|"&amp;L1559,REPT("z",40))</f>
        <v/>
      </c>
      <c r="P1559">
        <f>IF(N1559=1,COUNTIF($O$4:$O$2003,"&lt;"&amp;O1559)+1,"")</f>
        <v/>
      </c>
      <c r="Q1559">
        <f>IF(OR($R1558="",$R1558="T"),"",IF($R1558="B",$Q1558,IF($Q1558+1&gt;$K$3,"",$Q1558+1)))</f>
        <v/>
      </c>
      <c r="R1559">
        <f>IF(OR($R1558="",$R1558="T"),"",IF($R1558="B","S",IF($Q1558+1&gt;$K$3,"T",IF(INDEX($M$4:$M$2003,MATCH($Q1558+1,$P$4:$P$2003,0))&lt;&gt;INDEX($M$4:$M$2003,MATCH($Q1558,$P$4:$P$2003,0)),"B","S"))))</f>
        <v/>
      </c>
      <c r="S1559">
        <f>IF(Q1559="","",IFERROR(MATCH(Q1559,$P$4:$P$2003,0),""))</f>
        <v/>
      </c>
    </row>
    <row r="1560">
      <c r="A1560" s="4">
        <f>IF($R1560="","",IF($R1560="T","Gesamtergebnis",IF($R1560="B",INDEX($M$4:$M$2003,$S1560),INDEX($L$4:$L$2003,$S1560))))</f>
        <v/>
      </c>
      <c r="B1560" s="4">
        <f>IF($R1560="","",IF($R1560="T",$K$3,IF($R1560="B",COUNTIFS($M$4:$M$2003,INDEX($M$4:$M$2003,$S1560),$N$4:$N$2003,1),1)))</f>
        <v/>
      </c>
      <c r="L1560">
        <f>IF($K$1="","",IFERROR(INDEX(Lines!$A:$AA,ROW()-2,$K$1),""))</f>
        <v/>
      </c>
      <c r="M1560">
        <f>IF($K$2="","",IFERROR(INDEX(Lines!$A:$AA,ROW()-2,$K$2),""))</f>
        <v/>
      </c>
      <c r="N1560">
        <f>IF(AND(L1560&lt;&gt;"",LEFT(L1560,1)="N",M1560&lt;&gt;"PICKING",M1560&lt;&gt;""),1,0)</f>
        <v/>
      </c>
      <c r="O1560">
        <f>IF(N1560=1,M1560&amp;"|"&amp;L1560,REPT("z",40))</f>
        <v/>
      </c>
      <c r="P1560">
        <f>IF(N1560=1,COUNTIF($O$4:$O$2003,"&lt;"&amp;O1560)+1,"")</f>
        <v/>
      </c>
      <c r="Q1560">
        <f>IF(OR($R1559="",$R1559="T"),"",IF($R1559="B",$Q1559,IF($Q1559+1&gt;$K$3,"",$Q1559+1)))</f>
        <v/>
      </c>
      <c r="R1560">
        <f>IF(OR($R1559="",$R1559="T"),"",IF($R1559="B","S",IF($Q1559+1&gt;$K$3,"T",IF(INDEX($M$4:$M$2003,MATCH($Q1559+1,$P$4:$P$2003,0))&lt;&gt;INDEX($M$4:$M$2003,MATCH($Q1559,$P$4:$P$2003,0)),"B","S"))))</f>
        <v/>
      </c>
      <c r="S1560">
        <f>IF(Q1560="","",IFERROR(MATCH(Q1560,$P$4:$P$2003,0),""))</f>
        <v/>
      </c>
    </row>
    <row r="1561">
      <c r="A1561" s="4">
        <f>IF($R1561="","",IF($R1561="T","Gesamtergebnis",IF($R1561="B",INDEX($M$4:$M$2003,$S1561),INDEX($L$4:$L$2003,$S1561))))</f>
        <v/>
      </c>
      <c r="B1561" s="4">
        <f>IF($R1561="","",IF($R1561="T",$K$3,IF($R1561="B",COUNTIFS($M$4:$M$2003,INDEX($M$4:$M$2003,$S1561),$N$4:$N$2003,1),1)))</f>
        <v/>
      </c>
      <c r="L1561">
        <f>IF($K$1="","",IFERROR(INDEX(Lines!$A:$AA,ROW()-2,$K$1),""))</f>
        <v/>
      </c>
      <c r="M1561">
        <f>IF($K$2="","",IFERROR(INDEX(Lines!$A:$AA,ROW()-2,$K$2),""))</f>
        <v/>
      </c>
      <c r="N1561">
        <f>IF(AND(L1561&lt;&gt;"",LEFT(L1561,1)="N",M1561&lt;&gt;"PICKING",M1561&lt;&gt;""),1,0)</f>
        <v/>
      </c>
      <c r="O1561">
        <f>IF(N1561=1,M1561&amp;"|"&amp;L1561,REPT("z",40))</f>
        <v/>
      </c>
      <c r="P1561">
        <f>IF(N1561=1,COUNTIF($O$4:$O$2003,"&lt;"&amp;O1561)+1,"")</f>
        <v/>
      </c>
      <c r="Q1561">
        <f>IF(OR($R1560="",$R1560="T"),"",IF($R1560="B",$Q1560,IF($Q1560+1&gt;$K$3,"",$Q1560+1)))</f>
        <v/>
      </c>
      <c r="R1561">
        <f>IF(OR($R1560="",$R1560="T"),"",IF($R1560="B","S",IF($Q1560+1&gt;$K$3,"T",IF(INDEX($M$4:$M$2003,MATCH($Q1560+1,$P$4:$P$2003,0))&lt;&gt;INDEX($M$4:$M$2003,MATCH($Q1560,$P$4:$P$2003,0)),"B","S"))))</f>
        <v/>
      </c>
      <c r="S1561">
        <f>IF(Q1561="","",IFERROR(MATCH(Q1561,$P$4:$P$2003,0),""))</f>
        <v/>
      </c>
    </row>
    <row r="1562">
      <c r="A1562" s="4">
        <f>IF($R1562="","",IF($R1562="T","Gesamtergebnis",IF($R1562="B",INDEX($M$4:$M$2003,$S1562),INDEX($L$4:$L$2003,$S1562))))</f>
        <v/>
      </c>
      <c r="B1562" s="4">
        <f>IF($R1562="","",IF($R1562="T",$K$3,IF($R1562="B",COUNTIFS($M$4:$M$2003,INDEX($M$4:$M$2003,$S1562),$N$4:$N$2003,1),1)))</f>
        <v/>
      </c>
      <c r="L1562">
        <f>IF($K$1="","",IFERROR(INDEX(Lines!$A:$AA,ROW()-2,$K$1),""))</f>
        <v/>
      </c>
      <c r="M1562">
        <f>IF($K$2="","",IFERROR(INDEX(Lines!$A:$AA,ROW()-2,$K$2),""))</f>
        <v/>
      </c>
      <c r="N1562">
        <f>IF(AND(L1562&lt;&gt;"",LEFT(L1562,1)="N",M1562&lt;&gt;"PICKING",M1562&lt;&gt;""),1,0)</f>
        <v/>
      </c>
      <c r="O1562">
        <f>IF(N1562=1,M1562&amp;"|"&amp;L1562,REPT("z",40))</f>
        <v/>
      </c>
      <c r="P1562">
        <f>IF(N1562=1,COUNTIF($O$4:$O$2003,"&lt;"&amp;O1562)+1,"")</f>
        <v/>
      </c>
      <c r="Q1562">
        <f>IF(OR($R1561="",$R1561="T"),"",IF($R1561="B",$Q1561,IF($Q1561+1&gt;$K$3,"",$Q1561+1)))</f>
        <v/>
      </c>
      <c r="R1562">
        <f>IF(OR($R1561="",$R1561="T"),"",IF($R1561="B","S",IF($Q1561+1&gt;$K$3,"T",IF(INDEX($M$4:$M$2003,MATCH($Q1561+1,$P$4:$P$2003,0))&lt;&gt;INDEX($M$4:$M$2003,MATCH($Q1561,$P$4:$P$2003,0)),"B","S"))))</f>
        <v/>
      </c>
      <c r="S1562">
        <f>IF(Q1562="","",IFERROR(MATCH(Q1562,$P$4:$P$2003,0),""))</f>
        <v/>
      </c>
    </row>
    <row r="1563">
      <c r="A1563" s="4">
        <f>IF($R1563="","",IF($R1563="T","Gesamtergebnis",IF($R1563="B",INDEX($M$4:$M$2003,$S1563),INDEX($L$4:$L$2003,$S1563))))</f>
        <v/>
      </c>
      <c r="B1563" s="4">
        <f>IF($R1563="","",IF($R1563="T",$K$3,IF($R1563="B",COUNTIFS($M$4:$M$2003,INDEX($M$4:$M$2003,$S1563),$N$4:$N$2003,1),1)))</f>
        <v/>
      </c>
      <c r="L1563">
        <f>IF($K$1="","",IFERROR(INDEX(Lines!$A:$AA,ROW()-2,$K$1),""))</f>
        <v/>
      </c>
      <c r="M1563">
        <f>IF($K$2="","",IFERROR(INDEX(Lines!$A:$AA,ROW()-2,$K$2),""))</f>
        <v/>
      </c>
      <c r="N1563">
        <f>IF(AND(L1563&lt;&gt;"",LEFT(L1563,1)="N",M1563&lt;&gt;"PICKING",M1563&lt;&gt;""),1,0)</f>
        <v/>
      </c>
      <c r="O1563">
        <f>IF(N1563=1,M1563&amp;"|"&amp;L1563,REPT("z",40))</f>
        <v/>
      </c>
      <c r="P1563">
        <f>IF(N1563=1,COUNTIF($O$4:$O$2003,"&lt;"&amp;O1563)+1,"")</f>
        <v/>
      </c>
      <c r="Q1563">
        <f>IF(OR($R1562="",$R1562="T"),"",IF($R1562="B",$Q1562,IF($Q1562+1&gt;$K$3,"",$Q1562+1)))</f>
        <v/>
      </c>
      <c r="R1563">
        <f>IF(OR($R1562="",$R1562="T"),"",IF($R1562="B","S",IF($Q1562+1&gt;$K$3,"T",IF(INDEX($M$4:$M$2003,MATCH($Q1562+1,$P$4:$P$2003,0))&lt;&gt;INDEX($M$4:$M$2003,MATCH($Q1562,$P$4:$P$2003,0)),"B","S"))))</f>
        <v/>
      </c>
      <c r="S1563">
        <f>IF(Q1563="","",IFERROR(MATCH(Q1563,$P$4:$P$2003,0),""))</f>
        <v/>
      </c>
    </row>
    <row r="1564">
      <c r="A1564" s="4">
        <f>IF($R1564="","",IF($R1564="T","Gesamtergebnis",IF($R1564="B",INDEX($M$4:$M$2003,$S1564),INDEX($L$4:$L$2003,$S1564))))</f>
        <v/>
      </c>
      <c r="B1564" s="4">
        <f>IF($R1564="","",IF($R1564="T",$K$3,IF($R1564="B",COUNTIFS($M$4:$M$2003,INDEX($M$4:$M$2003,$S1564),$N$4:$N$2003,1),1)))</f>
        <v/>
      </c>
      <c r="L1564">
        <f>IF($K$1="","",IFERROR(INDEX(Lines!$A:$AA,ROW()-2,$K$1),""))</f>
        <v/>
      </c>
      <c r="M1564">
        <f>IF($K$2="","",IFERROR(INDEX(Lines!$A:$AA,ROW()-2,$K$2),""))</f>
        <v/>
      </c>
      <c r="N1564">
        <f>IF(AND(L1564&lt;&gt;"",LEFT(L1564,1)="N",M1564&lt;&gt;"PICKING",M1564&lt;&gt;""),1,0)</f>
        <v/>
      </c>
      <c r="O1564">
        <f>IF(N1564=1,M1564&amp;"|"&amp;L1564,REPT("z",40))</f>
        <v/>
      </c>
      <c r="P1564">
        <f>IF(N1564=1,COUNTIF($O$4:$O$2003,"&lt;"&amp;O1564)+1,"")</f>
        <v/>
      </c>
      <c r="Q1564">
        <f>IF(OR($R1563="",$R1563="T"),"",IF($R1563="B",$Q1563,IF($Q1563+1&gt;$K$3,"",$Q1563+1)))</f>
        <v/>
      </c>
      <c r="R1564">
        <f>IF(OR($R1563="",$R1563="T"),"",IF($R1563="B","S",IF($Q1563+1&gt;$K$3,"T",IF(INDEX($M$4:$M$2003,MATCH($Q1563+1,$P$4:$P$2003,0))&lt;&gt;INDEX($M$4:$M$2003,MATCH($Q1563,$P$4:$P$2003,0)),"B","S"))))</f>
        <v/>
      </c>
      <c r="S1564">
        <f>IF(Q1564="","",IFERROR(MATCH(Q1564,$P$4:$P$2003,0),""))</f>
        <v/>
      </c>
    </row>
    <row r="1565">
      <c r="A1565" s="4">
        <f>IF($R1565="","",IF($R1565="T","Gesamtergebnis",IF($R1565="B",INDEX($M$4:$M$2003,$S1565),INDEX($L$4:$L$2003,$S1565))))</f>
        <v/>
      </c>
      <c r="B1565" s="4">
        <f>IF($R1565="","",IF($R1565="T",$K$3,IF($R1565="B",COUNTIFS($M$4:$M$2003,INDEX($M$4:$M$2003,$S1565),$N$4:$N$2003,1),1)))</f>
        <v/>
      </c>
      <c r="L1565">
        <f>IF($K$1="","",IFERROR(INDEX(Lines!$A:$AA,ROW()-2,$K$1),""))</f>
        <v/>
      </c>
      <c r="M1565">
        <f>IF($K$2="","",IFERROR(INDEX(Lines!$A:$AA,ROW()-2,$K$2),""))</f>
        <v/>
      </c>
      <c r="N1565">
        <f>IF(AND(L1565&lt;&gt;"",LEFT(L1565,1)="N",M1565&lt;&gt;"PICKING",M1565&lt;&gt;""),1,0)</f>
        <v/>
      </c>
      <c r="O1565">
        <f>IF(N1565=1,M1565&amp;"|"&amp;L1565,REPT("z",40))</f>
        <v/>
      </c>
      <c r="P1565">
        <f>IF(N1565=1,COUNTIF($O$4:$O$2003,"&lt;"&amp;O1565)+1,"")</f>
        <v/>
      </c>
      <c r="Q1565">
        <f>IF(OR($R1564="",$R1564="T"),"",IF($R1564="B",$Q1564,IF($Q1564+1&gt;$K$3,"",$Q1564+1)))</f>
        <v/>
      </c>
      <c r="R1565">
        <f>IF(OR($R1564="",$R1564="T"),"",IF($R1564="B","S",IF($Q1564+1&gt;$K$3,"T",IF(INDEX($M$4:$M$2003,MATCH($Q1564+1,$P$4:$P$2003,0))&lt;&gt;INDEX($M$4:$M$2003,MATCH($Q1564,$P$4:$P$2003,0)),"B","S"))))</f>
        <v/>
      </c>
      <c r="S1565">
        <f>IF(Q1565="","",IFERROR(MATCH(Q1565,$P$4:$P$2003,0),""))</f>
        <v/>
      </c>
    </row>
    <row r="1566">
      <c r="A1566" s="4">
        <f>IF($R1566="","",IF($R1566="T","Gesamtergebnis",IF($R1566="B",INDEX($M$4:$M$2003,$S1566),INDEX($L$4:$L$2003,$S1566))))</f>
        <v/>
      </c>
      <c r="B1566" s="4">
        <f>IF($R1566="","",IF($R1566="T",$K$3,IF($R1566="B",COUNTIFS($M$4:$M$2003,INDEX($M$4:$M$2003,$S1566),$N$4:$N$2003,1),1)))</f>
        <v/>
      </c>
      <c r="L1566">
        <f>IF($K$1="","",IFERROR(INDEX(Lines!$A:$AA,ROW()-2,$K$1),""))</f>
        <v/>
      </c>
      <c r="M1566">
        <f>IF($K$2="","",IFERROR(INDEX(Lines!$A:$AA,ROW()-2,$K$2),""))</f>
        <v/>
      </c>
      <c r="N1566">
        <f>IF(AND(L1566&lt;&gt;"",LEFT(L1566,1)="N",M1566&lt;&gt;"PICKING",M1566&lt;&gt;""),1,0)</f>
        <v/>
      </c>
      <c r="O1566">
        <f>IF(N1566=1,M1566&amp;"|"&amp;L1566,REPT("z",40))</f>
        <v/>
      </c>
      <c r="P1566">
        <f>IF(N1566=1,COUNTIF($O$4:$O$2003,"&lt;"&amp;O1566)+1,"")</f>
        <v/>
      </c>
      <c r="Q1566">
        <f>IF(OR($R1565="",$R1565="T"),"",IF($R1565="B",$Q1565,IF($Q1565+1&gt;$K$3,"",$Q1565+1)))</f>
        <v/>
      </c>
      <c r="R1566">
        <f>IF(OR($R1565="",$R1565="T"),"",IF($R1565="B","S",IF($Q1565+1&gt;$K$3,"T",IF(INDEX($M$4:$M$2003,MATCH($Q1565+1,$P$4:$P$2003,0))&lt;&gt;INDEX($M$4:$M$2003,MATCH($Q1565,$P$4:$P$2003,0)),"B","S"))))</f>
        <v/>
      </c>
      <c r="S1566">
        <f>IF(Q1566="","",IFERROR(MATCH(Q1566,$P$4:$P$2003,0),""))</f>
        <v/>
      </c>
    </row>
    <row r="1567">
      <c r="A1567" s="4">
        <f>IF($R1567="","",IF($R1567="T","Gesamtergebnis",IF($R1567="B",INDEX($M$4:$M$2003,$S1567),INDEX($L$4:$L$2003,$S1567))))</f>
        <v/>
      </c>
      <c r="B1567" s="4">
        <f>IF($R1567="","",IF($R1567="T",$K$3,IF($R1567="B",COUNTIFS($M$4:$M$2003,INDEX($M$4:$M$2003,$S1567),$N$4:$N$2003,1),1)))</f>
        <v/>
      </c>
      <c r="L1567">
        <f>IF($K$1="","",IFERROR(INDEX(Lines!$A:$AA,ROW()-2,$K$1),""))</f>
        <v/>
      </c>
      <c r="M1567">
        <f>IF($K$2="","",IFERROR(INDEX(Lines!$A:$AA,ROW()-2,$K$2),""))</f>
        <v/>
      </c>
      <c r="N1567">
        <f>IF(AND(L1567&lt;&gt;"",LEFT(L1567,1)="N",M1567&lt;&gt;"PICKING",M1567&lt;&gt;""),1,0)</f>
        <v/>
      </c>
      <c r="O1567">
        <f>IF(N1567=1,M1567&amp;"|"&amp;L1567,REPT("z",40))</f>
        <v/>
      </c>
      <c r="P1567">
        <f>IF(N1567=1,COUNTIF($O$4:$O$2003,"&lt;"&amp;O1567)+1,"")</f>
        <v/>
      </c>
      <c r="Q1567">
        <f>IF(OR($R1566="",$R1566="T"),"",IF($R1566="B",$Q1566,IF($Q1566+1&gt;$K$3,"",$Q1566+1)))</f>
        <v/>
      </c>
      <c r="R1567">
        <f>IF(OR($R1566="",$R1566="T"),"",IF($R1566="B","S",IF($Q1566+1&gt;$K$3,"T",IF(INDEX($M$4:$M$2003,MATCH($Q1566+1,$P$4:$P$2003,0))&lt;&gt;INDEX($M$4:$M$2003,MATCH($Q1566,$P$4:$P$2003,0)),"B","S"))))</f>
        <v/>
      </c>
      <c r="S1567">
        <f>IF(Q1567="","",IFERROR(MATCH(Q1567,$P$4:$P$2003,0),""))</f>
        <v/>
      </c>
    </row>
    <row r="1568">
      <c r="A1568" s="4">
        <f>IF($R1568="","",IF($R1568="T","Gesamtergebnis",IF($R1568="B",INDEX($M$4:$M$2003,$S1568),INDEX($L$4:$L$2003,$S1568))))</f>
        <v/>
      </c>
      <c r="B1568" s="4">
        <f>IF($R1568="","",IF($R1568="T",$K$3,IF($R1568="B",COUNTIFS($M$4:$M$2003,INDEX($M$4:$M$2003,$S1568),$N$4:$N$2003,1),1)))</f>
        <v/>
      </c>
      <c r="L1568">
        <f>IF($K$1="","",IFERROR(INDEX(Lines!$A:$AA,ROW()-2,$K$1),""))</f>
        <v/>
      </c>
      <c r="M1568">
        <f>IF($K$2="","",IFERROR(INDEX(Lines!$A:$AA,ROW()-2,$K$2),""))</f>
        <v/>
      </c>
      <c r="N1568">
        <f>IF(AND(L1568&lt;&gt;"",LEFT(L1568,1)="N",M1568&lt;&gt;"PICKING",M1568&lt;&gt;""),1,0)</f>
        <v/>
      </c>
      <c r="O1568">
        <f>IF(N1568=1,M1568&amp;"|"&amp;L1568,REPT("z",40))</f>
        <v/>
      </c>
      <c r="P1568">
        <f>IF(N1568=1,COUNTIF($O$4:$O$2003,"&lt;"&amp;O1568)+1,"")</f>
        <v/>
      </c>
      <c r="Q1568">
        <f>IF(OR($R1567="",$R1567="T"),"",IF($R1567="B",$Q1567,IF($Q1567+1&gt;$K$3,"",$Q1567+1)))</f>
        <v/>
      </c>
      <c r="R1568">
        <f>IF(OR($R1567="",$R1567="T"),"",IF($R1567="B","S",IF($Q1567+1&gt;$K$3,"T",IF(INDEX($M$4:$M$2003,MATCH($Q1567+1,$P$4:$P$2003,0))&lt;&gt;INDEX($M$4:$M$2003,MATCH($Q1567,$P$4:$P$2003,0)),"B","S"))))</f>
        <v/>
      </c>
      <c r="S1568">
        <f>IF(Q1568="","",IFERROR(MATCH(Q1568,$P$4:$P$2003,0),""))</f>
        <v/>
      </c>
    </row>
    <row r="1569">
      <c r="A1569" s="4">
        <f>IF($R1569="","",IF($R1569="T","Gesamtergebnis",IF($R1569="B",INDEX($M$4:$M$2003,$S1569),INDEX($L$4:$L$2003,$S1569))))</f>
        <v/>
      </c>
      <c r="B1569" s="4">
        <f>IF($R1569="","",IF($R1569="T",$K$3,IF($R1569="B",COUNTIFS($M$4:$M$2003,INDEX($M$4:$M$2003,$S1569),$N$4:$N$2003,1),1)))</f>
        <v/>
      </c>
      <c r="L1569">
        <f>IF($K$1="","",IFERROR(INDEX(Lines!$A:$AA,ROW()-2,$K$1),""))</f>
        <v/>
      </c>
      <c r="M1569">
        <f>IF($K$2="","",IFERROR(INDEX(Lines!$A:$AA,ROW()-2,$K$2),""))</f>
        <v/>
      </c>
      <c r="N1569">
        <f>IF(AND(L1569&lt;&gt;"",LEFT(L1569,1)="N",M1569&lt;&gt;"PICKING",M1569&lt;&gt;""),1,0)</f>
        <v/>
      </c>
      <c r="O1569">
        <f>IF(N1569=1,M1569&amp;"|"&amp;L1569,REPT("z",40))</f>
        <v/>
      </c>
      <c r="P1569">
        <f>IF(N1569=1,COUNTIF($O$4:$O$2003,"&lt;"&amp;O1569)+1,"")</f>
        <v/>
      </c>
      <c r="Q1569">
        <f>IF(OR($R1568="",$R1568="T"),"",IF($R1568="B",$Q1568,IF($Q1568+1&gt;$K$3,"",$Q1568+1)))</f>
        <v/>
      </c>
      <c r="R1569">
        <f>IF(OR($R1568="",$R1568="T"),"",IF($R1568="B","S",IF($Q1568+1&gt;$K$3,"T",IF(INDEX($M$4:$M$2003,MATCH($Q1568+1,$P$4:$P$2003,0))&lt;&gt;INDEX($M$4:$M$2003,MATCH($Q1568,$P$4:$P$2003,0)),"B","S"))))</f>
        <v/>
      </c>
      <c r="S1569">
        <f>IF(Q1569="","",IFERROR(MATCH(Q1569,$P$4:$P$2003,0),""))</f>
        <v/>
      </c>
    </row>
    <row r="1570">
      <c r="A1570" s="4">
        <f>IF($R1570="","",IF($R1570="T","Gesamtergebnis",IF($R1570="B",INDEX($M$4:$M$2003,$S1570),INDEX($L$4:$L$2003,$S1570))))</f>
        <v/>
      </c>
      <c r="B1570" s="4">
        <f>IF($R1570="","",IF($R1570="T",$K$3,IF($R1570="B",COUNTIFS($M$4:$M$2003,INDEX($M$4:$M$2003,$S1570),$N$4:$N$2003,1),1)))</f>
        <v/>
      </c>
      <c r="L1570">
        <f>IF($K$1="","",IFERROR(INDEX(Lines!$A:$AA,ROW()-2,$K$1),""))</f>
        <v/>
      </c>
      <c r="M1570">
        <f>IF($K$2="","",IFERROR(INDEX(Lines!$A:$AA,ROW()-2,$K$2),""))</f>
        <v/>
      </c>
      <c r="N1570">
        <f>IF(AND(L1570&lt;&gt;"",LEFT(L1570,1)="N",M1570&lt;&gt;"PICKING",M1570&lt;&gt;""),1,0)</f>
        <v/>
      </c>
      <c r="O1570">
        <f>IF(N1570=1,M1570&amp;"|"&amp;L1570,REPT("z",40))</f>
        <v/>
      </c>
      <c r="P1570">
        <f>IF(N1570=1,COUNTIF($O$4:$O$2003,"&lt;"&amp;O1570)+1,"")</f>
        <v/>
      </c>
      <c r="Q1570">
        <f>IF(OR($R1569="",$R1569="T"),"",IF($R1569="B",$Q1569,IF($Q1569+1&gt;$K$3,"",$Q1569+1)))</f>
        <v/>
      </c>
      <c r="R1570">
        <f>IF(OR($R1569="",$R1569="T"),"",IF($R1569="B","S",IF($Q1569+1&gt;$K$3,"T",IF(INDEX($M$4:$M$2003,MATCH($Q1569+1,$P$4:$P$2003,0))&lt;&gt;INDEX($M$4:$M$2003,MATCH($Q1569,$P$4:$P$2003,0)),"B","S"))))</f>
        <v/>
      </c>
      <c r="S1570">
        <f>IF(Q1570="","",IFERROR(MATCH(Q1570,$P$4:$P$2003,0),""))</f>
        <v/>
      </c>
    </row>
    <row r="1571">
      <c r="A1571" s="4">
        <f>IF($R1571="","",IF($R1571="T","Gesamtergebnis",IF($R1571="B",INDEX($M$4:$M$2003,$S1571),INDEX($L$4:$L$2003,$S1571))))</f>
        <v/>
      </c>
      <c r="B1571" s="4">
        <f>IF($R1571="","",IF($R1571="T",$K$3,IF($R1571="B",COUNTIFS($M$4:$M$2003,INDEX($M$4:$M$2003,$S1571),$N$4:$N$2003,1),1)))</f>
        <v/>
      </c>
      <c r="L1571">
        <f>IF($K$1="","",IFERROR(INDEX(Lines!$A:$AA,ROW()-2,$K$1),""))</f>
        <v/>
      </c>
      <c r="M1571">
        <f>IF($K$2="","",IFERROR(INDEX(Lines!$A:$AA,ROW()-2,$K$2),""))</f>
        <v/>
      </c>
      <c r="N1571">
        <f>IF(AND(L1571&lt;&gt;"",LEFT(L1571,1)="N",M1571&lt;&gt;"PICKING",M1571&lt;&gt;""),1,0)</f>
        <v/>
      </c>
      <c r="O1571">
        <f>IF(N1571=1,M1571&amp;"|"&amp;L1571,REPT("z",40))</f>
        <v/>
      </c>
      <c r="P1571">
        <f>IF(N1571=1,COUNTIF($O$4:$O$2003,"&lt;"&amp;O1571)+1,"")</f>
        <v/>
      </c>
      <c r="Q1571">
        <f>IF(OR($R1570="",$R1570="T"),"",IF($R1570="B",$Q1570,IF($Q1570+1&gt;$K$3,"",$Q1570+1)))</f>
        <v/>
      </c>
      <c r="R1571">
        <f>IF(OR($R1570="",$R1570="T"),"",IF($R1570="B","S",IF($Q1570+1&gt;$K$3,"T",IF(INDEX($M$4:$M$2003,MATCH($Q1570+1,$P$4:$P$2003,0))&lt;&gt;INDEX($M$4:$M$2003,MATCH($Q1570,$P$4:$P$2003,0)),"B","S"))))</f>
        <v/>
      </c>
      <c r="S1571">
        <f>IF(Q1571="","",IFERROR(MATCH(Q1571,$P$4:$P$2003,0),""))</f>
        <v/>
      </c>
    </row>
    <row r="1572">
      <c r="A1572" s="4">
        <f>IF($R1572="","",IF($R1572="T","Gesamtergebnis",IF($R1572="B",INDEX($M$4:$M$2003,$S1572),INDEX($L$4:$L$2003,$S1572))))</f>
        <v/>
      </c>
      <c r="B1572" s="4">
        <f>IF($R1572="","",IF($R1572="T",$K$3,IF($R1572="B",COUNTIFS($M$4:$M$2003,INDEX($M$4:$M$2003,$S1572),$N$4:$N$2003,1),1)))</f>
        <v/>
      </c>
      <c r="L1572">
        <f>IF($K$1="","",IFERROR(INDEX(Lines!$A:$AA,ROW()-2,$K$1),""))</f>
        <v/>
      </c>
      <c r="M1572">
        <f>IF($K$2="","",IFERROR(INDEX(Lines!$A:$AA,ROW()-2,$K$2),""))</f>
        <v/>
      </c>
      <c r="N1572">
        <f>IF(AND(L1572&lt;&gt;"",LEFT(L1572,1)="N",M1572&lt;&gt;"PICKING",M1572&lt;&gt;""),1,0)</f>
        <v/>
      </c>
      <c r="O1572">
        <f>IF(N1572=1,M1572&amp;"|"&amp;L1572,REPT("z",40))</f>
        <v/>
      </c>
      <c r="P1572">
        <f>IF(N1572=1,COUNTIF($O$4:$O$2003,"&lt;"&amp;O1572)+1,"")</f>
        <v/>
      </c>
      <c r="Q1572">
        <f>IF(OR($R1571="",$R1571="T"),"",IF($R1571="B",$Q1571,IF($Q1571+1&gt;$K$3,"",$Q1571+1)))</f>
        <v/>
      </c>
      <c r="R1572">
        <f>IF(OR($R1571="",$R1571="T"),"",IF($R1571="B","S",IF($Q1571+1&gt;$K$3,"T",IF(INDEX($M$4:$M$2003,MATCH($Q1571+1,$P$4:$P$2003,0))&lt;&gt;INDEX($M$4:$M$2003,MATCH($Q1571,$P$4:$P$2003,0)),"B","S"))))</f>
        <v/>
      </c>
      <c r="S1572">
        <f>IF(Q1572="","",IFERROR(MATCH(Q1572,$P$4:$P$2003,0),""))</f>
        <v/>
      </c>
    </row>
    <row r="1573">
      <c r="A1573" s="4">
        <f>IF($R1573="","",IF($R1573="T","Gesamtergebnis",IF($R1573="B",INDEX($M$4:$M$2003,$S1573),INDEX($L$4:$L$2003,$S1573))))</f>
        <v/>
      </c>
      <c r="B1573" s="4">
        <f>IF($R1573="","",IF($R1573="T",$K$3,IF($R1573="B",COUNTIFS($M$4:$M$2003,INDEX($M$4:$M$2003,$S1573),$N$4:$N$2003,1),1)))</f>
        <v/>
      </c>
      <c r="L1573">
        <f>IF($K$1="","",IFERROR(INDEX(Lines!$A:$AA,ROW()-2,$K$1),""))</f>
        <v/>
      </c>
      <c r="M1573">
        <f>IF($K$2="","",IFERROR(INDEX(Lines!$A:$AA,ROW()-2,$K$2),""))</f>
        <v/>
      </c>
      <c r="N1573">
        <f>IF(AND(L1573&lt;&gt;"",LEFT(L1573,1)="N",M1573&lt;&gt;"PICKING",M1573&lt;&gt;""),1,0)</f>
        <v/>
      </c>
      <c r="O1573">
        <f>IF(N1573=1,M1573&amp;"|"&amp;L1573,REPT("z",40))</f>
        <v/>
      </c>
      <c r="P1573">
        <f>IF(N1573=1,COUNTIF($O$4:$O$2003,"&lt;"&amp;O1573)+1,"")</f>
        <v/>
      </c>
      <c r="Q1573">
        <f>IF(OR($R1572="",$R1572="T"),"",IF($R1572="B",$Q1572,IF($Q1572+1&gt;$K$3,"",$Q1572+1)))</f>
        <v/>
      </c>
      <c r="R1573">
        <f>IF(OR($R1572="",$R1572="T"),"",IF($R1572="B","S",IF($Q1572+1&gt;$K$3,"T",IF(INDEX($M$4:$M$2003,MATCH($Q1572+1,$P$4:$P$2003,0))&lt;&gt;INDEX($M$4:$M$2003,MATCH($Q1572,$P$4:$P$2003,0)),"B","S"))))</f>
        <v/>
      </c>
      <c r="S1573">
        <f>IF(Q1573="","",IFERROR(MATCH(Q1573,$P$4:$P$2003,0),""))</f>
        <v/>
      </c>
    </row>
    <row r="1574">
      <c r="A1574" s="4">
        <f>IF($R1574="","",IF($R1574="T","Gesamtergebnis",IF($R1574="B",INDEX($M$4:$M$2003,$S1574),INDEX($L$4:$L$2003,$S1574))))</f>
        <v/>
      </c>
      <c r="B1574" s="4">
        <f>IF($R1574="","",IF($R1574="T",$K$3,IF($R1574="B",COUNTIFS($M$4:$M$2003,INDEX($M$4:$M$2003,$S1574),$N$4:$N$2003,1),1)))</f>
        <v/>
      </c>
      <c r="L1574">
        <f>IF($K$1="","",IFERROR(INDEX(Lines!$A:$AA,ROW()-2,$K$1),""))</f>
        <v/>
      </c>
      <c r="M1574">
        <f>IF($K$2="","",IFERROR(INDEX(Lines!$A:$AA,ROW()-2,$K$2),""))</f>
        <v/>
      </c>
      <c r="N1574">
        <f>IF(AND(L1574&lt;&gt;"",LEFT(L1574,1)="N",M1574&lt;&gt;"PICKING",M1574&lt;&gt;""),1,0)</f>
        <v/>
      </c>
      <c r="O1574">
        <f>IF(N1574=1,M1574&amp;"|"&amp;L1574,REPT("z",40))</f>
        <v/>
      </c>
      <c r="P1574">
        <f>IF(N1574=1,COUNTIF($O$4:$O$2003,"&lt;"&amp;O1574)+1,"")</f>
        <v/>
      </c>
      <c r="Q1574">
        <f>IF(OR($R1573="",$R1573="T"),"",IF($R1573="B",$Q1573,IF($Q1573+1&gt;$K$3,"",$Q1573+1)))</f>
        <v/>
      </c>
      <c r="R1574">
        <f>IF(OR($R1573="",$R1573="T"),"",IF($R1573="B","S",IF($Q1573+1&gt;$K$3,"T",IF(INDEX($M$4:$M$2003,MATCH($Q1573+1,$P$4:$P$2003,0))&lt;&gt;INDEX($M$4:$M$2003,MATCH($Q1573,$P$4:$P$2003,0)),"B","S"))))</f>
        <v/>
      </c>
      <c r="S1574">
        <f>IF(Q1574="","",IFERROR(MATCH(Q1574,$P$4:$P$2003,0),""))</f>
        <v/>
      </c>
    </row>
    <row r="1575">
      <c r="A1575" s="4">
        <f>IF($R1575="","",IF($R1575="T","Gesamtergebnis",IF($R1575="B",INDEX($M$4:$M$2003,$S1575),INDEX($L$4:$L$2003,$S1575))))</f>
        <v/>
      </c>
      <c r="B1575" s="4">
        <f>IF($R1575="","",IF($R1575="T",$K$3,IF($R1575="B",COUNTIFS($M$4:$M$2003,INDEX($M$4:$M$2003,$S1575),$N$4:$N$2003,1),1)))</f>
        <v/>
      </c>
      <c r="L1575">
        <f>IF($K$1="","",IFERROR(INDEX(Lines!$A:$AA,ROW()-2,$K$1),""))</f>
        <v/>
      </c>
      <c r="M1575">
        <f>IF($K$2="","",IFERROR(INDEX(Lines!$A:$AA,ROW()-2,$K$2),""))</f>
        <v/>
      </c>
      <c r="N1575">
        <f>IF(AND(L1575&lt;&gt;"",LEFT(L1575,1)="N",M1575&lt;&gt;"PICKING",M1575&lt;&gt;""),1,0)</f>
        <v/>
      </c>
      <c r="O1575">
        <f>IF(N1575=1,M1575&amp;"|"&amp;L1575,REPT("z",40))</f>
        <v/>
      </c>
      <c r="P1575">
        <f>IF(N1575=1,COUNTIF($O$4:$O$2003,"&lt;"&amp;O1575)+1,"")</f>
        <v/>
      </c>
      <c r="Q1575">
        <f>IF(OR($R1574="",$R1574="T"),"",IF($R1574="B",$Q1574,IF($Q1574+1&gt;$K$3,"",$Q1574+1)))</f>
        <v/>
      </c>
      <c r="R1575">
        <f>IF(OR($R1574="",$R1574="T"),"",IF($R1574="B","S",IF($Q1574+1&gt;$K$3,"T",IF(INDEX($M$4:$M$2003,MATCH($Q1574+1,$P$4:$P$2003,0))&lt;&gt;INDEX($M$4:$M$2003,MATCH($Q1574,$P$4:$P$2003,0)),"B","S"))))</f>
        <v/>
      </c>
      <c r="S1575">
        <f>IF(Q1575="","",IFERROR(MATCH(Q1575,$P$4:$P$2003,0),""))</f>
        <v/>
      </c>
    </row>
    <row r="1576">
      <c r="A1576" s="4">
        <f>IF($R1576="","",IF($R1576="T","Gesamtergebnis",IF($R1576="B",INDEX($M$4:$M$2003,$S1576),INDEX($L$4:$L$2003,$S1576))))</f>
        <v/>
      </c>
      <c r="B1576" s="4">
        <f>IF($R1576="","",IF($R1576="T",$K$3,IF($R1576="B",COUNTIFS($M$4:$M$2003,INDEX($M$4:$M$2003,$S1576),$N$4:$N$2003,1),1)))</f>
        <v/>
      </c>
      <c r="L1576">
        <f>IF($K$1="","",IFERROR(INDEX(Lines!$A:$AA,ROW()-2,$K$1),""))</f>
        <v/>
      </c>
      <c r="M1576">
        <f>IF($K$2="","",IFERROR(INDEX(Lines!$A:$AA,ROW()-2,$K$2),""))</f>
        <v/>
      </c>
      <c r="N1576">
        <f>IF(AND(L1576&lt;&gt;"",LEFT(L1576,1)="N",M1576&lt;&gt;"PICKING",M1576&lt;&gt;""),1,0)</f>
        <v/>
      </c>
      <c r="O1576">
        <f>IF(N1576=1,M1576&amp;"|"&amp;L1576,REPT("z",40))</f>
        <v/>
      </c>
      <c r="P1576">
        <f>IF(N1576=1,COUNTIF($O$4:$O$2003,"&lt;"&amp;O1576)+1,"")</f>
        <v/>
      </c>
      <c r="Q1576">
        <f>IF(OR($R1575="",$R1575="T"),"",IF($R1575="B",$Q1575,IF($Q1575+1&gt;$K$3,"",$Q1575+1)))</f>
        <v/>
      </c>
      <c r="R1576">
        <f>IF(OR($R1575="",$R1575="T"),"",IF($R1575="B","S",IF($Q1575+1&gt;$K$3,"T",IF(INDEX($M$4:$M$2003,MATCH($Q1575+1,$P$4:$P$2003,0))&lt;&gt;INDEX($M$4:$M$2003,MATCH($Q1575,$P$4:$P$2003,0)),"B","S"))))</f>
        <v/>
      </c>
      <c r="S1576">
        <f>IF(Q1576="","",IFERROR(MATCH(Q1576,$P$4:$P$2003,0),""))</f>
        <v/>
      </c>
    </row>
    <row r="1577">
      <c r="A1577" s="4">
        <f>IF($R1577="","",IF($R1577="T","Gesamtergebnis",IF($R1577="B",INDEX($M$4:$M$2003,$S1577),INDEX($L$4:$L$2003,$S1577))))</f>
        <v/>
      </c>
      <c r="B1577" s="4">
        <f>IF($R1577="","",IF($R1577="T",$K$3,IF($R1577="B",COUNTIFS($M$4:$M$2003,INDEX($M$4:$M$2003,$S1577),$N$4:$N$2003,1),1)))</f>
        <v/>
      </c>
      <c r="L1577">
        <f>IF($K$1="","",IFERROR(INDEX(Lines!$A:$AA,ROW()-2,$K$1),""))</f>
        <v/>
      </c>
      <c r="M1577">
        <f>IF($K$2="","",IFERROR(INDEX(Lines!$A:$AA,ROW()-2,$K$2),""))</f>
        <v/>
      </c>
      <c r="N1577">
        <f>IF(AND(L1577&lt;&gt;"",LEFT(L1577,1)="N",M1577&lt;&gt;"PICKING",M1577&lt;&gt;""),1,0)</f>
        <v/>
      </c>
      <c r="O1577">
        <f>IF(N1577=1,M1577&amp;"|"&amp;L1577,REPT("z",40))</f>
        <v/>
      </c>
      <c r="P1577">
        <f>IF(N1577=1,COUNTIF($O$4:$O$2003,"&lt;"&amp;O1577)+1,"")</f>
        <v/>
      </c>
      <c r="Q1577">
        <f>IF(OR($R1576="",$R1576="T"),"",IF($R1576="B",$Q1576,IF($Q1576+1&gt;$K$3,"",$Q1576+1)))</f>
        <v/>
      </c>
      <c r="R1577">
        <f>IF(OR($R1576="",$R1576="T"),"",IF($R1576="B","S",IF($Q1576+1&gt;$K$3,"T",IF(INDEX($M$4:$M$2003,MATCH($Q1576+1,$P$4:$P$2003,0))&lt;&gt;INDEX($M$4:$M$2003,MATCH($Q1576,$P$4:$P$2003,0)),"B","S"))))</f>
        <v/>
      </c>
      <c r="S1577">
        <f>IF(Q1577="","",IFERROR(MATCH(Q1577,$P$4:$P$2003,0),""))</f>
        <v/>
      </c>
    </row>
    <row r="1578">
      <c r="A1578" s="4">
        <f>IF($R1578="","",IF($R1578="T","Gesamtergebnis",IF($R1578="B",INDEX($M$4:$M$2003,$S1578),INDEX($L$4:$L$2003,$S1578))))</f>
        <v/>
      </c>
      <c r="B1578" s="4">
        <f>IF($R1578="","",IF($R1578="T",$K$3,IF($R1578="B",COUNTIFS($M$4:$M$2003,INDEX($M$4:$M$2003,$S1578),$N$4:$N$2003,1),1)))</f>
        <v/>
      </c>
      <c r="L1578">
        <f>IF($K$1="","",IFERROR(INDEX(Lines!$A:$AA,ROW()-2,$K$1),""))</f>
        <v/>
      </c>
      <c r="M1578">
        <f>IF($K$2="","",IFERROR(INDEX(Lines!$A:$AA,ROW()-2,$K$2),""))</f>
        <v/>
      </c>
      <c r="N1578">
        <f>IF(AND(L1578&lt;&gt;"",LEFT(L1578,1)="N",M1578&lt;&gt;"PICKING",M1578&lt;&gt;""),1,0)</f>
        <v/>
      </c>
      <c r="O1578">
        <f>IF(N1578=1,M1578&amp;"|"&amp;L1578,REPT("z",40))</f>
        <v/>
      </c>
      <c r="P1578">
        <f>IF(N1578=1,COUNTIF($O$4:$O$2003,"&lt;"&amp;O1578)+1,"")</f>
        <v/>
      </c>
      <c r="Q1578">
        <f>IF(OR($R1577="",$R1577="T"),"",IF($R1577="B",$Q1577,IF($Q1577+1&gt;$K$3,"",$Q1577+1)))</f>
        <v/>
      </c>
      <c r="R1578">
        <f>IF(OR($R1577="",$R1577="T"),"",IF($R1577="B","S",IF($Q1577+1&gt;$K$3,"T",IF(INDEX($M$4:$M$2003,MATCH($Q1577+1,$P$4:$P$2003,0))&lt;&gt;INDEX($M$4:$M$2003,MATCH($Q1577,$P$4:$P$2003,0)),"B","S"))))</f>
        <v/>
      </c>
      <c r="S1578">
        <f>IF(Q1578="","",IFERROR(MATCH(Q1578,$P$4:$P$2003,0),""))</f>
        <v/>
      </c>
    </row>
    <row r="1579">
      <c r="A1579" s="4">
        <f>IF($R1579="","",IF($R1579="T","Gesamtergebnis",IF($R1579="B",INDEX($M$4:$M$2003,$S1579),INDEX($L$4:$L$2003,$S1579))))</f>
        <v/>
      </c>
      <c r="B1579" s="4">
        <f>IF($R1579="","",IF($R1579="T",$K$3,IF($R1579="B",COUNTIFS($M$4:$M$2003,INDEX($M$4:$M$2003,$S1579),$N$4:$N$2003,1),1)))</f>
        <v/>
      </c>
      <c r="L1579">
        <f>IF($K$1="","",IFERROR(INDEX(Lines!$A:$AA,ROW()-2,$K$1),""))</f>
        <v/>
      </c>
      <c r="M1579">
        <f>IF($K$2="","",IFERROR(INDEX(Lines!$A:$AA,ROW()-2,$K$2),""))</f>
        <v/>
      </c>
      <c r="N1579">
        <f>IF(AND(L1579&lt;&gt;"",LEFT(L1579,1)="N",M1579&lt;&gt;"PICKING",M1579&lt;&gt;""),1,0)</f>
        <v/>
      </c>
      <c r="O1579">
        <f>IF(N1579=1,M1579&amp;"|"&amp;L1579,REPT("z",40))</f>
        <v/>
      </c>
      <c r="P1579">
        <f>IF(N1579=1,COUNTIF($O$4:$O$2003,"&lt;"&amp;O1579)+1,"")</f>
        <v/>
      </c>
      <c r="Q1579">
        <f>IF(OR($R1578="",$R1578="T"),"",IF($R1578="B",$Q1578,IF($Q1578+1&gt;$K$3,"",$Q1578+1)))</f>
        <v/>
      </c>
      <c r="R1579">
        <f>IF(OR($R1578="",$R1578="T"),"",IF($R1578="B","S",IF($Q1578+1&gt;$K$3,"T",IF(INDEX($M$4:$M$2003,MATCH($Q1578+1,$P$4:$P$2003,0))&lt;&gt;INDEX($M$4:$M$2003,MATCH($Q1578,$P$4:$P$2003,0)),"B","S"))))</f>
        <v/>
      </c>
      <c r="S1579">
        <f>IF(Q1579="","",IFERROR(MATCH(Q1579,$P$4:$P$2003,0),""))</f>
        <v/>
      </c>
    </row>
    <row r="1580">
      <c r="A1580" s="4">
        <f>IF($R1580="","",IF($R1580="T","Gesamtergebnis",IF($R1580="B",INDEX($M$4:$M$2003,$S1580),INDEX($L$4:$L$2003,$S1580))))</f>
        <v/>
      </c>
      <c r="B1580" s="4">
        <f>IF($R1580="","",IF($R1580="T",$K$3,IF($R1580="B",COUNTIFS($M$4:$M$2003,INDEX($M$4:$M$2003,$S1580),$N$4:$N$2003,1),1)))</f>
        <v/>
      </c>
      <c r="L1580">
        <f>IF($K$1="","",IFERROR(INDEX(Lines!$A:$AA,ROW()-2,$K$1),""))</f>
        <v/>
      </c>
      <c r="M1580">
        <f>IF($K$2="","",IFERROR(INDEX(Lines!$A:$AA,ROW()-2,$K$2),""))</f>
        <v/>
      </c>
      <c r="N1580">
        <f>IF(AND(L1580&lt;&gt;"",LEFT(L1580,1)="N",M1580&lt;&gt;"PICKING",M1580&lt;&gt;""),1,0)</f>
        <v/>
      </c>
      <c r="O1580">
        <f>IF(N1580=1,M1580&amp;"|"&amp;L1580,REPT("z",40))</f>
        <v/>
      </c>
      <c r="P1580">
        <f>IF(N1580=1,COUNTIF($O$4:$O$2003,"&lt;"&amp;O1580)+1,"")</f>
        <v/>
      </c>
      <c r="Q1580">
        <f>IF(OR($R1579="",$R1579="T"),"",IF($R1579="B",$Q1579,IF($Q1579+1&gt;$K$3,"",$Q1579+1)))</f>
        <v/>
      </c>
      <c r="R1580">
        <f>IF(OR($R1579="",$R1579="T"),"",IF($R1579="B","S",IF($Q1579+1&gt;$K$3,"T",IF(INDEX($M$4:$M$2003,MATCH($Q1579+1,$P$4:$P$2003,0))&lt;&gt;INDEX($M$4:$M$2003,MATCH($Q1579,$P$4:$P$2003,0)),"B","S"))))</f>
        <v/>
      </c>
      <c r="S1580">
        <f>IF(Q1580="","",IFERROR(MATCH(Q1580,$P$4:$P$2003,0),""))</f>
        <v/>
      </c>
    </row>
    <row r="1581">
      <c r="A1581" s="4">
        <f>IF($R1581="","",IF($R1581="T","Gesamtergebnis",IF($R1581="B",INDEX($M$4:$M$2003,$S1581),INDEX($L$4:$L$2003,$S1581))))</f>
        <v/>
      </c>
      <c r="B1581" s="4">
        <f>IF($R1581="","",IF($R1581="T",$K$3,IF($R1581="B",COUNTIFS($M$4:$M$2003,INDEX($M$4:$M$2003,$S1581),$N$4:$N$2003,1),1)))</f>
        <v/>
      </c>
      <c r="L1581">
        <f>IF($K$1="","",IFERROR(INDEX(Lines!$A:$AA,ROW()-2,$K$1),""))</f>
        <v/>
      </c>
      <c r="M1581">
        <f>IF($K$2="","",IFERROR(INDEX(Lines!$A:$AA,ROW()-2,$K$2),""))</f>
        <v/>
      </c>
      <c r="N1581">
        <f>IF(AND(L1581&lt;&gt;"",LEFT(L1581,1)="N",M1581&lt;&gt;"PICKING",M1581&lt;&gt;""),1,0)</f>
        <v/>
      </c>
      <c r="O1581">
        <f>IF(N1581=1,M1581&amp;"|"&amp;L1581,REPT("z",40))</f>
        <v/>
      </c>
      <c r="P1581">
        <f>IF(N1581=1,COUNTIF($O$4:$O$2003,"&lt;"&amp;O1581)+1,"")</f>
        <v/>
      </c>
      <c r="Q1581">
        <f>IF(OR($R1580="",$R1580="T"),"",IF($R1580="B",$Q1580,IF($Q1580+1&gt;$K$3,"",$Q1580+1)))</f>
        <v/>
      </c>
      <c r="R1581">
        <f>IF(OR($R1580="",$R1580="T"),"",IF($R1580="B","S",IF($Q1580+1&gt;$K$3,"T",IF(INDEX($M$4:$M$2003,MATCH($Q1580+1,$P$4:$P$2003,0))&lt;&gt;INDEX($M$4:$M$2003,MATCH($Q1580,$P$4:$P$2003,0)),"B","S"))))</f>
        <v/>
      </c>
      <c r="S1581">
        <f>IF(Q1581="","",IFERROR(MATCH(Q1581,$P$4:$P$2003,0),""))</f>
        <v/>
      </c>
    </row>
    <row r="1582">
      <c r="A1582" s="4">
        <f>IF($R1582="","",IF($R1582="T","Gesamtergebnis",IF($R1582="B",INDEX($M$4:$M$2003,$S1582),INDEX($L$4:$L$2003,$S1582))))</f>
        <v/>
      </c>
      <c r="B1582" s="4">
        <f>IF($R1582="","",IF($R1582="T",$K$3,IF($R1582="B",COUNTIFS($M$4:$M$2003,INDEX($M$4:$M$2003,$S1582),$N$4:$N$2003,1),1)))</f>
        <v/>
      </c>
      <c r="L1582">
        <f>IF($K$1="","",IFERROR(INDEX(Lines!$A:$AA,ROW()-2,$K$1),""))</f>
        <v/>
      </c>
      <c r="M1582">
        <f>IF($K$2="","",IFERROR(INDEX(Lines!$A:$AA,ROW()-2,$K$2),""))</f>
        <v/>
      </c>
      <c r="N1582">
        <f>IF(AND(L1582&lt;&gt;"",LEFT(L1582,1)="N",M1582&lt;&gt;"PICKING",M1582&lt;&gt;""),1,0)</f>
        <v/>
      </c>
      <c r="O1582">
        <f>IF(N1582=1,M1582&amp;"|"&amp;L1582,REPT("z",40))</f>
        <v/>
      </c>
      <c r="P1582">
        <f>IF(N1582=1,COUNTIF($O$4:$O$2003,"&lt;"&amp;O1582)+1,"")</f>
        <v/>
      </c>
      <c r="Q1582">
        <f>IF(OR($R1581="",$R1581="T"),"",IF($R1581="B",$Q1581,IF($Q1581+1&gt;$K$3,"",$Q1581+1)))</f>
        <v/>
      </c>
      <c r="R1582">
        <f>IF(OR($R1581="",$R1581="T"),"",IF($R1581="B","S",IF($Q1581+1&gt;$K$3,"T",IF(INDEX($M$4:$M$2003,MATCH($Q1581+1,$P$4:$P$2003,0))&lt;&gt;INDEX($M$4:$M$2003,MATCH($Q1581,$P$4:$P$2003,0)),"B","S"))))</f>
        <v/>
      </c>
      <c r="S1582">
        <f>IF(Q1582="","",IFERROR(MATCH(Q1582,$P$4:$P$2003,0),""))</f>
        <v/>
      </c>
    </row>
    <row r="1583">
      <c r="A1583" s="4">
        <f>IF($R1583="","",IF($R1583="T","Gesamtergebnis",IF($R1583="B",INDEX($M$4:$M$2003,$S1583),INDEX($L$4:$L$2003,$S1583))))</f>
        <v/>
      </c>
      <c r="B1583" s="4">
        <f>IF($R1583="","",IF($R1583="T",$K$3,IF($R1583="B",COUNTIFS($M$4:$M$2003,INDEX($M$4:$M$2003,$S1583),$N$4:$N$2003,1),1)))</f>
        <v/>
      </c>
      <c r="L1583">
        <f>IF($K$1="","",IFERROR(INDEX(Lines!$A:$AA,ROW()-2,$K$1),""))</f>
        <v/>
      </c>
      <c r="M1583">
        <f>IF($K$2="","",IFERROR(INDEX(Lines!$A:$AA,ROW()-2,$K$2),""))</f>
        <v/>
      </c>
      <c r="N1583">
        <f>IF(AND(L1583&lt;&gt;"",LEFT(L1583,1)="N",M1583&lt;&gt;"PICKING",M1583&lt;&gt;""),1,0)</f>
        <v/>
      </c>
      <c r="O1583">
        <f>IF(N1583=1,M1583&amp;"|"&amp;L1583,REPT("z",40))</f>
        <v/>
      </c>
      <c r="P1583">
        <f>IF(N1583=1,COUNTIF($O$4:$O$2003,"&lt;"&amp;O1583)+1,"")</f>
        <v/>
      </c>
      <c r="Q1583">
        <f>IF(OR($R1582="",$R1582="T"),"",IF($R1582="B",$Q1582,IF($Q1582+1&gt;$K$3,"",$Q1582+1)))</f>
        <v/>
      </c>
      <c r="R1583">
        <f>IF(OR($R1582="",$R1582="T"),"",IF($R1582="B","S",IF($Q1582+1&gt;$K$3,"T",IF(INDEX($M$4:$M$2003,MATCH($Q1582+1,$P$4:$P$2003,0))&lt;&gt;INDEX($M$4:$M$2003,MATCH($Q1582,$P$4:$P$2003,0)),"B","S"))))</f>
        <v/>
      </c>
      <c r="S1583">
        <f>IF(Q1583="","",IFERROR(MATCH(Q1583,$P$4:$P$2003,0),""))</f>
        <v/>
      </c>
    </row>
    <row r="1584">
      <c r="A1584" s="4">
        <f>IF($R1584="","",IF($R1584="T","Gesamtergebnis",IF($R1584="B",INDEX($M$4:$M$2003,$S1584),INDEX($L$4:$L$2003,$S1584))))</f>
        <v/>
      </c>
      <c r="B1584" s="4">
        <f>IF($R1584="","",IF($R1584="T",$K$3,IF($R1584="B",COUNTIFS($M$4:$M$2003,INDEX($M$4:$M$2003,$S1584),$N$4:$N$2003,1),1)))</f>
        <v/>
      </c>
      <c r="L1584">
        <f>IF($K$1="","",IFERROR(INDEX(Lines!$A:$AA,ROW()-2,$K$1),""))</f>
        <v/>
      </c>
      <c r="M1584">
        <f>IF($K$2="","",IFERROR(INDEX(Lines!$A:$AA,ROW()-2,$K$2),""))</f>
        <v/>
      </c>
      <c r="N1584">
        <f>IF(AND(L1584&lt;&gt;"",LEFT(L1584,1)="N",M1584&lt;&gt;"PICKING",M1584&lt;&gt;""),1,0)</f>
        <v/>
      </c>
      <c r="O1584">
        <f>IF(N1584=1,M1584&amp;"|"&amp;L1584,REPT("z",40))</f>
        <v/>
      </c>
      <c r="P1584">
        <f>IF(N1584=1,COUNTIF($O$4:$O$2003,"&lt;"&amp;O1584)+1,"")</f>
        <v/>
      </c>
      <c r="Q1584">
        <f>IF(OR($R1583="",$R1583="T"),"",IF($R1583="B",$Q1583,IF($Q1583+1&gt;$K$3,"",$Q1583+1)))</f>
        <v/>
      </c>
      <c r="R1584">
        <f>IF(OR($R1583="",$R1583="T"),"",IF($R1583="B","S",IF($Q1583+1&gt;$K$3,"T",IF(INDEX($M$4:$M$2003,MATCH($Q1583+1,$P$4:$P$2003,0))&lt;&gt;INDEX($M$4:$M$2003,MATCH($Q1583,$P$4:$P$2003,0)),"B","S"))))</f>
        <v/>
      </c>
      <c r="S1584">
        <f>IF(Q1584="","",IFERROR(MATCH(Q1584,$P$4:$P$2003,0),""))</f>
        <v/>
      </c>
    </row>
    <row r="1585">
      <c r="A1585" s="4">
        <f>IF($R1585="","",IF($R1585="T","Gesamtergebnis",IF($R1585="B",INDEX($M$4:$M$2003,$S1585),INDEX($L$4:$L$2003,$S1585))))</f>
        <v/>
      </c>
      <c r="B1585" s="4">
        <f>IF($R1585="","",IF($R1585="T",$K$3,IF($R1585="B",COUNTIFS($M$4:$M$2003,INDEX($M$4:$M$2003,$S1585),$N$4:$N$2003,1),1)))</f>
        <v/>
      </c>
      <c r="L1585">
        <f>IF($K$1="","",IFERROR(INDEX(Lines!$A:$AA,ROW()-2,$K$1),""))</f>
        <v/>
      </c>
      <c r="M1585">
        <f>IF($K$2="","",IFERROR(INDEX(Lines!$A:$AA,ROW()-2,$K$2),""))</f>
        <v/>
      </c>
      <c r="N1585">
        <f>IF(AND(L1585&lt;&gt;"",LEFT(L1585,1)="N",M1585&lt;&gt;"PICKING",M1585&lt;&gt;""),1,0)</f>
        <v/>
      </c>
      <c r="O1585">
        <f>IF(N1585=1,M1585&amp;"|"&amp;L1585,REPT("z",40))</f>
        <v/>
      </c>
      <c r="P1585">
        <f>IF(N1585=1,COUNTIF($O$4:$O$2003,"&lt;"&amp;O1585)+1,"")</f>
        <v/>
      </c>
      <c r="Q1585">
        <f>IF(OR($R1584="",$R1584="T"),"",IF($R1584="B",$Q1584,IF($Q1584+1&gt;$K$3,"",$Q1584+1)))</f>
        <v/>
      </c>
      <c r="R1585">
        <f>IF(OR($R1584="",$R1584="T"),"",IF($R1584="B","S",IF($Q1584+1&gt;$K$3,"T",IF(INDEX($M$4:$M$2003,MATCH($Q1584+1,$P$4:$P$2003,0))&lt;&gt;INDEX($M$4:$M$2003,MATCH($Q1584,$P$4:$P$2003,0)),"B","S"))))</f>
        <v/>
      </c>
      <c r="S1585">
        <f>IF(Q1585="","",IFERROR(MATCH(Q1585,$P$4:$P$2003,0),""))</f>
        <v/>
      </c>
    </row>
    <row r="1586">
      <c r="A1586" s="4">
        <f>IF($R1586="","",IF($R1586="T","Gesamtergebnis",IF($R1586="B",INDEX($M$4:$M$2003,$S1586),INDEX($L$4:$L$2003,$S1586))))</f>
        <v/>
      </c>
      <c r="B1586" s="4">
        <f>IF($R1586="","",IF($R1586="T",$K$3,IF($R1586="B",COUNTIFS($M$4:$M$2003,INDEX($M$4:$M$2003,$S1586),$N$4:$N$2003,1),1)))</f>
        <v/>
      </c>
      <c r="L1586">
        <f>IF($K$1="","",IFERROR(INDEX(Lines!$A:$AA,ROW()-2,$K$1),""))</f>
        <v/>
      </c>
      <c r="M1586">
        <f>IF($K$2="","",IFERROR(INDEX(Lines!$A:$AA,ROW()-2,$K$2),""))</f>
        <v/>
      </c>
      <c r="N1586">
        <f>IF(AND(L1586&lt;&gt;"",LEFT(L1586,1)="N",M1586&lt;&gt;"PICKING",M1586&lt;&gt;""),1,0)</f>
        <v/>
      </c>
      <c r="O1586">
        <f>IF(N1586=1,M1586&amp;"|"&amp;L1586,REPT("z",40))</f>
        <v/>
      </c>
      <c r="P1586">
        <f>IF(N1586=1,COUNTIF($O$4:$O$2003,"&lt;"&amp;O1586)+1,"")</f>
        <v/>
      </c>
      <c r="Q1586">
        <f>IF(OR($R1585="",$R1585="T"),"",IF($R1585="B",$Q1585,IF($Q1585+1&gt;$K$3,"",$Q1585+1)))</f>
        <v/>
      </c>
      <c r="R1586">
        <f>IF(OR($R1585="",$R1585="T"),"",IF($R1585="B","S",IF($Q1585+1&gt;$K$3,"T",IF(INDEX($M$4:$M$2003,MATCH($Q1585+1,$P$4:$P$2003,0))&lt;&gt;INDEX($M$4:$M$2003,MATCH($Q1585,$P$4:$P$2003,0)),"B","S"))))</f>
        <v/>
      </c>
      <c r="S1586">
        <f>IF(Q1586="","",IFERROR(MATCH(Q1586,$P$4:$P$2003,0),""))</f>
        <v/>
      </c>
    </row>
    <row r="1587">
      <c r="A1587" s="4">
        <f>IF($R1587="","",IF($R1587="T","Gesamtergebnis",IF($R1587="B",INDEX($M$4:$M$2003,$S1587),INDEX($L$4:$L$2003,$S1587))))</f>
        <v/>
      </c>
      <c r="B1587" s="4">
        <f>IF($R1587="","",IF($R1587="T",$K$3,IF($R1587="B",COUNTIFS($M$4:$M$2003,INDEX($M$4:$M$2003,$S1587),$N$4:$N$2003,1),1)))</f>
        <v/>
      </c>
      <c r="L1587">
        <f>IF($K$1="","",IFERROR(INDEX(Lines!$A:$AA,ROW()-2,$K$1),""))</f>
        <v/>
      </c>
      <c r="M1587">
        <f>IF($K$2="","",IFERROR(INDEX(Lines!$A:$AA,ROW()-2,$K$2),""))</f>
        <v/>
      </c>
      <c r="N1587">
        <f>IF(AND(L1587&lt;&gt;"",LEFT(L1587,1)="N",M1587&lt;&gt;"PICKING",M1587&lt;&gt;""),1,0)</f>
        <v/>
      </c>
      <c r="O1587">
        <f>IF(N1587=1,M1587&amp;"|"&amp;L1587,REPT("z",40))</f>
        <v/>
      </c>
      <c r="P1587">
        <f>IF(N1587=1,COUNTIF($O$4:$O$2003,"&lt;"&amp;O1587)+1,"")</f>
        <v/>
      </c>
      <c r="Q1587">
        <f>IF(OR($R1586="",$R1586="T"),"",IF($R1586="B",$Q1586,IF($Q1586+1&gt;$K$3,"",$Q1586+1)))</f>
        <v/>
      </c>
      <c r="R1587">
        <f>IF(OR($R1586="",$R1586="T"),"",IF($R1586="B","S",IF($Q1586+1&gt;$K$3,"T",IF(INDEX($M$4:$M$2003,MATCH($Q1586+1,$P$4:$P$2003,0))&lt;&gt;INDEX($M$4:$M$2003,MATCH($Q1586,$P$4:$P$2003,0)),"B","S"))))</f>
        <v/>
      </c>
      <c r="S1587">
        <f>IF(Q1587="","",IFERROR(MATCH(Q1587,$P$4:$P$2003,0),""))</f>
        <v/>
      </c>
    </row>
    <row r="1588">
      <c r="A1588" s="4">
        <f>IF($R1588="","",IF($R1588="T","Gesamtergebnis",IF($R1588="B",INDEX($M$4:$M$2003,$S1588),INDEX($L$4:$L$2003,$S1588))))</f>
        <v/>
      </c>
      <c r="B1588" s="4">
        <f>IF($R1588="","",IF($R1588="T",$K$3,IF($R1588="B",COUNTIFS($M$4:$M$2003,INDEX($M$4:$M$2003,$S1588),$N$4:$N$2003,1),1)))</f>
        <v/>
      </c>
      <c r="L1588">
        <f>IF($K$1="","",IFERROR(INDEX(Lines!$A:$AA,ROW()-2,$K$1),""))</f>
        <v/>
      </c>
      <c r="M1588">
        <f>IF($K$2="","",IFERROR(INDEX(Lines!$A:$AA,ROW()-2,$K$2),""))</f>
        <v/>
      </c>
      <c r="N1588">
        <f>IF(AND(L1588&lt;&gt;"",LEFT(L1588,1)="N",M1588&lt;&gt;"PICKING",M1588&lt;&gt;""),1,0)</f>
        <v/>
      </c>
      <c r="O1588">
        <f>IF(N1588=1,M1588&amp;"|"&amp;L1588,REPT("z",40))</f>
        <v/>
      </c>
      <c r="P1588">
        <f>IF(N1588=1,COUNTIF($O$4:$O$2003,"&lt;"&amp;O1588)+1,"")</f>
        <v/>
      </c>
      <c r="Q1588">
        <f>IF(OR($R1587="",$R1587="T"),"",IF($R1587="B",$Q1587,IF($Q1587+1&gt;$K$3,"",$Q1587+1)))</f>
        <v/>
      </c>
      <c r="R1588">
        <f>IF(OR($R1587="",$R1587="T"),"",IF($R1587="B","S",IF($Q1587+1&gt;$K$3,"T",IF(INDEX($M$4:$M$2003,MATCH($Q1587+1,$P$4:$P$2003,0))&lt;&gt;INDEX($M$4:$M$2003,MATCH($Q1587,$P$4:$P$2003,0)),"B","S"))))</f>
        <v/>
      </c>
      <c r="S1588">
        <f>IF(Q1588="","",IFERROR(MATCH(Q1588,$P$4:$P$2003,0),""))</f>
        <v/>
      </c>
    </row>
    <row r="1589">
      <c r="A1589" s="4">
        <f>IF($R1589="","",IF($R1589="T","Gesamtergebnis",IF($R1589="B",INDEX($M$4:$M$2003,$S1589),INDEX($L$4:$L$2003,$S1589))))</f>
        <v/>
      </c>
      <c r="B1589" s="4">
        <f>IF($R1589="","",IF($R1589="T",$K$3,IF($R1589="B",COUNTIFS($M$4:$M$2003,INDEX($M$4:$M$2003,$S1589),$N$4:$N$2003,1),1)))</f>
        <v/>
      </c>
      <c r="L1589">
        <f>IF($K$1="","",IFERROR(INDEX(Lines!$A:$AA,ROW()-2,$K$1),""))</f>
        <v/>
      </c>
      <c r="M1589">
        <f>IF($K$2="","",IFERROR(INDEX(Lines!$A:$AA,ROW()-2,$K$2),""))</f>
        <v/>
      </c>
      <c r="N1589">
        <f>IF(AND(L1589&lt;&gt;"",LEFT(L1589,1)="N",M1589&lt;&gt;"PICKING",M1589&lt;&gt;""),1,0)</f>
        <v/>
      </c>
      <c r="O1589">
        <f>IF(N1589=1,M1589&amp;"|"&amp;L1589,REPT("z",40))</f>
        <v/>
      </c>
      <c r="P1589">
        <f>IF(N1589=1,COUNTIF($O$4:$O$2003,"&lt;"&amp;O1589)+1,"")</f>
        <v/>
      </c>
      <c r="Q1589">
        <f>IF(OR($R1588="",$R1588="T"),"",IF($R1588="B",$Q1588,IF($Q1588+1&gt;$K$3,"",$Q1588+1)))</f>
        <v/>
      </c>
      <c r="R1589">
        <f>IF(OR($R1588="",$R1588="T"),"",IF($R1588="B","S",IF($Q1588+1&gt;$K$3,"T",IF(INDEX($M$4:$M$2003,MATCH($Q1588+1,$P$4:$P$2003,0))&lt;&gt;INDEX($M$4:$M$2003,MATCH($Q1588,$P$4:$P$2003,0)),"B","S"))))</f>
        <v/>
      </c>
      <c r="S1589">
        <f>IF(Q1589="","",IFERROR(MATCH(Q1589,$P$4:$P$2003,0),""))</f>
        <v/>
      </c>
    </row>
    <row r="1590">
      <c r="A1590" s="4">
        <f>IF($R1590="","",IF($R1590="T","Gesamtergebnis",IF($R1590="B",INDEX($M$4:$M$2003,$S1590),INDEX($L$4:$L$2003,$S1590))))</f>
        <v/>
      </c>
      <c r="B1590" s="4">
        <f>IF($R1590="","",IF($R1590="T",$K$3,IF($R1590="B",COUNTIFS($M$4:$M$2003,INDEX($M$4:$M$2003,$S1590),$N$4:$N$2003,1),1)))</f>
        <v/>
      </c>
      <c r="L1590">
        <f>IF($K$1="","",IFERROR(INDEX(Lines!$A:$AA,ROW()-2,$K$1),""))</f>
        <v/>
      </c>
      <c r="M1590">
        <f>IF($K$2="","",IFERROR(INDEX(Lines!$A:$AA,ROW()-2,$K$2),""))</f>
        <v/>
      </c>
      <c r="N1590">
        <f>IF(AND(L1590&lt;&gt;"",LEFT(L1590,1)="N",M1590&lt;&gt;"PICKING",M1590&lt;&gt;""),1,0)</f>
        <v/>
      </c>
      <c r="O1590">
        <f>IF(N1590=1,M1590&amp;"|"&amp;L1590,REPT("z",40))</f>
        <v/>
      </c>
      <c r="P1590">
        <f>IF(N1590=1,COUNTIF($O$4:$O$2003,"&lt;"&amp;O1590)+1,"")</f>
        <v/>
      </c>
      <c r="Q1590">
        <f>IF(OR($R1589="",$R1589="T"),"",IF($R1589="B",$Q1589,IF($Q1589+1&gt;$K$3,"",$Q1589+1)))</f>
        <v/>
      </c>
      <c r="R1590">
        <f>IF(OR($R1589="",$R1589="T"),"",IF($R1589="B","S",IF($Q1589+1&gt;$K$3,"T",IF(INDEX($M$4:$M$2003,MATCH($Q1589+1,$P$4:$P$2003,0))&lt;&gt;INDEX($M$4:$M$2003,MATCH($Q1589,$P$4:$P$2003,0)),"B","S"))))</f>
        <v/>
      </c>
      <c r="S1590">
        <f>IF(Q1590="","",IFERROR(MATCH(Q1590,$P$4:$P$2003,0),""))</f>
        <v/>
      </c>
    </row>
    <row r="1591">
      <c r="A1591" s="4">
        <f>IF($R1591="","",IF($R1591="T","Gesamtergebnis",IF($R1591="B",INDEX($M$4:$M$2003,$S1591),INDEX($L$4:$L$2003,$S1591))))</f>
        <v/>
      </c>
      <c r="B1591" s="4">
        <f>IF($R1591="","",IF($R1591="T",$K$3,IF($R1591="B",COUNTIFS($M$4:$M$2003,INDEX($M$4:$M$2003,$S1591),$N$4:$N$2003,1),1)))</f>
        <v/>
      </c>
      <c r="L1591">
        <f>IF($K$1="","",IFERROR(INDEX(Lines!$A:$AA,ROW()-2,$K$1),""))</f>
        <v/>
      </c>
      <c r="M1591">
        <f>IF($K$2="","",IFERROR(INDEX(Lines!$A:$AA,ROW()-2,$K$2),""))</f>
        <v/>
      </c>
      <c r="N1591">
        <f>IF(AND(L1591&lt;&gt;"",LEFT(L1591,1)="N",M1591&lt;&gt;"PICKING",M1591&lt;&gt;""),1,0)</f>
        <v/>
      </c>
      <c r="O1591">
        <f>IF(N1591=1,M1591&amp;"|"&amp;L1591,REPT("z",40))</f>
        <v/>
      </c>
      <c r="P1591">
        <f>IF(N1591=1,COUNTIF($O$4:$O$2003,"&lt;"&amp;O1591)+1,"")</f>
        <v/>
      </c>
      <c r="Q1591">
        <f>IF(OR($R1590="",$R1590="T"),"",IF($R1590="B",$Q1590,IF($Q1590+1&gt;$K$3,"",$Q1590+1)))</f>
        <v/>
      </c>
      <c r="R1591">
        <f>IF(OR($R1590="",$R1590="T"),"",IF($R1590="B","S",IF($Q1590+1&gt;$K$3,"T",IF(INDEX($M$4:$M$2003,MATCH($Q1590+1,$P$4:$P$2003,0))&lt;&gt;INDEX($M$4:$M$2003,MATCH($Q1590,$P$4:$P$2003,0)),"B","S"))))</f>
        <v/>
      </c>
      <c r="S1591">
        <f>IF(Q1591="","",IFERROR(MATCH(Q1591,$P$4:$P$2003,0),""))</f>
        <v/>
      </c>
    </row>
    <row r="1592">
      <c r="A1592" s="4">
        <f>IF($R1592="","",IF($R1592="T","Gesamtergebnis",IF($R1592="B",INDEX($M$4:$M$2003,$S1592),INDEX($L$4:$L$2003,$S1592))))</f>
        <v/>
      </c>
      <c r="B1592" s="4">
        <f>IF($R1592="","",IF($R1592="T",$K$3,IF($R1592="B",COUNTIFS($M$4:$M$2003,INDEX($M$4:$M$2003,$S1592),$N$4:$N$2003,1),1)))</f>
        <v/>
      </c>
      <c r="L1592">
        <f>IF($K$1="","",IFERROR(INDEX(Lines!$A:$AA,ROW()-2,$K$1),""))</f>
        <v/>
      </c>
      <c r="M1592">
        <f>IF($K$2="","",IFERROR(INDEX(Lines!$A:$AA,ROW()-2,$K$2),""))</f>
        <v/>
      </c>
      <c r="N1592">
        <f>IF(AND(L1592&lt;&gt;"",LEFT(L1592,1)="N",M1592&lt;&gt;"PICKING",M1592&lt;&gt;""),1,0)</f>
        <v/>
      </c>
      <c r="O1592">
        <f>IF(N1592=1,M1592&amp;"|"&amp;L1592,REPT("z",40))</f>
        <v/>
      </c>
      <c r="P1592">
        <f>IF(N1592=1,COUNTIF($O$4:$O$2003,"&lt;"&amp;O1592)+1,"")</f>
        <v/>
      </c>
      <c r="Q1592">
        <f>IF(OR($R1591="",$R1591="T"),"",IF($R1591="B",$Q1591,IF($Q1591+1&gt;$K$3,"",$Q1591+1)))</f>
        <v/>
      </c>
      <c r="R1592">
        <f>IF(OR($R1591="",$R1591="T"),"",IF($R1591="B","S",IF($Q1591+1&gt;$K$3,"T",IF(INDEX($M$4:$M$2003,MATCH($Q1591+1,$P$4:$P$2003,0))&lt;&gt;INDEX($M$4:$M$2003,MATCH($Q1591,$P$4:$P$2003,0)),"B","S"))))</f>
        <v/>
      </c>
      <c r="S1592">
        <f>IF(Q1592="","",IFERROR(MATCH(Q1592,$P$4:$P$2003,0),""))</f>
        <v/>
      </c>
    </row>
    <row r="1593">
      <c r="A1593" s="4">
        <f>IF($R1593="","",IF($R1593="T","Gesamtergebnis",IF($R1593="B",INDEX($M$4:$M$2003,$S1593),INDEX($L$4:$L$2003,$S1593))))</f>
        <v/>
      </c>
      <c r="B1593" s="4">
        <f>IF($R1593="","",IF($R1593="T",$K$3,IF($R1593="B",COUNTIFS($M$4:$M$2003,INDEX($M$4:$M$2003,$S1593),$N$4:$N$2003,1),1)))</f>
        <v/>
      </c>
      <c r="L1593">
        <f>IF($K$1="","",IFERROR(INDEX(Lines!$A:$AA,ROW()-2,$K$1),""))</f>
        <v/>
      </c>
      <c r="M1593">
        <f>IF($K$2="","",IFERROR(INDEX(Lines!$A:$AA,ROW()-2,$K$2),""))</f>
        <v/>
      </c>
      <c r="N1593">
        <f>IF(AND(L1593&lt;&gt;"",LEFT(L1593,1)="N",M1593&lt;&gt;"PICKING",M1593&lt;&gt;""),1,0)</f>
        <v/>
      </c>
      <c r="O1593">
        <f>IF(N1593=1,M1593&amp;"|"&amp;L1593,REPT("z",40))</f>
        <v/>
      </c>
      <c r="P1593">
        <f>IF(N1593=1,COUNTIF($O$4:$O$2003,"&lt;"&amp;O1593)+1,"")</f>
        <v/>
      </c>
      <c r="Q1593">
        <f>IF(OR($R1592="",$R1592="T"),"",IF($R1592="B",$Q1592,IF($Q1592+1&gt;$K$3,"",$Q1592+1)))</f>
        <v/>
      </c>
      <c r="R1593">
        <f>IF(OR($R1592="",$R1592="T"),"",IF($R1592="B","S",IF($Q1592+1&gt;$K$3,"T",IF(INDEX($M$4:$M$2003,MATCH($Q1592+1,$P$4:$P$2003,0))&lt;&gt;INDEX($M$4:$M$2003,MATCH($Q1592,$P$4:$P$2003,0)),"B","S"))))</f>
        <v/>
      </c>
      <c r="S1593">
        <f>IF(Q1593="","",IFERROR(MATCH(Q1593,$P$4:$P$2003,0),""))</f>
        <v/>
      </c>
    </row>
    <row r="1594">
      <c r="A1594" s="4">
        <f>IF($R1594="","",IF($R1594="T","Gesamtergebnis",IF($R1594="B",INDEX($M$4:$M$2003,$S1594),INDEX($L$4:$L$2003,$S1594))))</f>
        <v/>
      </c>
      <c r="B1594" s="4">
        <f>IF($R1594="","",IF($R1594="T",$K$3,IF($R1594="B",COUNTIFS($M$4:$M$2003,INDEX($M$4:$M$2003,$S1594),$N$4:$N$2003,1),1)))</f>
        <v/>
      </c>
      <c r="L1594">
        <f>IF($K$1="","",IFERROR(INDEX(Lines!$A:$AA,ROW()-2,$K$1),""))</f>
        <v/>
      </c>
      <c r="M1594">
        <f>IF($K$2="","",IFERROR(INDEX(Lines!$A:$AA,ROW()-2,$K$2),""))</f>
        <v/>
      </c>
      <c r="N1594">
        <f>IF(AND(L1594&lt;&gt;"",LEFT(L1594,1)="N",M1594&lt;&gt;"PICKING",M1594&lt;&gt;""),1,0)</f>
        <v/>
      </c>
      <c r="O1594">
        <f>IF(N1594=1,M1594&amp;"|"&amp;L1594,REPT("z",40))</f>
        <v/>
      </c>
      <c r="P1594">
        <f>IF(N1594=1,COUNTIF($O$4:$O$2003,"&lt;"&amp;O1594)+1,"")</f>
        <v/>
      </c>
      <c r="Q1594">
        <f>IF(OR($R1593="",$R1593="T"),"",IF($R1593="B",$Q1593,IF($Q1593+1&gt;$K$3,"",$Q1593+1)))</f>
        <v/>
      </c>
      <c r="R1594">
        <f>IF(OR($R1593="",$R1593="T"),"",IF($R1593="B","S",IF($Q1593+1&gt;$K$3,"T",IF(INDEX($M$4:$M$2003,MATCH($Q1593+1,$P$4:$P$2003,0))&lt;&gt;INDEX($M$4:$M$2003,MATCH($Q1593,$P$4:$P$2003,0)),"B","S"))))</f>
        <v/>
      </c>
      <c r="S1594">
        <f>IF(Q1594="","",IFERROR(MATCH(Q1594,$P$4:$P$2003,0),""))</f>
        <v/>
      </c>
    </row>
    <row r="1595">
      <c r="A1595" s="4">
        <f>IF($R1595="","",IF($R1595="T","Gesamtergebnis",IF($R1595="B",INDEX($M$4:$M$2003,$S1595),INDEX($L$4:$L$2003,$S1595))))</f>
        <v/>
      </c>
      <c r="B1595" s="4">
        <f>IF($R1595="","",IF($R1595="T",$K$3,IF($R1595="B",COUNTIFS($M$4:$M$2003,INDEX($M$4:$M$2003,$S1595),$N$4:$N$2003,1),1)))</f>
        <v/>
      </c>
      <c r="L1595">
        <f>IF($K$1="","",IFERROR(INDEX(Lines!$A:$AA,ROW()-2,$K$1),""))</f>
        <v/>
      </c>
      <c r="M1595">
        <f>IF($K$2="","",IFERROR(INDEX(Lines!$A:$AA,ROW()-2,$K$2),""))</f>
        <v/>
      </c>
      <c r="N1595">
        <f>IF(AND(L1595&lt;&gt;"",LEFT(L1595,1)="N",M1595&lt;&gt;"PICKING",M1595&lt;&gt;""),1,0)</f>
        <v/>
      </c>
      <c r="O1595">
        <f>IF(N1595=1,M1595&amp;"|"&amp;L1595,REPT("z",40))</f>
        <v/>
      </c>
      <c r="P1595">
        <f>IF(N1595=1,COUNTIF($O$4:$O$2003,"&lt;"&amp;O1595)+1,"")</f>
        <v/>
      </c>
      <c r="Q1595">
        <f>IF(OR($R1594="",$R1594="T"),"",IF($R1594="B",$Q1594,IF($Q1594+1&gt;$K$3,"",$Q1594+1)))</f>
        <v/>
      </c>
      <c r="R1595">
        <f>IF(OR($R1594="",$R1594="T"),"",IF($R1594="B","S",IF($Q1594+1&gt;$K$3,"T",IF(INDEX($M$4:$M$2003,MATCH($Q1594+1,$P$4:$P$2003,0))&lt;&gt;INDEX($M$4:$M$2003,MATCH($Q1594,$P$4:$P$2003,0)),"B","S"))))</f>
        <v/>
      </c>
      <c r="S1595">
        <f>IF(Q1595="","",IFERROR(MATCH(Q1595,$P$4:$P$2003,0),""))</f>
        <v/>
      </c>
    </row>
    <row r="1596">
      <c r="A1596" s="4">
        <f>IF($R1596="","",IF($R1596="T","Gesamtergebnis",IF($R1596="B",INDEX($M$4:$M$2003,$S1596),INDEX($L$4:$L$2003,$S1596))))</f>
        <v/>
      </c>
      <c r="B1596" s="4">
        <f>IF($R1596="","",IF($R1596="T",$K$3,IF($R1596="B",COUNTIFS($M$4:$M$2003,INDEX($M$4:$M$2003,$S1596),$N$4:$N$2003,1),1)))</f>
        <v/>
      </c>
      <c r="L1596">
        <f>IF($K$1="","",IFERROR(INDEX(Lines!$A:$AA,ROW()-2,$K$1),""))</f>
        <v/>
      </c>
      <c r="M1596">
        <f>IF($K$2="","",IFERROR(INDEX(Lines!$A:$AA,ROW()-2,$K$2),""))</f>
        <v/>
      </c>
      <c r="N1596">
        <f>IF(AND(L1596&lt;&gt;"",LEFT(L1596,1)="N",M1596&lt;&gt;"PICKING",M1596&lt;&gt;""),1,0)</f>
        <v/>
      </c>
      <c r="O1596">
        <f>IF(N1596=1,M1596&amp;"|"&amp;L1596,REPT("z",40))</f>
        <v/>
      </c>
      <c r="P1596">
        <f>IF(N1596=1,COUNTIF($O$4:$O$2003,"&lt;"&amp;O1596)+1,"")</f>
        <v/>
      </c>
      <c r="Q1596">
        <f>IF(OR($R1595="",$R1595="T"),"",IF($R1595="B",$Q1595,IF($Q1595+1&gt;$K$3,"",$Q1595+1)))</f>
        <v/>
      </c>
      <c r="R1596">
        <f>IF(OR($R1595="",$R1595="T"),"",IF($R1595="B","S",IF($Q1595+1&gt;$K$3,"T",IF(INDEX($M$4:$M$2003,MATCH($Q1595+1,$P$4:$P$2003,0))&lt;&gt;INDEX($M$4:$M$2003,MATCH($Q1595,$P$4:$P$2003,0)),"B","S"))))</f>
        <v/>
      </c>
      <c r="S1596">
        <f>IF(Q1596="","",IFERROR(MATCH(Q1596,$P$4:$P$2003,0),""))</f>
        <v/>
      </c>
    </row>
    <row r="1597">
      <c r="A1597" s="4">
        <f>IF($R1597="","",IF($R1597="T","Gesamtergebnis",IF($R1597="B",INDEX($M$4:$M$2003,$S1597),INDEX($L$4:$L$2003,$S1597))))</f>
        <v/>
      </c>
      <c r="B1597" s="4">
        <f>IF($R1597="","",IF($R1597="T",$K$3,IF($R1597="B",COUNTIFS($M$4:$M$2003,INDEX($M$4:$M$2003,$S1597),$N$4:$N$2003,1),1)))</f>
        <v/>
      </c>
      <c r="L1597">
        <f>IF($K$1="","",IFERROR(INDEX(Lines!$A:$AA,ROW()-2,$K$1),""))</f>
        <v/>
      </c>
      <c r="M1597">
        <f>IF($K$2="","",IFERROR(INDEX(Lines!$A:$AA,ROW()-2,$K$2),""))</f>
        <v/>
      </c>
      <c r="N1597">
        <f>IF(AND(L1597&lt;&gt;"",LEFT(L1597,1)="N",M1597&lt;&gt;"PICKING",M1597&lt;&gt;""),1,0)</f>
        <v/>
      </c>
      <c r="O1597">
        <f>IF(N1597=1,M1597&amp;"|"&amp;L1597,REPT("z",40))</f>
        <v/>
      </c>
      <c r="P1597">
        <f>IF(N1597=1,COUNTIF($O$4:$O$2003,"&lt;"&amp;O1597)+1,"")</f>
        <v/>
      </c>
      <c r="Q1597">
        <f>IF(OR($R1596="",$R1596="T"),"",IF($R1596="B",$Q1596,IF($Q1596+1&gt;$K$3,"",$Q1596+1)))</f>
        <v/>
      </c>
      <c r="R1597">
        <f>IF(OR($R1596="",$R1596="T"),"",IF($R1596="B","S",IF($Q1596+1&gt;$K$3,"T",IF(INDEX($M$4:$M$2003,MATCH($Q1596+1,$P$4:$P$2003,0))&lt;&gt;INDEX($M$4:$M$2003,MATCH($Q1596,$P$4:$P$2003,0)),"B","S"))))</f>
        <v/>
      </c>
      <c r="S1597">
        <f>IF(Q1597="","",IFERROR(MATCH(Q1597,$P$4:$P$2003,0),""))</f>
        <v/>
      </c>
    </row>
    <row r="1598">
      <c r="A1598" s="4">
        <f>IF($R1598="","",IF($R1598="T","Gesamtergebnis",IF($R1598="B",INDEX($M$4:$M$2003,$S1598),INDEX($L$4:$L$2003,$S1598))))</f>
        <v/>
      </c>
      <c r="B1598" s="4">
        <f>IF($R1598="","",IF($R1598="T",$K$3,IF($R1598="B",COUNTIFS($M$4:$M$2003,INDEX($M$4:$M$2003,$S1598),$N$4:$N$2003,1),1)))</f>
        <v/>
      </c>
      <c r="L1598">
        <f>IF($K$1="","",IFERROR(INDEX(Lines!$A:$AA,ROW()-2,$K$1),""))</f>
        <v/>
      </c>
      <c r="M1598">
        <f>IF($K$2="","",IFERROR(INDEX(Lines!$A:$AA,ROW()-2,$K$2),""))</f>
        <v/>
      </c>
      <c r="N1598">
        <f>IF(AND(L1598&lt;&gt;"",LEFT(L1598,1)="N",M1598&lt;&gt;"PICKING",M1598&lt;&gt;""),1,0)</f>
        <v/>
      </c>
      <c r="O1598">
        <f>IF(N1598=1,M1598&amp;"|"&amp;L1598,REPT("z",40))</f>
        <v/>
      </c>
      <c r="P1598">
        <f>IF(N1598=1,COUNTIF($O$4:$O$2003,"&lt;"&amp;O1598)+1,"")</f>
        <v/>
      </c>
      <c r="Q1598">
        <f>IF(OR($R1597="",$R1597="T"),"",IF($R1597="B",$Q1597,IF($Q1597+1&gt;$K$3,"",$Q1597+1)))</f>
        <v/>
      </c>
      <c r="R1598">
        <f>IF(OR($R1597="",$R1597="T"),"",IF($R1597="B","S",IF($Q1597+1&gt;$K$3,"T",IF(INDEX($M$4:$M$2003,MATCH($Q1597+1,$P$4:$P$2003,0))&lt;&gt;INDEX($M$4:$M$2003,MATCH($Q1597,$P$4:$P$2003,0)),"B","S"))))</f>
        <v/>
      </c>
      <c r="S1598">
        <f>IF(Q1598="","",IFERROR(MATCH(Q1598,$P$4:$P$2003,0),""))</f>
        <v/>
      </c>
    </row>
    <row r="1599">
      <c r="A1599" s="4">
        <f>IF($R1599="","",IF($R1599="T","Gesamtergebnis",IF($R1599="B",INDEX($M$4:$M$2003,$S1599),INDEX($L$4:$L$2003,$S1599))))</f>
        <v/>
      </c>
      <c r="B1599" s="4">
        <f>IF($R1599="","",IF($R1599="T",$K$3,IF($R1599="B",COUNTIFS($M$4:$M$2003,INDEX($M$4:$M$2003,$S1599),$N$4:$N$2003,1),1)))</f>
        <v/>
      </c>
      <c r="L1599">
        <f>IF($K$1="","",IFERROR(INDEX(Lines!$A:$AA,ROW()-2,$K$1),""))</f>
        <v/>
      </c>
      <c r="M1599">
        <f>IF($K$2="","",IFERROR(INDEX(Lines!$A:$AA,ROW()-2,$K$2),""))</f>
        <v/>
      </c>
      <c r="N1599">
        <f>IF(AND(L1599&lt;&gt;"",LEFT(L1599,1)="N",M1599&lt;&gt;"PICKING",M1599&lt;&gt;""),1,0)</f>
        <v/>
      </c>
      <c r="O1599">
        <f>IF(N1599=1,M1599&amp;"|"&amp;L1599,REPT("z",40))</f>
        <v/>
      </c>
      <c r="P1599">
        <f>IF(N1599=1,COUNTIF($O$4:$O$2003,"&lt;"&amp;O1599)+1,"")</f>
        <v/>
      </c>
      <c r="Q1599">
        <f>IF(OR($R1598="",$R1598="T"),"",IF($R1598="B",$Q1598,IF($Q1598+1&gt;$K$3,"",$Q1598+1)))</f>
        <v/>
      </c>
      <c r="R1599">
        <f>IF(OR($R1598="",$R1598="T"),"",IF($R1598="B","S",IF($Q1598+1&gt;$K$3,"T",IF(INDEX($M$4:$M$2003,MATCH($Q1598+1,$P$4:$P$2003,0))&lt;&gt;INDEX($M$4:$M$2003,MATCH($Q1598,$P$4:$P$2003,0)),"B","S"))))</f>
        <v/>
      </c>
      <c r="S1599">
        <f>IF(Q1599="","",IFERROR(MATCH(Q1599,$P$4:$P$2003,0),""))</f>
        <v/>
      </c>
    </row>
    <row r="1600">
      <c r="A1600" s="4">
        <f>IF($R1600="","",IF($R1600="T","Gesamtergebnis",IF($R1600="B",INDEX($M$4:$M$2003,$S1600),INDEX($L$4:$L$2003,$S1600))))</f>
        <v/>
      </c>
      <c r="B1600" s="4">
        <f>IF($R1600="","",IF($R1600="T",$K$3,IF($R1600="B",COUNTIFS($M$4:$M$2003,INDEX($M$4:$M$2003,$S1600),$N$4:$N$2003,1),1)))</f>
        <v/>
      </c>
      <c r="L1600">
        <f>IF($K$1="","",IFERROR(INDEX(Lines!$A:$AA,ROW()-2,$K$1),""))</f>
        <v/>
      </c>
      <c r="M1600">
        <f>IF($K$2="","",IFERROR(INDEX(Lines!$A:$AA,ROW()-2,$K$2),""))</f>
        <v/>
      </c>
      <c r="N1600">
        <f>IF(AND(L1600&lt;&gt;"",LEFT(L1600,1)="N",M1600&lt;&gt;"PICKING",M1600&lt;&gt;""),1,0)</f>
        <v/>
      </c>
      <c r="O1600">
        <f>IF(N1600=1,M1600&amp;"|"&amp;L1600,REPT("z",40))</f>
        <v/>
      </c>
      <c r="P1600">
        <f>IF(N1600=1,COUNTIF($O$4:$O$2003,"&lt;"&amp;O1600)+1,"")</f>
        <v/>
      </c>
      <c r="Q1600">
        <f>IF(OR($R1599="",$R1599="T"),"",IF($R1599="B",$Q1599,IF($Q1599+1&gt;$K$3,"",$Q1599+1)))</f>
        <v/>
      </c>
      <c r="R1600">
        <f>IF(OR($R1599="",$R1599="T"),"",IF($R1599="B","S",IF($Q1599+1&gt;$K$3,"T",IF(INDEX($M$4:$M$2003,MATCH($Q1599+1,$P$4:$P$2003,0))&lt;&gt;INDEX($M$4:$M$2003,MATCH($Q1599,$P$4:$P$2003,0)),"B","S"))))</f>
        <v/>
      </c>
      <c r="S1600">
        <f>IF(Q1600="","",IFERROR(MATCH(Q1600,$P$4:$P$2003,0),""))</f>
        <v/>
      </c>
    </row>
    <row r="1601">
      <c r="A1601" s="4">
        <f>IF($R1601="","",IF($R1601="T","Gesamtergebnis",IF($R1601="B",INDEX($M$4:$M$2003,$S1601),INDEX($L$4:$L$2003,$S1601))))</f>
        <v/>
      </c>
      <c r="B1601" s="4">
        <f>IF($R1601="","",IF($R1601="T",$K$3,IF($R1601="B",COUNTIFS($M$4:$M$2003,INDEX($M$4:$M$2003,$S1601),$N$4:$N$2003,1),1)))</f>
        <v/>
      </c>
      <c r="L1601">
        <f>IF($K$1="","",IFERROR(INDEX(Lines!$A:$AA,ROW()-2,$K$1),""))</f>
        <v/>
      </c>
      <c r="M1601">
        <f>IF($K$2="","",IFERROR(INDEX(Lines!$A:$AA,ROW()-2,$K$2),""))</f>
        <v/>
      </c>
      <c r="N1601">
        <f>IF(AND(L1601&lt;&gt;"",LEFT(L1601,1)="N",M1601&lt;&gt;"PICKING",M1601&lt;&gt;""),1,0)</f>
        <v/>
      </c>
      <c r="O1601">
        <f>IF(N1601=1,M1601&amp;"|"&amp;L1601,REPT("z",40))</f>
        <v/>
      </c>
      <c r="P1601">
        <f>IF(N1601=1,COUNTIF($O$4:$O$2003,"&lt;"&amp;O1601)+1,"")</f>
        <v/>
      </c>
      <c r="Q1601">
        <f>IF(OR($R1600="",$R1600="T"),"",IF($R1600="B",$Q1600,IF($Q1600+1&gt;$K$3,"",$Q1600+1)))</f>
        <v/>
      </c>
      <c r="R1601">
        <f>IF(OR($R1600="",$R1600="T"),"",IF($R1600="B","S",IF($Q1600+1&gt;$K$3,"T",IF(INDEX($M$4:$M$2003,MATCH($Q1600+1,$P$4:$P$2003,0))&lt;&gt;INDEX($M$4:$M$2003,MATCH($Q1600,$P$4:$P$2003,0)),"B","S"))))</f>
        <v/>
      </c>
      <c r="S1601">
        <f>IF(Q1601="","",IFERROR(MATCH(Q1601,$P$4:$P$2003,0),""))</f>
        <v/>
      </c>
    </row>
    <row r="1602">
      <c r="A1602" s="4">
        <f>IF($R1602="","",IF($R1602="T","Gesamtergebnis",IF($R1602="B",INDEX($M$4:$M$2003,$S1602),INDEX($L$4:$L$2003,$S1602))))</f>
        <v/>
      </c>
      <c r="B1602" s="4">
        <f>IF($R1602="","",IF($R1602="T",$K$3,IF($R1602="B",COUNTIFS($M$4:$M$2003,INDEX($M$4:$M$2003,$S1602),$N$4:$N$2003,1),1)))</f>
        <v/>
      </c>
      <c r="L1602">
        <f>IF($K$1="","",IFERROR(INDEX(Lines!$A:$AA,ROW()-2,$K$1),""))</f>
        <v/>
      </c>
      <c r="M1602">
        <f>IF($K$2="","",IFERROR(INDEX(Lines!$A:$AA,ROW()-2,$K$2),""))</f>
        <v/>
      </c>
      <c r="N1602">
        <f>IF(AND(L1602&lt;&gt;"",LEFT(L1602,1)="N",M1602&lt;&gt;"PICKING",M1602&lt;&gt;""),1,0)</f>
        <v/>
      </c>
      <c r="O1602">
        <f>IF(N1602=1,M1602&amp;"|"&amp;L1602,REPT("z",40))</f>
        <v/>
      </c>
      <c r="P1602">
        <f>IF(N1602=1,COUNTIF($O$4:$O$2003,"&lt;"&amp;O1602)+1,"")</f>
        <v/>
      </c>
      <c r="Q1602">
        <f>IF(OR($R1601="",$R1601="T"),"",IF($R1601="B",$Q1601,IF($Q1601+1&gt;$K$3,"",$Q1601+1)))</f>
        <v/>
      </c>
      <c r="R1602">
        <f>IF(OR($R1601="",$R1601="T"),"",IF($R1601="B","S",IF($Q1601+1&gt;$K$3,"T",IF(INDEX($M$4:$M$2003,MATCH($Q1601+1,$P$4:$P$2003,0))&lt;&gt;INDEX($M$4:$M$2003,MATCH($Q1601,$P$4:$P$2003,0)),"B","S"))))</f>
        <v/>
      </c>
      <c r="S1602">
        <f>IF(Q1602="","",IFERROR(MATCH(Q1602,$P$4:$P$2003,0),""))</f>
        <v/>
      </c>
    </row>
    <row r="1603">
      <c r="A1603" s="4">
        <f>IF($R1603="","",IF($R1603="T","Gesamtergebnis",IF($R1603="B",INDEX($M$4:$M$2003,$S1603),INDEX($L$4:$L$2003,$S1603))))</f>
        <v/>
      </c>
      <c r="B1603" s="4">
        <f>IF($R1603="","",IF($R1603="T",$K$3,IF($R1603="B",COUNTIFS($M$4:$M$2003,INDEX($M$4:$M$2003,$S1603),$N$4:$N$2003,1),1)))</f>
        <v/>
      </c>
      <c r="L1603">
        <f>IF($K$1="","",IFERROR(INDEX(Lines!$A:$AA,ROW()-2,$K$1),""))</f>
        <v/>
      </c>
      <c r="M1603">
        <f>IF($K$2="","",IFERROR(INDEX(Lines!$A:$AA,ROW()-2,$K$2),""))</f>
        <v/>
      </c>
      <c r="N1603">
        <f>IF(AND(L1603&lt;&gt;"",LEFT(L1603,1)="N",M1603&lt;&gt;"PICKING",M1603&lt;&gt;""),1,0)</f>
        <v/>
      </c>
      <c r="O1603">
        <f>IF(N1603=1,M1603&amp;"|"&amp;L1603,REPT("z",40))</f>
        <v/>
      </c>
      <c r="P1603">
        <f>IF(N1603=1,COUNTIF($O$4:$O$2003,"&lt;"&amp;O1603)+1,"")</f>
        <v/>
      </c>
      <c r="Q1603">
        <f>IF(OR($R1602="",$R1602="T"),"",IF($R1602="B",$Q1602,IF($Q1602+1&gt;$K$3,"",$Q1602+1)))</f>
        <v/>
      </c>
      <c r="R1603">
        <f>IF(OR($R1602="",$R1602="T"),"",IF($R1602="B","S",IF($Q1602+1&gt;$K$3,"T",IF(INDEX($M$4:$M$2003,MATCH($Q1602+1,$P$4:$P$2003,0))&lt;&gt;INDEX($M$4:$M$2003,MATCH($Q1602,$P$4:$P$2003,0)),"B","S"))))</f>
        <v/>
      </c>
      <c r="S1603">
        <f>IF(Q1603="","",IFERROR(MATCH(Q1603,$P$4:$P$2003,0),""))</f>
        <v/>
      </c>
    </row>
    <row r="1604">
      <c r="A1604" s="4">
        <f>IF($R1604="","",IF($R1604="T","Gesamtergebnis",IF($R1604="B",INDEX($M$4:$M$2003,$S1604),INDEX($L$4:$L$2003,$S1604))))</f>
        <v/>
      </c>
      <c r="B1604" s="4">
        <f>IF($R1604="","",IF($R1604="T",$K$3,IF($R1604="B",COUNTIFS($M$4:$M$2003,INDEX($M$4:$M$2003,$S1604),$N$4:$N$2003,1),1)))</f>
        <v/>
      </c>
      <c r="L1604">
        <f>IF($K$1="","",IFERROR(INDEX(Lines!$A:$AA,ROW()-2,$K$1),""))</f>
        <v/>
      </c>
      <c r="M1604">
        <f>IF($K$2="","",IFERROR(INDEX(Lines!$A:$AA,ROW()-2,$K$2),""))</f>
        <v/>
      </c>
      <c r="N1604">
        <f>IF(AND(L1604&lt;&gt;"",LEFT(L1604,1)="N",M1604&lt;&gt;"PICKING",M1604&lt;&gt;""),1,0)</f>
        <v/>
      </c>
      <c r="O1604">
        <f>IF(N1604=1,M1604&amp;"|"&amp;L1604,REPT("z",40))</f>
        <v/>
      </c>
      <c r="P1604">
        <f>IF(N1604=1,COUNTIF($O$4:$O$2003,"&lt;"&amp;O1604)+1,"")</f>
        <v/>
      </c>
      <c r="Q1604">
        <f>IF(OR($R1603="",$R1603="T"),"",IF($R1603="B",$Q1603,IF($Q1603+1&gt;$K$3,"",$Q1603+1)))</f>
        <v/>
      </c>
      <c r="R1604">
        <f>IF(OR($R1603="",$R1603="T"),"",IF($R1603="B","S",IF($Q1603+1&gt;$K$3,"T",IF(INDEX($M$4:$M$2003,MATCH($Q1603+1,$P$4:$P$2003,0))&lt;&gt;INDEX($M$4:$M$2003,MATCH($Q1603,$P$4:$P$2003,0)),"B","S"))))</f>
        <v/>
      </c>
      <c r="S1604">
        <f>IF(Q1604="","",IFERROR(MATCH(Q1604,$P$4:$P$2003,0),""))</f>
        <v/>
      </c>
    </row>
    <row r="1605">
      <c r="A1605" s="4">
        <f>IF($R1605="","",IF($R1605="T","Gesamtergebnis",IF($R1605="B",INDEX($M$4:$M$2003,$S1605),INDEX($L$4:$L$2003,$S1605))))</f>
        <v/>
      </c>
      <c r="B1605" s="4">
        <f>IF($R1605="","",IF($R1605="T",$K$3,IF($R1605="B",COUNTIFS($M$4:$M$2003,INDEX($M$4:$M$2003,$S1605),$N$4:$N$2003,1),1)))</f>
        <v/>
      </c>
      <c r="L1605">
        <f>IF($K$1="","",IFERROR(INDEX(Lines!$A:$AA,ROW()-2,$K$1),""))</f>
        <v/>
      </c>
      <c r="M1605">
        <f>IF($K$2="","",IFERROR(INDEX(Lines!$A:$AA,ROW()-2,$K$2),""))</f>
        <v/>
      </c>
      <c r="N1605">
        <f>IF(AND(L1605&lt;&gt;"",LEFT(L1605,1)="N",M1605&lt;&gt;"PICKING",M1605&lt;&gt;""),1,0)</f>
        <v/>
      </c>
      <c r="O1605">
        <f>IF(N1605=1,M1605&amp;"|"&amp;L1605,REPT("z",40))</f>
        <v/>
      </c>
      <c r="P1605">
        <f>IF(N1605=1,COUNTIF($O$4:$O$2003,"&lt;"&amp;O1605)+1,"")</f>
        <v/>
      </c>
      <c r="Q1605">
        <f>IF(OR($R1604="",$R1604="T"),"",IF($R1604="B",$Q1604,IF($Q1604+1&gt;$K$3,"",$Q1604+1)))</f>
        <v/>
      </c>
      <c r="R1605">
        <f>IF(OR($R1604="",$R1604="T"),"",IF($R1604="B","S",IF($Q1604+1&gt;$K$3,"T",IF(INDEX($M$4:$M$2003,MATCH($Q1604+1,$P$4:$P$2003,0))&lt;&gt;INDEX($M$4:$M$2003,MATCH($Q1604,$P$4:$P$2003,0)),"B","S"))))</f>
        <v/>
      </c>
      <c r="S1605">
        <f>IF(Q1605="","",IFERROR(MATCH(Q1605,$P$4:$P$2003,0),""))</f>
        <v/>
      </c>
    </row>
    <row r="1606">
      <c r="A1606" s="4">
        <f>IF($R1606="","",IF($R1606="T","Gesamtergebnis",IF($R1606="B",INDEX($M$4:$M$2003,$S1606),INDEX($L$4:$L$2003,$S1606))))</f>
        <v/>
      </c>
      <c r="B1606" s="4">
        <f>IF($R1606="","",IF($R1606="T",$K$3,IF($R1606="B",COUNTIFS($M$4:$M$2003,INDEX($M$4:$M$2003,$S1606),$N$4:$N$2003,1),1)))</f>
        <v/>
      </c>
      <c r="L1606">
        <f>IF($K$1="","",IFERROR(INDEX(Lines!$A:$AA,ROW()-2,$K$1),""))</f>
        <v/>
      </c>
      <c r="M1606">
        <f>IF($K$2="","",IFERROR(INDEX(Lines!$A:$AA,ROW()-2,$K$2),""))</f>
        <v/>
      </c>
      <c r="N1606">
        <f>IF(AND(L1606&lt;&gt;"",LEFT(L1606,1)="N",M1606&lt;&gt;"PICKING",M1606&lt;&gt;""),1,0)</f>
        <v/>
      </c>
      <c r="O1606">
        <f>IF(N1606=1,M1606&amp;"|"&amp;L1606,REPT("z",40))</f>
        <v/>
      </c>
      <c r="P1606">
        <f>IF(N1606=1,COUNTIF($O$4:$O$2003,"&lt;"&amp;O1606)+1,"")</f>
        <v/>
      </c>
      <c r="Q1606">
        <f>IF(OR($R1605="",$R1605="T"),"",IF($R1605="B",$Q1605,IF($Q1605+1&gt;$K$3,"",$Q1605+1)))</f>
        <v/>
      </c>
      <c r="R1606">
        <f>IF(OR($R1605="",$R1605="T"),"",IF($R1605="B","S",IF($Q1605+1&gt;$K$3,"T",IF(INDEX($M$4:$M$2003,MATCH($Q1605+1,$P$4:$P$2003,0))&lt;&gt;INDEX($M$4:$M$2003,MATCH($Q1605,$P$4:$P$2003,0)),"B","S"))))</f>
        <v/>
      </c>
      <c r="S1606">
        <f>IF(Q1606="","",IFERROR(MATCH(Q1606,$P$4:$P$2003,0),""))</f>
        <v/>
      </c>
    </row>
    <row r="1607">
      <c r="A1607" s="4">
        <f>IF($R1607="","",IF($R1607="T","Gesamtergebnis",IF($R1607="B",INDEX($M$4:$M$2003,$S1607),INDEX($L$4:$L$2003,$S1607))))</f>
        <v/>
      </c>
      <c r="B1607" s="4">
        <f>IF($R1607="","",IF($R1607="T",$K$3,IF($R1607="B",COUNTIFS($M$4:$M$2003,INDEX($M$4:$M$2003,$S1607),$N$4:$N$2003,1),1)))</f>
        <v/>
      </c>
      <c r="L1607">
        <f>IF($K$1="","",IFERROR(INDEX(Lines!$A:$AA,ROW()-2,$K$1),""))</f>
        <v/>
      </c>
      <c r="M1607">
        <f>IF($K$2="","",IFERROR(INDEX(Lines!$A:$AA,ROW()-2,$K$2),""))</f>
        <v/>
      </c>
      <c r="N1607">
        <f>IF(AND(L1607&lt;&gt;"",LEFT(L1607,1)="N",M1607&lt;&gt;"PICKING",M1607&lt;&gt;""),1,0)</f>
        <v/>
      </c>
      <c r="O1607">
        <f>IF(N1607=1,M1607&amp;"|"&amp;L1607,REPT("z",40))</f>
        <v/>
      </c>
      <c r="P1607">
        <f>IF(N1607=1,COUNTIF($O$4:$O$2003,"&lt;"&amp;O1607)+1,"")</f>
        <v/>
      </c>
      <c r="Q1607">
        <f>IF(OR($R1606="",$R1606="T"),"",IF($R1606="B",$Q1606,IF($Q1606+1&gt;$K$3,"",$Q1606+1)))</f>
        <v/>
      </c>
      <c r="R1607">
        <f>IF(OR($R1606="",$R1606="T"),"",IF($R1606="B","S",IF($Q1606+1&gt;$K$3,"T",IF(INDEX($M$4:$M$2003,MATCH($Q1606+1,$P$4:$P$2003,0))&lt;&gt;INDEX($M$4:$M$2003,MATCH($Q1606,$P$4:$P$2003,0)),"B","S"))))</f>
        <v/>
      </c>
      <c r="S1607">
        <f>IF(Q1607="","",IFERROR(MATCH(Q1607,$P$4:$P$2003,0),""))</f>
        <v/>
      </c>
    </row>
    <row r="1608">
      <c r="A1608" s="4">
        <f>IF($R1608="","",IF($R1608="T","Gesamtergebnis",IF($R1608="B",INDEX($M$4:$M$2003,$S1608),INDEX($L$4:$L$2003,$S1608))))</f>
        <v/>
      </c>
      <c r="B1608" s="4">
        <f>IF($R1608="","",IF($R1608="T",$K$3,IF($R1608="B",COUNTIFS($M$4:$M$2003,INDEX($M$4:$M$2003,$S1608),$N$4:$N$2003,1),1)))</f>
        <v/>
      </c>
      <c r="L1608">
        <f>IF($K$1="","",IFERROR(INDEX(Lines!$A:$AA,ROW()-2,$K$1),""))</f>
        <v/>
      </c>
      <c r="M1608">
        <f>IF($K$2="","",IFERROR(INDEX(Lines!$A:$AA,ROW()-2,$K$2),""))</f>
        <v/>
      </c>
      <c r="N1608">
        <f>IF(AND(L1608&lt;&gt;"",LEFT(L1608,1)="N",M1608&lt;&gt;"PICKING",M1608&lt;&gt;""),1,0)</f>
        <v/>
      </c>
      <c r="O1608">
        <f>IF(N1608=1,M1608&amp;"|"&amp;L1608,REPT("z",40))</f>
        <v/>
      </c>
      <c r="P1608">
        <f>IF(N1608=1,COUNTIF($O$4:$O$2003,"&lt;"&amp;O1608)+1,"")</f>
        <v/>
      </c>
      <c r="Q1608">
        <f>IF(OR($R1607="",$R1607="T"),"",IF($R1607="B",$Q1607,IF($Q1607+1&gt;$K$3,"",$Q1607+1)))</f>
        <v/>
      </c>
      <c r="R1608">
        <f>IF(OR($R1607="",$R1607="T"),"",IF($R1607="B","S",IF($Q1607+1&gt;$K$3,"T",IF(INDEX($M$4:$M$2003,MATCH($Q1607+1,$P$4:$P$2003,0))&lt;&gt;INDEX($M$4:$M$2003,MATCH($Q1607,$P$4:$P$2003,0)),"B","S"))))</f>
        <v/>
      </c>
      <c r="S1608">
        <f>IF(Q1608="","",IFERROR(MATCH(Q1608,$P$4:$P$2003,0),""))</f>
        <v/>
      </c>
    </row>
    <row r="1609">
      <c r="A1609" s="4">
        <f>IF($R1609="","",IF($R1609="T","Gesamtergebnis",IF($R1609="B",INDEX($M$4:$M$2003,$S1609),INDEX($L$4:$L$2003,$S1609))))</f>
        <v/>
      </c>
      <c r="B1609" s="4">
        <f>IF($R1609="","",IF($R1609="T",$K$3,IF($R1609="B",COUNTIFS($M$4:$M$2003,INDEX($M$4:$M$2003,$S1609),$N$4:$N$2003,1),1)))</f>
        <v/>
      </c>
      <c r="L1609">
        <f>IF($K$1="","",IFERROR(INDEX(Lines!$A:$AA,ROW()-2,$K$1),""))</f>
        <v/>
      </c>
      <c r="M1609">
        <f>IF($K$2="","",IFERROR(INDEX(Lines!$A:$AA,ROW()-2,$K$2),""))</f>
        <v/>
      </c>
      <c r="N1609">
        <f>IF(AND(L1609&lt;&gt;"",LEFT(L1609,1)="N",M1609&lt;&gt;"PICKING",M1609&lt;&gt;""),1,0)</f>
        <v/>
      </c>
      <c r="O1609">
        <f>IF(N1609=1,M1609&amp;"|"&amp;L1609,REPT("z",40))</f>
        <v/>
      </c>
      <c r="P1609">
        <f>IF(N1609=1,COUNTIF($O$4:$O$2003,"&lt;"&amp;O1609)+1,"")</f>
        <v/>
      </c>
      <c r="Q1609">
        <f>IF(OR($R1608="",$R1608="T"),"",IF($R1608="B",$Q1608,IF($Q1608+1&gt;$K$3,"",$Q1608+1)))</f>
        <v/>
      </c>
      <c r="R1609">
        <f>IF(OR($R1608="",$R1608="T"),"",IF($R1608="B","S",IF($Q1608+1&gt;$K$3,"T",IF(INDEX($M$4:$M$2003,MATCH($Q1608+1,$P$4:$P$2003,0))&lt;&gt;INDEX($M$4:$M$2003,MATCH($Q1608,$P$4:$P$2003,0)),"B","S"))))</f>
        <v/>
      </c>
      <c r="S1609">
        <f>IF(Q1609="","",IFERROR(MATCH(Q1609,$P$4:$P$2003,0),""))</f>
        <v/>
      </c>
    </row>
    <row r="1610">
      <c r="A1610" s="4">
        <f>IF($R1610="","",IF($R1610="T","Gesamtergebnis",IF($R1610="B",INDEX($M$4:$M$2003,$S1610),INDEX($L$4:$L$2003,$S1610))))</f>
        <v/>
      </c>
      <c r="B1610" s="4">
        <f>IF($R1610="","",IF($R1610="T",$K$3,IF($R1610="B",COUNTIFS($M$4:$M$2003,INDEX($M$4:$M$2003,$S1610),$N$4:$N$2003,1),1)))</f>
        <v/>
      </c>
      <c r="L1610">
        <f>IF($K$1="","",IFERROR(INDEX(Lines!$A:$AA,ROW()-2,$K$1),""))</f>
        <v/>
      </c>
      <c r="M1610">
        <f>IF($K$2="","",IFERROR(INDEX(Lines!$A:$AA,ROW()-2,$K$2),""))</f>
        <v/>
      </c>
      <c r="N1610">
        <f>IF(AND(L1610&lt;&gt;"",LEFT(L1610,1)="N",M1610&lt;&gt;"PICKING",M1610&lt;&gt;""),1,0)</f>
        <v/>
      </c>
      <c r="O1610">
        <f>IF(N1610=1,M1610&amp;"|"&amp;L1610,REPT("z",40))</f>
        <v/>
      </c>
      <c r="P1610">
        <f>IF(N1610=1,COUNTIF($O$4:$O$2003,"&lt;"&amp;O1610)+1,"")</f>
        <v/>
      </c>
      <c r="Q1610">
        <f>IF(OR($R1609="",$R1609="T"),"",IF($R1609="B",$Q1609,IF($Q1609+1&gt;$K$3,"",$Q1609+1)))</f>
        <v/>
      </c>
      <c r="R1610">
        <f>IF(OR($R1609="",$R1609="T"),"",IF($R1609="B","S",IF($Q1609+1&gt;$K$3,"T",IF(INDEX($M$4:$M$2003,MATCH($Q1609+1,$P$4:$P$2003,0))&lt;&gt;INDEX($M$4:$M$2003,MATCH($Q1609,$P$4:$P$2003,0)),"B","S"))))</f>
        <v/>
      </c>
      <c r="S1610">
        <f>IF(Q1610="","",IFERROR(MATCH(Q1610,$P$4:$P$2003,0),""))</f>
        <v/>
      </c>
    </row>
    <row r="1611">
      <c r="A1611" s="4">
        <f>IF($R1611="","",IF($R1611="T","Gesamtergebnis",IF($R1611="B",INDEX($M$4:$M$2003,$S1611),INDEX($L$4:$L$2003,$S1611))))</f>
        <v/>
      </c>
      <c r="B1611" s="4">
        <f>IF($R1611="","",IF($R1611="T",$K$3,IF($R1611="B",COUNTIFS($M$4:$M$2003,INDEX($M$4:$M$2003,$S1611),$N$4:$N$2003,1),1)))</f>
        <v/>
      </c>
      <c r="L1611">
        <f>IF($K$1="","",IFERROR(INDEX(Lines!$A:$AA,ROW()-2,$K$1),""))</f>
        <v/>
      </c>
      <c r="M1611">
        <f>IF($K$2="","",IFERROR(INDEX(Lines!$A:$AA,ROW()-2,$K$2),""))</f>
        <v/>
      </c>
      <c r="N1611">
        <f>IF(AND(L1611&lt;&gt;"",LEFT(L1611,1)="N",M1611&lt;&gt;"PICKING",M1611&lt;&gt;""),1,0)</f>
        <v/>
      </c>
      <c r="O1611">
        <f>IF(N1611=1,M1611&amp;"|"&amp;L1611,REPT("z",40))</f>
        <v/>
      </c>
      <c r="P1611">
        <f>IF(N1611=1,COUNTIF($O$4:$O$2003,"&lt;"&amp;O1611)+1,"")</f>
        <v/>
      </c>
      <c r="Q1611">
        <f>IF(OR($R1610="",$R1610="T"),"",IF($R1610="B",$Q1610,IF($Q1610+1&gt;$K$3,"",$Q1610+1)))</f>
        <v/>
      </c>
      <c r="R1611">
        <f>IF(OR($R1610="",$R1610="T"),"",IF($R1610="B","S",IF($Q1610+1&gt;$K$3,"T",IF(INDEX($M$4:$M$2003,MATCH($Q1610+1,$P$4:$P$2003,0))&lt;&gt;INDEX($M$4:$M$2003,MATCH($Q1610,$P$4:$P$2003,0)),"B","S"))))</f>
        <v/>
      </c>
      <c r="S1611">
        <f>IF(Q1611="","",IFERROR(MATCH(Q1611,$P$4:$P$2003,0),""))</f>
        <v/>
      </c>
    </row>
    <row r="1612">
      <c r="A1612" s="4">
        <f>IF($R1612="","",IF($R1612="T","Gesamtergebnis",IF($R1612="B",INDEX($M$4:$M$2003,$S1612),INDEX($L$4:$L$2003,$S1612))))</f>
        <v/>
      </c>
      <c r="B1612" s="4">
        <f>IF($R1612="","",IF($R1612="T",$K$3,IF($R1612="B",COUNTIFS($M$4:$M$2003,INDEX($M$4:$M$2003,$S1612),$N$4:$N$2003,1),1)))</f>
        <v/>
      </c>
      <c r="L1612">
        <f>IF($K$1="","",IFERROR(INDEX(Lines!$A:$AA,ROW()-2,$K$1),""))</f>
        <v/>
      </c>
      <c r="M1612">
        <f>IF($K$2="","",IFERROR(INDEX(Lines!$A:$AA,ROW()-2,$K$2),""))</f>
        <v/>
      </c>
      <c r="N1612">
        <f>IF(AND(L1612&lt;&gt;"",LEFT(L1612,1)="N",M1612&lt;&gt;"PICKING",M1612&lt;&gt;""),1,0)</f>
        <v/>
      </c>
      <c r="O1612">
        <f>IF(N1612=1,M1612&amp;"|"&amp;L1612,REPT("z",40))</f>
        <v/>
      </c>
      <c r="P1612">
        <f>IF(N1612=1,COUNTIF($O$4:$O$2003,"&lt;"&amp;O1612)+1,"")</f>
        <v/>
      </c>
      <c r="Q1612">
        <f>IF(OR($R1611="",$R1611="T"),"",IF($R1611="B",$Q1611,IF($Q1611+1&gt;$K$3,"",$Q1611+1)))</f>
        <v/>
      </c>
      <c r="R1612">
        <f>IF(OR($R1611="",$R1611="T"),"",IF($R1611="B","S",IF($Q1611+1&gt;$K$3,"T",IF(INDEX($M$4:$M$2003,MATCH($Q1611+1,$P$4:$P$2003,0))&lt;&gt;INDEX($M$4:$M$2003,MATCH($Q1611,$P$4:$P$2003,0)),"B","S"))))</f>
        <v/>
      </c>
      <c r="S1612">
        <f>IF(Q1612="","",IFERROR(MATCH(Q1612,$P$4:$P$2003,0),""))</f>
        <v/>
      </c>
    </row>
    <row r="1613">
      <c r="A1613" s="4">
        <f>IF($R1613="","",IF($R1613="T","Gesamtergebnis",IF($R1613="B",INDEX($M$4:$M$2003,$S1613),INDEX($L$4:$L$2003,$S1613))))</f>
        <v/>
      </c>
      <c r="B1613" s="4">
        <f>IF($R1613="","",IF($R1613="T",$K$3,IF($R1613="B",COUNTIFS($M$4:$M$2003,INDEX($M$4:$M$2003,$S1613),$N$4:$N$2003,1),1)))</f>
        <v/>
      </c>
      <c r="L1613">
        <f>IF($K$1="","",IFERROR(INDEX(Lines!$A:$AA,ROW()-2,$K$1),""))</f>
        <v/>
      </c>
      <c r="M1613">
        <f>IF($K$2="","",IFERROR(INDEX(Lines!$A:$AA,ROW()-2,$K$2),""))</f>
        <v/>
      </c>
      <c r="N1613">
        <f>IF(AND(L1613&lt;&gt;"",LEFT(L1613,1)="N",M1613&lt;&gt;"PICKING",M1613&lt;&gt;""),1,0)</f>
        <v/>
      </c>
      <c r="O1613">
        <f>IF(N1613=1,M1613&amp;"|"&amp;L1613,REPT("z",40))</f>
        <v/>
      </c>
      <c r="P1613">
        <f>IF(N1613=1,COUNTIF($O$4:$O$2003,"&lt;"&amp;O1613)+1,"")</f>
        <v/>
      </c>
      <c r="Q1613">
        <f>IF(OR($R1612="",$R1612="T"),"",IF($R1612="B",$Q1612,IF($Q1612+1&gt;$K$3,"",$Q1612+1)))</f>
        <v/>
      </c>
      <c r="R1613">
        <f>IF(OR($R1612="",$R1612="T"),"",IF($R1612="B","S",IF($Q1612+1&gt;$K$3,"T",IF(INDEX($M$4:$M$2003,MATCH($Q1612+1,$P$4:$P$2003,0))&lt;&gt;INDEX($M$4:$M$2003,MATCH($Q1612,$P$4:$P$2003,0)),"B","S"))))</f>
        <v/>
      </c>
      <c r="S1613">
        <f>IF(Q1613="","",IFERROR(MATCH(Q1613,$P$4:$P$2003,0),""))</f>
        <v/>
      </c>
    </row>
    <row r="1614">
      <c r="A1614" s="4">
        <f>IF($R1614="","",IF($R1614="T","Gesamtergebnis",IF($R1614="B",INDEX($M$4:$M$2003,$S1614),INDEX($L$4:$L$2003,$S1614))))</f>
        <v/>
      </c>
      <c r="B1614" s="4">
        <f>IF($R1614="","",IF($R1614="T",$K$3,IF($R1614="B",COUNTIFS($M$4:$M$2003,INDEX($M$4:$M$2003,$S1614),$N$4:$N$2003,1),1)))</f>
        <v/>
      </c>
      <c r="L1614">
        <f>IF($K$1="","",IFERROR(INDEX(Lines!$A:$AA,ROW()-2,$K$1),""))</f>
        <v/>
      </c>
      <c r="M1614">
        <f>IF($K$2="","",IFERROR(INDEX(Lines!$A:$AA,ROW()-2,$K$2),""))</f>
        <v/>
      </c>
      <c r="N1614">
        <f>IF(AND(L1614&lt;&gt;"",LEFT(L1614,1)="N",M1614&lt;&gt;"PICKING",M1614&lt;&gt;""),1,0)</f>
        <v/>
      </c>
      <c r="O1614">
        <f>IF(N1614=1,M1614&amp;"|"&amp;L1614,REPT("z",40))</f>
        <v/>
      </c>
      <c r="P1614">
        <f>IF(N1614=1,COUNTIF($O$4:$O$2003,"&lt;"&amp;O1614)+1,"")</f>
        <v/>
      </c>
      <c r="Q1614">
        <f>IF(OR($R1613="",$R1613="T"),"",IF($R1613="B",$Q1613,IF($Q1613+1&gt;$K$3,"",$Q1613+1)))</f>
        <v/>
      </c>
      <c r="R1614">
        <f>IF(OR($R1613="",$R1613="T"),"",IF($R1613="B","S",IF($Q1613+1&gt;$K$3,"T",IF(INDEX($M$4:$M$2003,MATCH($Q1613+1,$P$4:$P$2003,0))&lt;&gt;INDEX($M$4:$M$2003,MATCH($Q1613,$P$4:$P$2003,0)),"B","S"))))</f>
        <v/>
      </c>
      <c r="S1614">
        <f>IF(Q1614="","",IFERROR(MATCH(Q1614,$P$4:$P$2003,0),""))</f>
        <v/>
      </c>
    </row>
    <row r="1615">
      <c r="A1615" s="4">
        <f>IF($R1615="","",IF($R1615="T","Gesamtergebnis",IF($R1615="B",INDEX($M$4:$M$2003,$S1615),INDEX($L$4:$L$2003,$S1615))))</f>
        <v/>
      </c>
      <c r="B1615" s="4">
        <f>IF($R1615="","",IF($R1615="T",$K$3,IF($R1615="B",COUNTIFS($M$4:$M$2003,INDEX($M$4:$M$2003,$S1615),$N$4:$N$2003,1),1)))</f>
        <v/>
      </c>
      <c r="L1615">
        <f>IF($K$1="","",IFERROR(INDEX(Lines!$A:$AA,ROW()-2,$K$1),""))</f>
        <v/>
      </c>
      <c r="M1615">
        <f>IF($K$2="","",IFERROR(INDEX(Lines!$A:$AA,ROW()-2,$K$2),""))</f>
        <v/>
      </c>
      <c r="N1615">
        <f>IF(AND(L1615&lt;&gt;"",LEFT(L1615,1)="N",M1615&lt;&gt;"PICKING",M1615&lt;&gt;""),1,0)</f>
        <v/>
      </c>
      <c r="O1615">
        <f>IF(N1615=1,M1615&amp;"|"&amp;L1615,REPT("z",40))</f>
        <v/>
      </c>
      <c r="P1615">
        <f>IF(N1615=1,COUNTIF($O$4:$O$2003,"&lt;"&amp;O1615)+1,"")</f>
        <v/>
      </c>
      <c r="Q1615">
        <f>IF(OR($R1614="",$R1614="T"),"",IF($R1614="B",$Q1614,IF($Q1614+1&gt;$K$3,"",$Q1614+1)))</f>
        <v/>
      </c>
      <c r="R1615">
        <f>IF(OR($R1614="",$R1614="T"),"",IF($R1614="B","S",IF($Q1614+1&gt;$K$3,"T",IF(INDEX($M$4:$M$2003,MATCH($Q1614+1,$P$4:$P$2003,0))&lt;&gt;INDEX($M$4:$M$2003,MATCH($Q1614,$P$4:$P$2003,0)),"B","S"))))</f>
        <v/>
      </c>
      <c r="S1615">
        <f>IF(Q1615="","",IFERROR(MATCH(Q1615,$P$4:$P$2003,0),""))</f>
        <v/>
      </c>
    </row>
    <row r="1616">
      <c r="A1616" s="4">
        <f>IF($R1616="","",IF($R1616="T","Gesamtergebnis",IF($R1616="B",INDEX($M$4:$M$2003,$S1616),INDEX($L$4:$L$2003,$S1616))))</f>
        <v/>
      </c>
      <c r="B1616" s="4">
        <f>IF($R1616="","",IF($R1616="T",$K$3,IF($R1616="B",COUNTIFS($M$4:$M$2003,INDEX($M$4:$M$2003,$S1616),$N$4:$N$2003,1),1)))</f>
        <v/>
      </c>
      <c r="L1616">
        <f>IF($K$1="","",IFERROR(INDEX(Lines!$A:$AA,ROW()-2,$K$1),""))</f>
        <v/>
      </c>
      <c r="M1616">
        <f>IF($K$2="","",IFERROR(INDEX(Lines!$A:$AA,ROW()-2,$K$2),""))</f>
        <v/>
      </c>
      <c r="N1616">
        <f>IF(AND(L1616&lt;&gt;"",LEFT(L1616,1)="N",M1616&lt;&gt;"PICKING",M1616&lt;&gt;""),1,0)</f>
        <v/>
      </c>
      <c r="O1616">
        <f>IF(N1616=1,M1616&amp;"|"&amp;L1616,REPT("z",40))</f>
        <v/>
      </c>
      <c r="P1616">
        <f>IF(N1616=1,COUNTIF($O$4:$O$2003,"&lt;"&amp;O1616)+1,"")</f>
        <v/>
      </c>
      <c r="Q1616">
        <f>IF(OR($R1615="",$R1615="T"),"",IF($R1615="B",$Q1615,IF($Q1615+1&gt;$K$3,"",$Q1615+1)))</f>
        <v/>
      </c>
      <c r="R1616">
        <f>IF(OR($R1615="",$R1615="T"),"",IF($R1615="B","S",IF($Q1615+1&gt;$K$3,"T",IF(INDEX($M$4:$M$2003,MATCH($Q1615+1,$P$4:$P$2003,0))&lt;&gt;INDEX($M$4:$M$2003,MATCH($Q1615,$P$4:$P$2003,0)),"B","S"))))</f>
        <v/>
      </c>
      <c r="S1616">
        <f>IF(Q1616="","",IFERROR(MATCH(Q1616,$P$4:$P$2003,0),""))</f>
        <v/>
      </c>
    </row>
    <row r="1617">
      <c r="A1617" s="4">
        <f>IF($R1617="","",IF($R1617="T","Gesamtergebnis",IF($R1617="B",INDEX($M$4:$M$2003,$S1617),INDEX($L$4:$L$2003,$S1617))))</f>
        <v/>
      </c>
      <c r="B1617" s="4">
        <f>IF($R1617="","",IF($R1617="T",$K$3,IF($R1617="B",COUNTIFS($M$4:$M$2003,INDEX($M$4:$M$2003,$S1617),$N$4:$N$2003,1),1)))</f>
        <v/>
      </c>
      <c r="L1617">
        <f>IF($K$1="","",IFERROR(INDEX(Lines!$A:$AA,ROW()-2,$K$1),""))</f>
        <v/>
      </c>
      <c r="M1617">
        <f>IF($K$2="","",IFERROR(INDEX(Lines!$A:$AA,ROW()-2,$K$2),""))</f>
        <v/>
      </c>
      <c r="N1617">
        <f>IF(AND(L1617&lt;&gt;"",LEFT(L1617,1)="N",M1617&lt;&gt;"PICKING",M1617&lt;&gt;""),1,0)</f>
        <v/>
      </c>
      <c r="O1617">
        <f>IF(N1617=1,M1617&amp;"|"&amp;L1617,REPT("z",40))</f>
        <v/>
      </c>
      <c r="P1617">
        <f>IF(N1617=1,COUNTIF($O$4:$O$2003,"&lt;"&amp;O1617)+1,"")</f>
        <v/>
      </c>
      <c r="Q1617">
        <f>IF(OR($R1616="",$R1616="T"),"",IF($R1616="B",$Q1616,IF($Q1616+1&gt;$K$3,"",$Q1616+1)))</f>
        <v/>
      </c>
      <c r="R1617">
        <f>IF(OR($R1616="",$R1616="T"),"",IF($R1616="B","S",IF($Q1616+1&gt;$K$3,"T",IF(INDEX($M$4:$M$2003,MATCH($Q1616+1,$P$4:$P$2003,0))&lt;&gt;INDEX($M$4:$M$2003,MATCH($Q1616,$P$4:$P$2003,0)),"B","S"))))</f>
        <v/>
      </c>
      <c r="S1617">
        <f>IF(Q1617="","",IFERROR(MATCH(Q1617,$P$4:$P$2003,0),""))</f>
        <v/>
      </c>
    </row>
    <row r="1618">
      <c r="A1618" s="4">
        <f>IF($R1618="","",IF($R1618="T","Gesamtergebnis",IF($R1618="B",INDEX($M$4:$M$2003,$S1618),INDEX($L$4:$L$2003,$S1618))))</f>
        <v/>
      </c>
      <c r="B1618" s="4">
        <f>IF($R1618="","",IF($R1618="T",$K$3,IF($R1618="B",COUNTIFS($M$4:$M$2003,INDEX($M$4:$M$2003,$S1618),$N$4:$N$2003,1),1)))</f>
        <v/>
      </c>
      <c r="L1618">
        <f>IF($K$1="","",IFERROR(INDEX(Lines!$A:$AA,ROW()-2,$K$1),""))</f>
        <v/>
      </c>
      <c r="M1618">
        <f>IF($K$2="","",IFERROR(INDEX(Lines!$A:$AA,ROW()-2,$K$2),""))</f>
        <v/>
      </c>
      <c r="N1618">
        <f>IF(AND(L1618&lt;&gt;"",LEFT(L1618,1)="N",M1618&lt;&gt;"PICKING",M1618&lt;&gt;""),1,0)</f>
        <v/>
      </c>
      <c r="O1618">
        <f>IF(N1618=1,M1618&amp;"|"&amp;L1618,REPT("z",40))</f>
        <v/>
      </c>
      <c r="P1618">
        <f>IF(N1618=1,COUNTIF($O$4:$O$2003,"&lt;"&amp;O1618)+1,"")</f>
        <v/>
      </c>
      <c r="Q1618">
        <f>IF(OR($R1617="",$R1617="T"),"",IF($R1617="B",$Q1617,IF($Q1617+1&gt;$K$3,"",$Q1617+1)))</f>
        <v/>
      </c>
      <c r="R1618">
        <f>IF(OR($R1617="",$R1617="T"),"",IF($R1617="B","S",IF($Q1617+1&gt;$K$3,"T",IF(INDEX($M$4:$M$2003,MATCH($Q1617+1,$P$4:$P$2003,0))&lt;&gt;INDEX($M$4:$M$2003,MATCH($Q1617,$P$4:$P$2003,0)),"B","S"))))</f>
        <v/>
      </c>
      <c r="S1618">
        <f>IF(Q1618="","",IFERROR(MATCH(Q1618,$P$4:$P$2003,0),""))</f>
        <v/>
      </c>
    </row>
    <row r="1619">
      <c r="A1619" s="4">
        <f>IF($R1619="","",IF($R1619="T","Gesamtergebnis",IF($R1619="B",INDEX($M$4:$M$2003,$S1619),INDEX($L$4:$L$2003,$S1619))))</f>
        <v/>
      </c>
      <c r="B1619" s="4">
        <f>IF($R1619="","",IF($R1619="T",$K$3,IF($R1619="B",COUNTIFS($M$4:$M$2003,INDEX($M$4:$M$2003,$S1619),$N$4:$N$2003,1),1)))</f>
        <v/>
      </c>
      <c r="L1619">
        <f>IF($K$1="","",IFERROR(INDEX(Lines!$A:$AA,ROW()-2,$K$1),""))</f>
        <v/>
      </c>
      <c r="M1619">
        <f>IF($K$2="","",IFERROR(INDEX(Lines!$A:$AA,ROW()-2,$K$2),""))</f>
        <v/>
      </c>
      <c r="N1619">
        <f>IF(AND(L1619&lt;&gt;"",LEFT(L1619,1)="N",M1619&lt;&gt;"PICKING",M1619&lt;&gt;""),1,0)</f>
        <v/>
      </c>
      <c r="O1619">
        <f>IF(N1619=1,M1619&amp;"|"&amp;L1619,REPT("z",40))</f>
        <v/>
      </c>
      <c r="P1619">
        <f>IF(N1619=1,COUNTIF($O$4:$O$2003,"&lt;"&amp;O1619)+1,"")</f>
        <v/>
      </c>
      <c r="Q1619">
        <f>IF(OR($R1618="",$R1618="T"),"",IF($R1618="B",$Q1618,IF($Q1618+1&gt;$K$3,"",$Q1618+1)))</f>
        <v/>
      </c>
      <c r="R1619">
        <f>IF(OR($R1618="",$R1618="T"),"",IF($R1618="B","S",IF($Q1618+1&gt;$K$3,"T",IF(INDEX($M$4:$M$2003,MATCH($Q1618+1,$P$4:$P$2003,0))&lt;&gt;INDEX($M$4:$M$2003,MATCH($Q1618,$P$4:$P$2003,0)),"B","S"))))</f>
        <v/>
      </c>
      <c r="S1619">
        <f>IF(Q1619="","",IFERROR(MATCH(Q1619,$P$4:$P$2003,0),""))</f>
        <v/>
      </c>
    </row>
    <row r="1620">
      <c r="A1620" s="4">
        <f>IF($R1620="","",IF($R1620="T","Gesamtergebnis",IF($R1620="B",INDEX($M$4:$M$2003,$S1620),INDEX($L$4:$L$2003,$S1620))))</f>
        <v/>
      </c>
      <c r="B1620" s="4">
        <f>IF($R1620="","",IF($R1620="T",$K$3,IF($R1620="B",COUNTIFS($M$4:$M$2003,INDEX($M$4:$M$2003,$S1620),$N$4:$N$2003,1),1)))</f>
        <v/>
      </c>
      <c r="L1620">
        <f>IF($K$1="","",IFERROR(INDEX(Lines!$A:$AA,ROW()-2,$K$1),""))</f>
        <v/>
      </c>
      <c r="M1620">
        <f>IF($K$2="","",IFERROR(INDEX(Lines!$A:$AA,ROW()-2,$K$2),""))</f>
        <v/>
      </c>
      <c r="N1620">
        <f>IF(AND(L1620&lt;&gt;"",LEFT(L1620,1)="N",M1620&lt;&gt;"PICKING",M1620&lt;&gt;""),1,0)</f>
        <v/>
      </c>
      <c r="O1620">
        <f>IF(N1620=1,M1620&amp;"|"&amp;L1620,REPT("z",40))</f>
        <v/>
      </c>
      <c r="P1620">
        <f>IF(N1620=1,COUNTIF($O$4:$O$2003,"&lt;"&amp;O1620)+1,"")</f>
        <v/>
      </c>
      <c r="Q1620">
        <f>IF(OR($R1619="",$R1619="T"),"",IF($R1619="B",$Q1619,IF($Q1619+1&gt;$K$3,"",$Q1619+1)))</f>
        <v/>
      </c>
      <c r="R1620">
        <f>IF(OR($R1619="",$R1619="T"),"",IF($R1619="B","S",IF($Q1619+1&gt;$K$3,"T",IF(INDEX($M$4:$M$2003,MATCH($Q1619+1,$P$4:$P$2003,0))&lt;&gt;INDEX($M$4:$M$2003,MATCH($Q1619,$P$4:$P$2003,0)),"B","S"))))</f>
        <v/>
      </c>
      <c r="S1620">
        <f>IF(Q1620="","",IFERROR(MATCH(Q1620,$P$4:$P$2003,0),""))</f>
        <v/>
      </c>
    </row>
    <row r="1621">
      <c r="A1621" s="4">
        <f>IF($R1621="","",IF($R1621="T","Gesamtergebnis",IF($R1621="B",INDEX($M$4:$M$2003,$S1621),INDEX($L$4:$L$2003,$S1621))))</f>
        <v/>
      </c>
      <c r="B1621" s="4">
        <f>IF($R1621="","",IF($R1621="T",$K$3,IF($R1621="B",COUNTIFS($M$4:$M$2003,INDEX($M$4:$M$2003,$S1621),$N$4:$N$2003,1),1)))</f>
        <v/>
      </c>
      <c r="L1621">
        <f>IF($K$1="","",IFERROR(INDEX(Lines!$A:$AA,ROW()-2,$K$1),""))</f>
        <v/>
      </c>
      <c r="M1621">
        <f>IF($K$2="","",IFERROR(INDEX(Lines!$A:$AA,ROW()-2,$K$2),""))</f>
        <v/>
      </c>
      <c r="N1621">
        <f>IF(AND(L1621&lt;&gt;"",LEFT(L1621,1)="N",M1621&lt;&gt;"PICKING",M1621&lt;&gt;""),1,0)</f>
        <v/>
      </c>
      <c r="O1621">
        <f>IF(N1621=1,M1621&amp;"|"&amp;L1621,REPT("z",40))</f>
        <v/>
      </c>
      <c r="P1621">
        <f>IF(N1621=1,COUNTIF($O$4:$O$2003,"&lt;"&amp;O1621)+1,"")</f>
        <v/>
      </c>
      <c r="Q1621">
        <f>IF(OR($R1620="",$R1620="T"),"",IF($R1620="B",$Q1620,IF($Q1620+1&gt;$K$3,"",$Q1620+1)))</f>
        <v/>
      </c>
      <c r="R1621">
        <f>IF(OR($R1620="",$R1620="T"),"",IF($R1620="B","S",IF($Q1620+1&gt;$K$3,"T",IF(INDEX($M$4:$M$2003,MATCH($Q1620+1,$P$4:$P$2003,0))&lt;&gt;INDEX($M$4:$M$2003,MATCH($Q1620,$P$4:$P$2003,0)),"B","S"))))</f>
        <v/>
      </c>
      <c r="S1621">
        <f>IF(Q1621="","",IFERROR(MATCH(Q1621,$P$4:$P$2003,0),""))</f>
        <v/>
      </c>
    </row>
    <row r="1622">
      <c r="A1622" s="4">
        <f>IF($R1622="","",IF($R1622="T","Gesamtergebnis",IF($R1622="B",INDEX($M$4:$M$2003,$S1622),INDEX($L$4:$L$2003,$S1622))))</f>
        <v/>
      </c>
      <c r="B1622" s="4">
        <f>IF($R1622="","",IF($R1622="T",$K$3,IF($R1622="B",COUNTIFS($M$4:$M$2003,INDEX($M$4:$M$2003,$S1622),$N$4:$N$2003,1),1)))</f>
        <v/>
      </c>
      <c r="L1622">
        <f>IF($K$1="","",IFERROR(INDEX(Lines!$A:$AA,ROW()-2,$K$1),""))</f>
        <v/>
      </c>
      <c r="M1622">
        <f>IF($K$2="","",IFERROR(INDEX(Lines!$A:$AA,ROW()-2,$K$2),""))</f>
        <v/>
      </c>
      <c r="N1622">
        <f>IF(AND(L1622&lt;&gt;"",LEFT(L1622,1)="N",M1622&lt;&gt;"PICKING",M1622&lt;&gt;""),1,0)</f>
        <v/>
      </c>
      <c r="O1622">
        <f>IF(N1622=1,M1622&amp;"|"&amp;L1622,REPT("z",40))</f>
        <v/>
      </c>
      <c r="P1622">
        <f>IF(N1622=1,COUNTIF($O$4:$O$2003,"&lt;"&amp;O1622)+1,"")</f>
        <v/>
      </c>
      <c r="Q1622">
        <f>IF(OR($R1621="",$R1621="T"),"",IF($R1621="B",$Q1621,IF($Q1621+1&gt;$K$3,"",$Q1621+1)))</f>
        <v/>
      </c>
      <c r="R1622">
        <f>IF(OR($R1621="",$R1621="T"),"",IF($R1621="B","S",IF($Q1621+1&gt;$K$3,"T",IF(INDEX($M$4:$M$2003,MATCH($Q1621+1,$P$4:$P$2003,0))&lt;&gt;INDEX($M$4:$M$2003,MATCH($Q1621,$P$4:$P$2003,0)),"B","S"))))</f>
        <v/>
      </c>
      <c r="S1622">
        <f>IF(Q1622="","",IFERROR(MATCH(Q1622,$P$4:$P$2003,0),""))</f>
        <v/>
      </c>
    </row>
    <row r="1623">
      <c r="A1623" s="4">
        <f>IF($R1623="","",IF($R1623="T","Gesamtergebnis",IF($R1623="B",INDEX($M$4:$M$2003,$S1623),INDEX($L$4:$L$2003,$S1623))))</f>
        <v/>
      </c>
      <c r="B1623" s="4">
        <f>IF($R1623="","",IF($R1623="T",$K$3,IF($R1623="B",COUNTIFS($M$4:$M$2003,INDEX($M$4:$M$2003,$S1623),$N$4:$N$2003,1),1)))</f>
        <v/>
      </c>
      <c r="L1623">
        <f>IF($K$1="","",IFERROR(INDEX(Lines!$A:$AA,ROW()-2,$K$1),""))</f>
        <v/>
      </c>
      <c r="M1623">
        <f>IF($K$2="","",IFERROR(INDEX(Lines!$A:$AA,ROW()-2,$K$2),""))</f>
        <v/>
      </c>
      <c r="N1623">
        <f>IF(AND(L1623&lt;&gt;"",LEFT(L1623,1)="N",M1623&lt;&gt;"PICKING",M1623&lt;&gt;""),1,0)</f>
        <v/>
      </c>
      <c r="O1623">
        <f>IF(N1623=1,M1623&amp;"|"&amp;L1623,REPT("z",40))</f>
        <v/>
      </c>
      <c r="P1623">
        <f>IF(N1623=1,COUNTIF($O$4:$O$2003,"&lt;"&amp;O1623)+1,"")</f>
        <v/>
      </c>
      <c r="Q1623">
        <f>IF(OR($R1622="",$R1622="T"),"",IF($R1622="B",$Q1622,IF($Q1622+1&gt;$K$3,"",$Q1622+1)))</f>
        <v/>
      </c>
      <c r="R1623">
        <f>IF(OR($R1622="",$R1622="T"),"",IF($R1622="B","S",IF($Q1622+1&gt;$K$3,"T",IF(INDEX($M$4:$M$2003,MATCH($Q1622+1,$P$4:$P$2003,0))&lt;&gt;INDEX($M$4:$M$2003,MATCH($Q1622,$P$4:$P$2003,0)),"B","S"))))</f>
        <v/>
      </c>
      <c r="S1623">
        <f>IF(Q1623="","",IFERROR(MATCH(Q1623,$P$4:$P$2003,0),""))</f>
        <v/>
      </c>
    </row>
    <row r="1624">
      <c r="A1624" s="4">
        <f>IF($R1624="","",IF($R1624="T","Gesamtergebnis",IF($R1624="B",INDEX($M$4:$M$2003,$S1624),INDEX($L$4:$L$2003,$S1624))))</f>
        <v/>
      </c>
      <c r="B1624" s="4">
        <f>IF($R1624="","",IF($R1624="T",$K$3,IF($R1624="B",COUNTIFS($M$4:$M$2003,INDEX($M$4:$M$2003,$S1624),$N$4:$N$2003,1),1)))</f>
        <v/>
      </c>
      <c r="L1624">
        <f>IF($K$1="","",IFERROR(INDEX(Lines!$A:$AA,ROW()-2,$K$1),""))</f>
        <v/>
      </c>
      <c r="M1624">
        <f>IF($K$2="","",IFERROR(INDEX(Lines!$A:$AA,ROW()-2,$K$2),""))</f>
        <v/>
      </c>
      <c r="N1624">
        <f>IF(AND(L1624&lt;&gt;"",LEFT(L1624,1)="N",M1624&lt;&gt;"PICKING",M1624&lt;&gt;""),1,0)</f>
        <v/>
      </c>
      <c r="O1624">
        <f>IF(N1624=1,M1624&amp;"|"&amp;L1624,REPT("z",40))</f>
        <v/>
      </c>
      <c r="P1624">
        <f>IF(N1624=1,COUNTIF($O$4:$O$2003,"&lt;"&amp;O1624)+1,"")</f>
        <v/>
      </c>
      <c r="Q1624">
        <f>IF(OR($R1623="",$R1623="T"),"",IF($R1623="B",$Q1623,IF($Q1623+1&gt;$K$3,"",$Q1623+1)))</f>
        <v/>
      </c>
      <c r="R1624">
        <f>IF(OR($R1623="",$R1623="T"),"",IF($R1623="B","S",IF($Q1623+1&gt;$K$3,"T",IF(INDEX($M$4:$M$2003,MATCH($Q1623+1,$P$4:$P$2003,0))&lt;&gt;INDEX($M$4:$M$2003,MATCH($Q1623,$P$4:$P$2003,0)),"B","S"))))</f>
        <v/>
      </c>
      <c r="S1624">
        <f>IF(Q1624="","",IFERROR(MATCH(Q1624,$P$4:$P$2003,0),""))</f>
        <v/>
      </c>
    </row>
    <row r="1625">
      <c r="A1625" s="4">
        <f>IF($R1625="","",IF($R1625="T","Gesamtergebnis",IF($R1625="B",INDEX($M$4:$M$2003,$S1625),INDEX($L$4:$L$2003,$S1625))))</f>
        <v/>
      </c>
      <c r="B1625" s="4">
        <f>IF($R1625="","",IF($R1625="T",$K$3,IF($R1625="B",COUNTIFS($M$4:$M$2003,INDEX($M$4:$M$2003,$S1625),$N$4:$N$2003,1),1)))</f>
        <v/>
      </c>
      <c r="L1625">
        <f>IF($K$1="","",IFERROR(INDEX(Lines!$A:$AA,ROW()-2,$K$1),""))</f>
        <v/>
      </c>
      <c r="M1625">
        <f>IF($K$2="","",IFERROR(INDEX(Lines!$A:$AA,ROW()-2,$K$2),""))</f>
        <v/>
      </c>
      <c r="N1625">
        <f>IF(AND(L1625&lt;&gt;"",LEFT(L1625,1)="N",M1625&lt;&gt;"PICKING",M1625&lt;&gt;""),1,0)</f>
        <v/>
      </c>
      <c r="O1625">
        <f>IF(N1625=1,M1625&amp;"|"&amp;L1625,REPT("z",40))</f>
        <v/>
      </c>
      <c r="P1625">
        <f>IF(N1625=1,COUNTIF($O$4:$O$2003,"&lt;"&amp;O1625)+1,"")</f>
        <v/>
      </c>
      <c r="Q1625">
        <f>IF(OR($R1624="",$R1624="T"),"",IF($R1624="B",$Q1624,IF($Q1624+1&gt;$K$3,"",$Q1624+1)))</f>
        <v/>
      </c>
      <c r="R1625">
        <f>IF(OR($R1624="",$R1624="T"),"",IF($R1624="B","S",IF($Q1624+1&gt;$K$3,"T",IF(INDEX($M$4:$M$2003,MATCH($Q1624+1,$P$4:$P$2003,0))&lt;&gt;INDEX($M$4:$M$2003,MATCH($Q1624,$P$4:$P$2003,0)),"B","S"))))</f>
        <v/>
      </c>
      <c r="S1625">
        <f>IF(Q1625="","",IFERROR(MATCH(Q1625,$P$4:$P$2003,0),""))</f>
        <v/>
      </c>
    </row>
    <row r="1626">
      <c r="A1626" s="4">
        <f>IF($R1626="","",IF($R1626="T","Gesamtergebnis",IF($R1626="B",INDEX($M$4:$M$2003,$S1626),INDEX($L$4:$L$2003,$S1626))))</f>
        <v/>
      </c>
      <c r="B1626" s="4">
        <f>IF($R1626="","",IF($R1626="T",$K$3,IF($R1626="B",COUNTIFS($M$4:$M$2003,INDEX($M$4:$M$2003,$S1626),$N$4:$N$2003,1),1)))</f>
        <v/>
      </c>
      <c r="L1626">
        <f>IF($K$1="","",IFERROR(INDEX(Lines!$A:$AA,ROW()-2,$K$1),""))</f>
        <v/>
      </c>
      <c r="M1626">
        <f>IF($K$2="","",IFERROR(INDEX(Lines!$A:$AA,ROW()-2,$K$2),""))</f>
        <v/>
      </c>
      <c r="N1626">
        <f>IF(AND(L1626&lt;&gt;"",LEFT(L1626,1)="N",M1626&lt;&gt;"PICKING",M1626&lt;&gt;""),1,0)</f>
        <v/>
      </c>
      <c r="O1626">
        <f>IF(N1626=1,M1626&amp;"|"&amp;L1626,REPT("z",40))</f>
        <v/>
      </c>
      <c r="P1626">
        <f>IF(N1626=1,COUNTIF($O$4:$O$2003,"&lt;"&amp;O1626)+1,"")</f>
        <v/>
      </c>
      <c r="Q1626">
        <f>IF(OR($R1625="",$R1625="T"),"",IF($R1625="B",$Q1625,IF($Q1625+1&gt;$K$3,"",$Q1625+1)))</f>
        <v/>
      </c>
      <c r="R1626">
        <f>IF(OR($R1625="",$R1625="T"),"",IF($R1625="B","S",IF($Q1625+1&gt;$K$3,"T",IF(INDEX($M$4:$M$2003,MATCH($Q1625+1,$P$4:$P$2003,0))&lt;&gt;INDEX($M$4:$M$2003,MATCH($Q1625,$P$4:$P$2003,0)),"B","S"))))</f>
        <v/>
      </c>
      <c r="S1626">
        <f>IF(Q1626="","",IFERROR(MATCH(Q1626,$P$4:$P$2003,0),""))</f>
        <v/>
      </c>
    </row>
    <row r="1627">
      <c r="A1627" s="4">
        <f>IF($R1627="","",IF($R1627="T","Gesamtergebnis",IF($R1627="B",INDEX($M$4:$M$2003,$S1627),INDEX($L$4:$L$2003,$S1627))))</f>
        <v/>
      </c>
      <c r="B1627" s="4">
        <f>IF($R1627="","",IF($R1627="T",$K$3,IF($R1627="B",COUNTIFS($M$4:$M$2003,INDEX($M$4:$M$2003,$S1627),$N$4:$N$2003,1),1)))</f>
        <v/>
      </c>
      <c r="L1627">
        <f>IF($K$1="","",IFERROR(INDEX(Lines!$A:$AA,ROW()-2,$K$1),""))</f>
        <v/>
      </c>
      <c r="M1627">
        <f>IF($K$2="","",IFERROR(INDEX(Lines!$A:$AA,ROW()-2,$K$2),""))</f>
        <v/>
      </c>
      <c r="N1627">
        <f>IF(AND(L1627&lt;&gt;"",LEFT(L1627,1)="N",M1627&lt;&gt;"PICKING",M1627&lt;&gt;""),1,0)</f>
        <v/>
      </c>
      <c r="O1627">
        <f>IF(N1627=1,M1627&amp;"|"&amp;L1627,REPT("z",40))</f>
        <v/>
      </c>
      <c r="P1627">
        <f>IF(N1627=1,COUNTIF($O$4:$O$2003,"&lt;"&amp;O1627)+1,"")</f>
        <v/>
      </c>
      <c r="Q1627">
        <f>IF(OR($R1626="",$R1626="T"),"",IF($R1626="B",$Q1626,IF($Q1626+1&gt;$K$3,"",$Q1626+1)))</f>
        <v/>
      </c>
      <c r="R1627">
        <f>IF(OR($R1626="",$R1626="T"),"",IF($R1626="B","S",IF($Q1626+1&gt;$K$3,"T",IF(INDEX($M$4:$M$2003,MATCH($Q1626+1,$P$4:$P$2003,0))&lt;&gt;INDEX($M$4:$M$2003,MATCH($Q1626,$P$4:$P$2003,0)),"B","S"))))</f>
        <v/>
      </c>
      <c r="S1627">
        <f>IF(Q1627="","",IFERROR(MATCH(Q1627,$P$4:$P$2003,0),""))</f>
        <v/>
      </c>
    </row>
    <row r="1628">
      <c r="A1628" s="4">
        <f>IF($R1628="","",IF($R1628="T","Gesamtergebnis",IF($R1628="B",INDEX($M$4:$M$2003,$S1628),INDEX($L$4:$L$2003,$S1628))))</f>
        <v/>
      </c>
      <c r="B1628" s="4">
        <f>IF($R1628="","",IF($R1628="T",$K$3,IF($R1628="B",COUNTIFS($M$4:$M$2003,INDEX($M$4:$M$2003,$S1628),$N$4:$N$2003,1),1)))</f>
        <v/>
      </c>
      <c r="L1628">
        <f>IF($K$1="","",IFERROR(INDEX(Lines!$A:$AA,ROW()-2,$K$1),""))</f>
        <v/>
      </c>
      <c r="M1628">
        <f>IF($K$2="","",IFERROR(INDEX(Lines!$A:$AA,ROW()-2,$K$2),""))</f>
        <v/>
      </c>
      <c r="N1628">
        <f>IF(AND(L1628&lt;&gt;"",LEFT(L1628,1)="N",M1628&lt;&gt;"PICKING",M1628&lt;&gt;""),1,0)</f>
        <v/>
      </c>
      <c r="O1628">
        <f>IF(N1628=1,M1628&amp;"|"&amp;L1628,REPT("z",40))</f>
        <v/>
      </c>
      <c r="P1628">
        <f>IF(N1628=1,COUNTIF($O$4:$O$2003,"&lt;"&amp;O1628)+1,"")</f>
        <v/>
      </c>
      <c r="Q1628">
        <f>IF(OR($R1627="",$R1627="T"),"",IF($R1627="B",$Q1627,IF($Q1627+1&gt;$K$3,"",$Q1627+1)))</f>
        <v/>
      </c>
      <c r="R1628">
        <f>IF(OR($R1627="",$R1627="T"),"",IF($R1627="B","S",IF($Q1627+1&gt;$K$3,"T",IF(INDEX($M$4:$M$2003,MATCH($Q1627+1,$P$4:$P$2003,0))&lt;&gt;INDEX($M$4:$M$2003,MATCH($Q1627,$P$4:$P$2003,0)),"B","S"))))</f>
        <v/>
      </c>
      <c r="S1628">
        <f>IF(Q1628="","",IFERROR(MATCH(Q1628,$P$4:$P$2003,0),""))</f>
        <v/>
      </c>
    </row>
    <row r="1629">
      <c r="A1629" s="4">
        <f>IF($R1629="","",IF($R1629="T","Gesamtergebnis",IF($R1629="B",INDEX($M$4:$M$2003,$S1629),INDEX($L$4:$L$2003,$S1629))))</f>
        <v/>
      </c>
      <c r="B1629" s="4">
        <f>IF($R1629="","",IF($R1629="T",$K$3,IF($R1629="B",COUNTIFS($M$4:$M$2003,INDEX($M$4:$M$2003,$S1629),$N$4:$N$2003,1),1)))</f>
        <v/>
      </c>
      <c r="L1629">
        <f>IF($K$1="","",IFERROR(INDEX(Lines!$A:$AA,ROW()-2,$K$1),""))</f>
        <v/>
      </c>
      <c r="M1629">
        <f>IF($K$2="","",IFERROR(INDEX(Lines!$A:$AA,ROW()-2,$K$2),""))</f>
        <v/>
      </c>
      <c r="N1629">
        <f>IF(AND(L1629&lt;&gt;"",LEFT(L1629,1)="N",M1629&lt;&gt;"PICKING",M1629&lt;&gt;""),1,0)</f>
        <v/>
      </c>
      <c r="O1629">
        <f>IF(N1629=1,M1629&amp;"|"&amp;L1629,REPT("z",40))</f>
        <v/>
      </c>
      <c r="P1629">
        <f>IF(N1629=1,COUNTIF($O$4:$O$2003,"&lt;"&amp;O1629)+1,"")</f>
        <v/>
      </c>
      <c r="Q1629">
        <f>IF(OR($R1628="",$R1628="T"),"",IF($R1628="B",$Q1628,IF($Q1628+1&gt;$K$3,"",$Q1628+1)))</f>
        <v/>
      </c>
      <c r="R1629">
        <f>IF(OR($R1628="",$R1628="T"),"",IF($R1628="B","S",IF($Q1628+1&gt;$K$3,"T",IF(INDEX($M$4:$M$2003,MATCH($Q1628+1,$P$4:$P$2003,0))&lt;&gt;INDEX($M$4:$M$2003,MATCH($Q1628,$P$4:$P$2003,0)),"B","S"))))</f>
        <v/>
      </c>
      <c r="S1629">
        <f>IF(Q1629="","",IFERROR(MATCH(Q1629,$P$4:$P$2003,0),""))</f>
        <v/>
      </c>
    </row>
    <row r="1630">
      <c r="A1630" s="4">
        <f>IF($R1630="","",IF($R1630="T","Gesamtergebnis",IF($R1630="B",INDEX($M$4:$M$2003,$S1630),INDEX($L$4:$L$2003,$S1630))))</f>
        <v/>
      </c>
      <c r="B1630" s="4">
        <f>IF($R1630="","",IF($R1630="T",$K$3,IF($R1630="B",COUNTIFS($M$4:$M$2003,INDEX($M$4:$M$2003,$S1630),$N$4:$N$2003,1),1)))</f>
        <v/>
      </c>
      <c r="L1630">
        <f>IF($K$1="","",IFERROR(INDEX(Lines!$A:$AA,ROW()-2,$K$1),""))</f>
        <v/>
      </c>
      <c r="M1630">
        <f>IF($K$2="","",IFERROR(INDEX(Lines!$A:$AA,ROW()-2,$K$2),""))</f>
        <v/>
      </c>
      <c r="N1630">
        <f>IF(AND(L1630&lt;&gt;"",LEFT(L1630,1)="N",M1630&lt;&gt;"PICKING",M1630&lt;&gt;""),1,0)</f>
        <v/>
      </c>
      <c r="O1630">
        <f>IF(N1630=1,M1630&amp;"|"&amp;L1630,REPT("z",40))</f>
        <v/>
      </c>
      <c r="P1630">
        <f>IF(N1630=1,COUNTIF($O$4:$O$2003,"&lt;"&amp;O1630)+1,"")</f>
        <v/>
      </c>
      <c r="Q1630">
        <f>IF(OR($R1629="",$R1629="T"),"",IF($R1629="B",$Q1629,IF($Q1629+1&gt;$K$3,"",$Q1629+1)))</f>
        <v/>
      </c>
      <c r="R1630">
        <f>IF(OR($R1629="",$R1629="T"),"",IF($R1629="B","S",IF($Q1629+1&gt;$K$3,"T",IF(INDEX($M$4:$M$2003,MATCH($Q1629+1,$P$4:$P$2003,0))&lt;&gt;INDEX($M$4:$M$2003,MATCH($Q1629,$P$4:$P$2003,0)),"B","S"))))</f>
        <v/>
      </c>
      <c r="S1630">
        <f>IF(Q1630="","",IFERROR(MATCH(Q1630,$P$4:$P$2003,0),""))</f>
        <v/>
      </c>
    </row>
    <row r="1631">
      <c r="A1631" s="4">
        <f>IF($R1631="","",IF($R1631="T","Gesamtergebnis",IF($R1631="B",INDEX($M$4:$M$2003,$S1631),INDEX($L$4:$L$2003,$S1631))))</f>
        <v/>
      </c>
      <c r="B1631" s="4">
        <f>IF($R1631="","",IF($R1631="T",$K$3,IF($R1631="B",COUNTIFS($M$4:$M$2003,INDEX($M$4:$M$2003,$S1631),$N$4:$N$2003,1),1)))</f>
        <v/>
      </c>
      <c r="L1631">
        <f>IF($K$1="","",IFERROR(INDEX(Lines!$A:$AA,ROW()-2,$K$1),""))</f>
        <v/>
      </c>
      <c r="M1631">
        <f>IF($K$2="","",IFERROR(INDEX(Lines!$A:$AA,ROW()-2,$K$2),""))</f>
        <v/>
      </c>
      <c r="N1631">
        <f>IF(AND(L1631&lt;&gt;"",LEFT(L1631,1)="N",M1631&lt;&gt;"PICKING",M1631&lt;&gt;""),1,0)</f>
        <v/>
      </c>
      <c r="O1631">
        <f>IF(N1631=1,M1631&amp;"|"&amp;L1631,REPT("z",40))</f>
        <v/>
      </c>
      <c r="P1631">
        <f>IF(N1631=1,COUNTIF($O$4:$O$2003,"&lt;"&amp;O1631)+1,"")</f>
        <v/>
      </c>
      <c r="Q1631">
        <f>IF(OR($R1630="",$R1630="T"),"",IF($R1630="B",$Q1630,IF($Q1630+1&gt;$K$3,"",$Q1630+1)))</f>
        <v/>
      </c>
      <c r="R1631">
        <f>IF(OR($R1630="",$R1630="T"),"",IF($R1630="B","S",IF($Q1630+1&gt;$K$3,"T",IF(INDEX($M$4:$M$2003,MATCH($Q1630+1,$P$4:$P$2003,0))&lt;&gt;INDEX($M$4:$M$2003,MATCH($Q1630,$P$4:$P$2003,0)),"B","S"))))</f>
        <v/>
      </c>
      <c r="S1631">
        <f>IF(Q1631="","",IFERROR(MATCH(Q1631,$P$4:$P$2003,0),""))</f>
        <v/>
      </c>
    </row>
    <row r="1632">
      <c r="A1632" s="4">
        <f>IF($R1632="","",IF($R1632="T","Gesamtergebnis",IF($R1632="B",INDEX($M$4:$M$2003,$S1632),INDEX($L$4:$L$2003,$S1632))))</f>
        <v/>
      </c>
      <c r="B1632" s="4">
        <f>IF($R1632="","",IF($R1632="T",$K$3,IF($R1632="B",COUNTIFS($M$4:$M$2003,INDEX($M$4:$M$2003,$S1632),$N$4:$N$2003,1),1)))</f>
        <v/>
      </c>
      <c r="L1632">
        <f>IF($K$1="","",IFERROR(INDEX(Lines!$A:$AA,ROW()-2,$K$1),""))</f>
        <v/>
      </c>
      <c r="M1632">
        <f>IF($K$2="","",IFERROR(INDEX(Lines!$A:$AA,ROW()-2,$K$2),""))</f>
        <v/>
      </c>
      <c r="N1632">
        <f>IF(AND(L1632&lt;&gt;"",LEFT(L1632,1)="N",M1632&lt;&gt;"PICKING",M1632&lt;&gt;""),1,0)</f>
        <v/>
      </c>
      <c r="O1632">
        <f>IF(N1632=1,M1632&amp;"|"&amp;L1632,REPT("z",40))</f>
        <v/>
      </c>
      <c r="P1632">
        <f>IF(N1632=1,COUNTIF($O$4:$O$2003,"&lt;"&amp;O1632)+1,"")</f>
        <v/>
      </c>
      <c r="Q1632">
        <f>IF(OR($R1631="",$R1631="T"),"",IF($R1631="B",$Q1631,IF($Q1631+1&gt;$K$3,"",$Q1631+1)))</f>
        <v/>
      </c>
      <c r="R1632">
        <f>IF(OR($R1631="",$R1631="T"),"",IF($R1631="B","S",IF($Q1631+1&gt;$K$3,"T",IF(INDEX($M$4:$M$2003,MATCH($Q1631+1,$P$4:$P$2003,0))&lt;&gt;INDEX($M$4:$M$2003,MATCH($Q1631,$P$4:$P$2003,0)),"B","S"))))</f>
        <v/>
      </c>
      <c r="S1632">
        <f>IF(Q1632="","",IFERROR(MATCH(Q1632,$P$4:$P$2003,0),""))</f>
        <v/>
      </c>
    </row>
    <row r="1633">
      <c r="A1633" s="4">
        <f>IF($R1633="","",IF($R1633="T","Gesamtergebnis",IF($R1633="B",INDEX($M$4:$M$2003,$S1633),INDEX($L$4:$L$2003,$S1633))))</f>
        <v/>
      </c>
      <c r="B1633" s="4">
        <f>IF($R1633="","",IF($R1633="T",$K$3,IF($R1633="B",COUNTIFS($M$4:$M$2003,INDEX($M$4:$M$2003,$S1633),$N$4:$N$2003,1),1)))</f>
        <v/>
      </c>
      <c r="L1633">
        <f>IF($K$1="","",IFERROR(INDEX(Lines!$A:$AA,ROW()-2,$K$1),""))</f>
        <v/>
      </c>
      <c r="M1633">
        <f>IF($K$2="","",IFERROR(INDEX(Lines!$A:$AA,ROW()-2,$K$2),""))</f>
        <v/>
      </c>
      <c r="N1633">
        <f>IF(AND(L1633&lt;&gt;"",LEFT(L1633,1)="N",M1633&lt;&gt;"PICKING",M1633&lt;&gt;""),1,0)</f>
        <v/>
      </c>
      <c r="O1633">
        <f>IF(N1633=1,M1633&amp;"|"&amp;L1633,REPT("z",40))</f>
        <v/>
      </c>
      <c r="P1633">
        <f>IF(N1633=1,COUNTIF($O$4:$O$2003,"&lt;"&amp;O1633)+1,"")</f>
        <v/>
      </c>
      <c r="Q1633">
        <f>IF(OR($R1632="",$R1632="T"),"",IF($R1632="B",$Q1632,IF($Q1632+1&gt;$K$3,"",$Q1632+1)))</f>
        <v/>
      </c>
      <c r="R1633">
        <f>IF(OR($R1632="",$R1632="T"),"",IF($R1632="B","S",IF($Q1632+1&gt;$K$3,"T",IF(INDEX($M$4:$M$2003,MATCH($Q1632+1,$P$4:$P$2003,0))&lt;&gt;INDEX($M$4:$M$2003,MATCH($Q1632,$P$4:$P$2003,0)),"B","S"))))</f>
        <v/>
      </c>
      <c r="S1633">
        <f>IF(Q1633="","",IFERROR(MATCH(Q1633,$P$4:$P$2003,0),""))</f>
        <v/>
      </c>
    </row>
    <row r="1634">
      <c r="A1634" s="4">
        <f>IF($R1634="","",IF($R1634="T","Gesamtergebnis",IF($R1634="B",INDEX($M$4:$M$2003,$S1634),INDEX($L$4:$L$2003,$S1634))))</f>
        <v/>
      </c>
      <c r="B1634" s="4">
        <f>IF($R1634="","",IF($R1634="T",$K$3,IF($R1634="B",COUNTIFS($M$4:$M$2003,INDEX($M$4:$M$2003,$S1634),$N$4:$N$2003,1),1)))</f>
        <v/>
      </c>
      <c r="L1634">
        <f>IF($K$1="","",IFERROR(INDEX(Lines!$A:$AA,ROW()-2,$K$1),""))</f>
        <v/>
      </c>
      <c r="M1634">
        <f>IF($K$2="","",IFERROR(INDEX(Lines!$A:$AA,ROW()-2,$K$2),""))</f>
        <v/>
      </c>
      <c r="N1634">
        <f>IF(AND(L1634&lt;&gt;"",LEFT(L1634,1)="N",M1634&lt;&gt;"PICKING",M1634&lt;&gt;""),1,0)</f>
        <v/>
      </c>
      <c r="O1634">
        <f>IF(N1634=1,M1634&amp;"|"&amp;L1634,REPT("z",40))</f>
        <v/>
      </c>
      <c r="P1634">
        <f>IF(N1634=1,COUNTIF($O$4:$O$2003,"&lt;"&amp;O1634)+1,"")</f>
        <v/>
      </c>
      <c r="Q1634">
        <f>IF(OR($R1633="",$R1633="T"),"",IF($R1633="B",$Q1633,IF($Q1633+1&gt;$K$3,"",$Q1633+1)))</f>
        <v/>
      </c>
      <c r="R1634">
        <f>IF(OR($R1633="",$R1633="T"),"",IF($R1633="B","S",IF($Q1633+1&gt;$K$3,"T",IF(INDEX($M$4:$M$2003,MATCH($Q1633+1,$P$4:$P$2003,0))&lt;&gt;INDEX($M$4:$M$2003,MATCH($Q1633,$P$4:$P$2003,0)),"B","S"))))</f>
        <v/>
      </c>
      <c r="S1634">
        <f>IF(Q1634="","",IFERROR(MATCH(Q1634,$P$4:$P$2003,0),""))</f>
        <v/>
      </c>
    </row>
    <row r="1635">
      <c r="A1635" s="4">
        <f>IF($R1635="","",IF($R1635="T","Gesamtergebnis",IF($R1635="B",INDEX($M$4:$M$2003,$S1635),INDEX($L$4:$L$2003,$S1635))))</f>
        <v/>
      </c>
      <c r="B1635" s="4">
        <f>IF($R1635="","",IF($R1635="T",$K$3,IF($R1635="B",COUNTIFS($M$4:$M$2003,INDEX($M$4:$M$2003,$S1635),$N$4:$N$2003,1),1)))</f>
        <v/>
      </c>
      <c r="L1635">
        <f>IF($K$1="","",IFERROR(INDEX(Lines!$A:$AA,ROW()-2,$K$1),""))</f>
        <v/>
      </c>
      <c r="M1635">
        <f>IF($K$2="","",IFERROR(INDEX(Lines!$A:$AA,ROW()-2,$K$2),""))</f>
        <v/>
      </c>
      <c r="N1635">
        <f>IF(AND(L1635&lt;&gt;"",LEFT(L1635,1)="N",M1635&lt;&gt;"PICKING",M1635&lt;&gt;""),1,0)</f>
        <v/>
      </c>
      <c r="O1635">
        <f>IF(N1635=1,M1635&amp;"|"&amp;L1635,REPT("z",40))</f>
        <v/>
      </c>
      <c r="P1635">
        <f>IF(N1635=1,COUNTIF($O$4:$O$2003,"&lt;"&amp;O1635)+1,"")</f>
        <v/>
      </c>
      <c r="Q1635">
        <f>IF(OR($R1634="",$R1634="T"),"",IF($R1634="B",$Q1634,IF($Q1634+1&gt;$K$3,"",$Q1634+1)))</f>
        <v/>
      </c>
      <c r="R1635">
        <f>IF(OR($R1634="",$R1634="T"),"",IF($R1634="B","S",IF($Q1634+1&gt;$K$3,"T",IF(INDEX($M$4:$M$2003,MATCH($Q1634+1,$P$4:$P$2003,0))&lt;&gt;INDEX($M$4:$M$2003,MATCH($Q1634,$P$4:$P$2003,0)),"B","S"))))</f>
        <v/>
      </c>
      <c r="S1635">
        <f>IF(Q1635="","",IFERROR(MATCH(Q1635,$P$4:$P$2003,0),""))</f>
        <v/>
      </c>
    </row>
    <row r="1636">
      <c r="A1636" s="4">
        <f>IF($R1636="","",IF($R1636="T","Gesamtergebnis",IF($R1636="B",INDEX($M$4:$M$2003,$S1636),INDEX($L$4:$L$2003,$S1636))))</f>
        <v/>
      </c>
      <c r="B1636" s="4">
        <f>IF($R1636="","",IF($R1636="T",$K$3,IF($R1636="B",COUNTIFS($M$4:$M$2003,INDEX($M$4:$M$2003,$S1636),$N$4:$N$2003,1),1)))</f>
        <v/>
      </c>
      <c r="L1636">
        <f>IF($K$1="","",IFERROR(INDEX(Lines!$A:$AA,ROW()-2,$K$1),""))</f>
        <v/>
      </c>
      <c r="M1636">
        <f>IF($K$2="","",IFERROR(INDEX(Lines!$A:$AA,ROW()-2,$K$2),""))</f>
        <v/>
      </c>
      <c r="N1636">
        <f>IF(AND(L1636&lt;&gt;"",LEFT(L1636,1)="N",M1636&lt;&gt;"PICKING",M1636&lt;&gt;""),1,0)</f>
        <v/>
      </c>
      <c r="O1636">
        <f>IF(N1636=1,M1636&amp;"|"&amp;L1636,REPT("z",40))</f>
        <v/>
      </c>
      <c r="P1636">
        <f>IF(N1636=1,COUNTIF($O$4:$O$2003,"&lt;"&amp;O1636)+1,"")</f>
        <v/>
      </c>
      <c r="Q1636">
        <f>IF(OR($R1635="",$R1635="T"),"",IF($R1635="B",$Q1635,IF($Q1635+1&gt;$K$3,"",$Q1635+1)))</f>
        <v/>
      </c>
      <c r="R1636">
        <f>IF(OR($R1635="",$R1635="T"),"",IF($R1635="B","S",IF($Q1635+1&gt;$K$3,"T",IF(INDEX($M$4:$M$2003,MATCH($Q1635+1,$P$4:$P$2003,0))&lt;&gt;INDEX($M$4:$M$2003,MATCH($Q1635,$P$4:$P$2003,0)),"B","S"))))</f>
        <v/>
      </c>
      <c r="S1636">
        <f>IF(Q1636="","",IFERROR(MATCH(Q1636,$P$4:$P$2003,0),""))</f>
        <v/>
      </c>
    </row>
    <row r="1637">
      <c r="A1637" s="4">
        <f>IF($R1637="","",IF($R1637="T","Gesamtergebnis",IF($R1637="B",INDEX($M$4:$M$2003,$S1637),INDEX($L$4:$L$2003,$S1637))))</f>
        <v/>
      </c>
      <c r="B1637" s="4">
        <f>IF($R1637="","",IF($R1637="T",$K$3,IF($R1637="B",COUNTIFS($M$4:$M$2003,INDEX($M$4:$M$2003,$S1637),$N$4:$N$2003,1),1)))</f>
        <v/>
      </c>
      <c r="L1637">
        <f>IF($K$1="","",IFERROR(INDEX(Lines!$A:$AA,ROW()-2,$K$1),""))</f>
        <v/>
      </c>
      <c r="M1637">
        <f>IF($K$2="","",IFERROR(INDEX(Lines!$A:$AA,ROW()-2,$K$2),""))</f>
        <v/>
      </c>
      <c r="N1637">
        <f>IF(AND(L1637&lt;&gt;"",LEFT(L1637,1)="N",M1637&lt;&gt;"PICKING",M1637&lt;&gt;""),1,0)</f>
        <v/>
      </c>
      <c r="O1637">
        <f>IF(N1637=1,M1637&amp;"|"&amp;L1637,REPT("z",40))</f>
        <v/>
      </c>
      <c r="P1637">
        <f>IF(N1637=1,COUNTIF($O$4:$O$2003,"&lt;"&amp;O1637)+1,"")</f>
        <v/>
      </c>
      <c r="Q1637">
        <f>IF(OR($R1636="",$R1636="T"),"",IF($R1636="B",$Q1636,IF($Q1636+1&gt;$K$3,"",$Q1636+1)))</f>
        <v/>
      </c>
      <c r="R1637">
        <f>IF(OR($R1636="",$R1636="T"),"",IF($R1636="B","S",IF($Q1636+1&gt;$K$3,"T",IF(INDEX($M$4:$M$2003,MATCH($Q1636+1,$P$4:$P$2003,0))&lt;&gt;INDEX($M$4:$M$2003,MATCH($Q1636,$P$4:$P$2003,0)),"B","S"))))</f>
        <v/>
      </c>
      <c r="S1637">
        <f>IF(Q1637="","",IFERROR(MATCH(Q1637,$P$4:$P$2003,0),""))</f>
        <v/>
      </c>
    </row>
    <row r="1638">
      <c r="A1638" s="4">
        <f>IF($R1638="","",IF($R1638="T","Gesamtergebnis",IF($R1638="B",INDEX($M$4:$M$2003,$S1638),INDEX($L$4:$L$2003,$S1638))))</f>
        <v/>
      </c>
      <c r="B1638" s="4">
        <f>IF($R1638="","",IF($R1638="T",$K$3,IF($R1638="B",COUNTIFS($M$4:$M$2003,INDEX($M$4:$M$2003,$S1638),$N$4:$N$2003,1),1)))</f>
        <v/>
      </c>
      <c r="L1638">
        <f>IF($K$1="","",IFERROR(INDEX(Lines!$A:$AA,ROW()-2,$K$1),""))</f>
        <v/>
      </c>
      <c r="M1638">
        <f>IF($K$2="","",IFERROR(INDEX(Lines!$A:$AA,ROW()-2,$K$2),""))</f>
        <v/>
      </c>
      <c r="N1638">
        <f>IF(AND(L1638&lt;&gt;"",LEFT(L1638,1)="N",M1638&lt;&gt;"PICKING",M1638&lt;&gt;""),1,0)</f>
        <v/>
      </c>
      <c r="O1638">
        <f>IF(N1638=1,M1638&amp;"|"&amp;L1638,REPT("z",40))</f>
        <v/>
      </c>
      <c r="P1638">
        <f>IF(N1638=1,COUNTIF($O$4:$O$2003,"&lt;"&amp;O1638)+1,"")</f>
        <v/>
      </c>
      <c r="Q1638">
        <f>IF(OR($R1637="",$R1637="T"),"",IF($R1637="B",$Q1637,IF($Q1637+1&gt;$K$3,"",$Q1637+1)))</f>
        <v/>
      </c>
      <c r="R1638">
        <f>IF(OR($R1637="",$R1637="T"),"",IF($R1637="B","S",IF($Q1637+1&gt;$K$3,"T",IF(INDEX($M$4:$M$2003,MATCH($Q1637+1,$P$4:$P$2003,0))&lt;&gt;INDEX($M$4:$M$2003,MATCH($Q1637,$P$4:$P$2003,0)),"B","S"))))</f>
        <v/>
      </c>
      <c r="S1638">
        <f>IF(Q1638="","",IFERROR(MATCH(Q1638,$P$4:$P$2003,0),""))</f>
        <v/>
      </c>
    </row>
    <row r="1639">
      <c r="A1639" s="4">
        <f>IF($R1639="","",IF($R1639="T","Gesamtergebnis",IF($R1639="B",INDEX($M$4:$M$2003,$S1639),INDEX($L$4:$L$2003,$S1639))))</f>
        <v/>
      </c>
      <c r="B1639" s="4">
        <f>IF($R1639="","",IF($R1639="T",$K$3,IF($R1639="B",COUNTIFS($M$4:$M$2003,INDEX($M$4:$M$2003,$S1639),$N$4:$N$2003,1),1)))</f>
        <v/>
      </c>
      <c r="L1639">
        <f>IF($K$1="","",IFERROR(INDEX(Lines!$A:$AA,ROW()-2,$K$1),""))</f>
        <v/>
      </c>
      <c r="M1639">
        <f>IF($K$2="","",IFERROR(INDEX(Lines!$A:$AA,ROW()-2,$K$2),""))</f>
        <v/>
      </c>
      <c r="N1639">
        <f>IF(AND(L1639&lt;&gt;"",LEFT(L1639,1)="N",M1639&lt;&gt;"PICKING",M1639&lt;&gt;""),1,0)</f>
        <v/>
      </c>
      <c r="O1639">
        <f>IF(N1639=1,M1639&amp;"|"&amp;L1639,REPT("z",40))</f>
        <v/>
      </c>
      <c r="P1639">
        <f>IF(N1639=1,COUNTIF($O$4:$O$2003,"&lt;"&amp;O1639)+1,"")</f>
        <v/>
      </c>
      <c r="Q1639">
        <f>IF(OR($R1638="",$R1638="T"),"",IF($R1638="B",$Q1638,IF($Q1638+1&gt;$K$3,"",$Q1638+1)))</f>
        <v/>
      </c>
      <c r="R1639">
        <f>IF(OR($R1638="",$R1638="T"),"",IF($R1638="B","S",IF($Q1638+1&gt;$K$3,"T",IF(INDEX($M$4:$M$2003,MATCH($Q1638+1,$P$4:$P$2003,0))&lt;&gt;INDEX($M$4:$M$2003,MATCH($Q1638,$P$4:$P$2003,0)),"B","S"))))</f>
        <v/>
      </c>
      <c r="S1639">
        <f>IF(Q1639="","",IFERROR(MATCH(Q1639,$P$4:$P$2003,0),""))</f>
        <v/>
      </c>
    </row>
    <row r="1640">
      <c r="A1640" s="4">
        <f>IF($R1640="","",IF($R1640="T","Gesamtergebnis",IF($R1640="B",INDEX($M$4:$M$2003,$S1640),INDEX($L$4:$L$2003,$S1640))))</f>
        <v/>
      </c>
      <c r="B1640" s="4">
        <f>IF($R1640="","",IF($R1640="T",$K$3,IF($R1640="B",COUNTIFS($M$4:$M$2003,INDEX($M$4:$M$2003,$S1640),$N$4:$N$2003,1),1)))</f>
        <v/>
      </c>
      <c r="L1640">
        <f>IF($K$1="","",IFERROR(INDEX(Lines!$A:$AA,ROW()-2,$K$1),""))</f>
        <v/>
      </c>
      <c r="M1640">
        <f>IF($K$2="","",IFERROR(INDEX(Lines!$A:$AA,ROW()-2,$K$2),""))</f>
        <v/>
      </c>
      <c r="N1640">
        <f>IF(AND(L1640&lt;&gt;"",LEFT(L1640,1)="N",M1640&lt;&gt;"PICKING",M1640&lt;&gt;""),1,0)</f>
        <v/>
      </c>
      <c r="O1640">
        <f>IF(N1640=1,M1640&amp;"|"&amp;L1640,REPT("z",40))</f>
        <v/>
      </c>
      <c r="P1640">
        <f>IF(N1640=1,COUNTIF($O$4:$O$2003,"&lt;"&amp;O1640)+1,"")</f>
        <v/>
      </c>
      <c r="Q1640">
        <f>IF(OR($R1639="",$R1639="T"),"",IF($R1639="B",$Q1639,IF($Q1639+1&gt;$K$3,"",$Q1639+1)))</f>
        <v/>
      </c>
      <c r="R1640">
        <f>IF(OR($R1639="",$R1639="T"),"",IF($R1639="B","S",IF($Q1639+1&gt;$K$3,"T",IF(INDEX($M$4:$M$2003,MATCH($Q1639+1,$P$4:$P$2003,0))&lt;&gt;INDEX($M$4:$M$2003,MATCH($Q1639,$P$4:$P$2003,0)),"B","S"))))</f>
        <v/>
      </c>
      <c r="S1640">
        <f>IF(Q1640="","",IFERROR(MATCH(Q1640,$P$4:$P$2003,0),""))</f>
        <v/>
      </c>
    </row>
    <row r="1641">
      <c r="A1641" s="4">
        <f>IF($R1641="","",IF($R1641="T","Gesamtergebnis",IF($R1641="B",INDEX($M$4:$M$2003,$S1641),INDEX($L$4:$L$2003,$S1641))))</f>
        <v/>
      </c>
      <c r="B1641" s="4">
        <f>IF($R1641="","",IF($R1641="T",$K$3,IF($R1641="B",COUNTIFS($M$4:$M$2003,INDEX($M$4:$M$2003,$S1641),$N$4:$N$2003,1),1)))</f>
        <v/>
      </c>
      <c r="L1641">
        <f>IF($K$1="","",IFERROR(INDEX(Lines!$A:$AA,ROW()-2,$K$1),""))</f>
        <v/>
      </c>
      <c r="M1641">
        <f>IF($K$2="","",IFERROR(INDEX(Lines!$A:$AA,ROW()-2,$K$2),""))</f>
        <v/>
      </c>
      <c r="N1641">
        <f>IF(AND(L1641&lt;&gt;"",LEFT(L1641,1)="N",M1641&lt;&gt;"PICKING",M1641&lt;&gt;""),1,0)</f>
        <v/>
      </c>
      <c r="O1641">
        <f>IF(N1641=1,M1641&amp;"|"&amp;L1641,REPT("z",40))</f>
        <v/>
      </c>
      <c r="P1641">
        <f>IF(N1641=1,COUNTIF($O$4:$O$2003,"&lt;"&amp;O1641)+1,"")</f>
        <v/>
      </c>
      <c r="Q1641">
        <f>IF(OR($R1640="",$R1640="T"),"",IF($R1640="B",$Q1640,IF($Q1640+1&gt;$K$3,"",$Q1640+1)))</f>
        <v/>
      </c>
      <c r="R1641">
        <f>IF(OR($R1640="",$R1640="T"),"",IF($R1640="B","S",IF($Q1640+1&gt;$K$3,"T",IF(INDEX($M$4:$M$2003,MATCH($Q1640+1,$P$4:$P$2003,0))&lt;&gt;INDEX($M$4:$M$2003,MATCH($Q1640,$P$4:$P$2003,0)),"B","S"))))</f>
        <v/>
      </c>
      <c r="S1641">
        <f>IF(Q1641="","",IFERROR(MATCH(Q1641,$P$4:$P$2003,0),""))</f>
        <v/>
      </c>
    </row>
    <row r="1642">
      <c r="A1642" s="4">
        <f>IF($R1642="","",IF($R1642="T","Gesamtergebnis",IF($R1642="B",INDEX($M$4:$M$2003,$S1642),INDEX($L$4:$L$2003,$S1642))))</f>
        <v/>
      </c>
      <c r="B1642" s="4">
        <f>IF($R1642="","",IF($R1642="T",$K$3,IF($R1642="B",COUNTIFS($M$4:$M$2003,INDEX($M$4:$M$2003,$S1642),$N$4:$N$2003,1),1)))</f>
        <v/>
      </c>
      <c r="L1642">
        <f>IF($K$1="","",IFERROR(INDEX(Lines!$A:$AA,ROW()-2,$K$1),""))</f>
        <v/>
      </c>
      <c r="M1642">
        <f>IF($K$2="","",IFERROR(INDEX(Lines!$A:$AA,ROW()-2,$K$2),""))</f>
        <v/>
      </c>
      <c r="N1642">
        <f>IF(AND(L1642&lt;&gt;"",LEFT(L1642,1)="N",M1642&lt;&gt;"PICKING",M1642&lt;&gt;""),1,0)</f>
        <v/>
      </c>
      <c r="O1642">
        <f>IF(N1642=1,M1642&amp;"|"&amp;L1642,REPT("z",40))</f>
        <v/>
      </c>
      <c r="P1642">
        <f>IF(N1642=1,COUNTIF($O$4:$O$2003,"&lt;"&amp;O1642)+1,"")</f>
        <v/>
      </c>
      <c r="Q1642">
        <f>IF(OR($R1641="",$R1641="T"),"",IF($R1641="B",$Q1641,IF($Q1641+1&gt;$K$3,"",$Q1641+1)))</f>
        <v/>
      </c>
      <c r="R1642">
        <f>IF(OR($R1641="",$R1641="T"),"",IF($R1641="B","S",IF($Q1641+1&gt;$K$3,"T",IF(INDEX($M$4:$M$2003,MATCH($Q1641+1,$P$4:$P$2003,0))&lt;&gt;INDEX($M$4:$M$2003,MATCH($Q1641,$P$4:$P$2003,0)),"B","S"))))</f>
        <v/>
      </c>
      <c r="S1642">
        <f>IF(Q1642="","",IFERROR(MATCH(Q1642,$P$4:$P$2003,0),""))</f>
        <v/>
      </c>
    </row>
    <row r="1643">
      <c r="A1643" s="4">
        <f>IF($R1643="","",IF($R1643="T","Gesamtergebnis",IF($R1643="B",INDEX($M$4:$M$2003,$S1643),INDEX($L$4:$L$2003,$S1643))))</f>
        <v/>
      </c>
      <c r="B1643" s="4">
        <f>IF($R1643="","",IF($R1643="T",$K$3,IF($R1643="B",COUNTIFS($M$4:$M$2003,INDEX($M$4:$M$2003,$S1643),$N$4:$N$2003,1),1)))</f>
        <v/>
      </c>
      <c r="L1643">
        <f>IF($K$1="","",IFERROR(INDEX(Lines!$A:$AA,ROW()-2,$K$1),""))</f>
        <v/>
      </c>
      <c r="M1643">
        <f>IF($K$2="","",IFERROR(INDEX(Lines!$A:$AA,ROW()-2,$K$2),""))</f>
        <v/>
      </c>
      <c r="N1643">
        <f>IF(AND(L1643&lt;&gt;"",LEFT(L1643,1)="N",M1643&lt;&gt;"PICKING",M1643&lt;&gt;""),1,0)</f>
        <v/>
      </c>
      <c r="O1643">
        <f>IF(N1643=1,M1643&amp;"|"&amp;L1643,REPT("z",40))</f>
        <v/>
      </c>
      <c r="P1643">
        <f>IF(N1643=1,COUNTIF($O$4:$O$2003,"&lt;"&amp;O1643)+1,"")</f>
        <v/>
      </c>
      <c r="Q1643">
        <f>IF(OR($R1642="",$R1642="T"),"",IF($R1642="B",$Q1642,IF($Q1642+1&gt;$K$3,"",$Q1642+1)))</f>
        <v/>
      </c>
      <c r="R1643">
        <f>IF(OR($R1642="",$R1642="T"),"",IF($R1642="B","S",IF($Q1642+1&gt;$K$3,"T",IF(INDEX($M$4:$M$2003,MATCH($Q1642+1,$P$4:$P$2003,0))&lt;&gt;INDEX($M$4:$M$2003,MATCH($Q1642,$P$4:$P$2003,0)),"B","S"))))</f>
        <v/>
      </c>
      <c r="S1643">
        <f>IF(Q1643="","",IFERROR(MATCH(Q1643,$P$4:$P$2003,0),""))</f>
        <v/>
      </c>
    </row>
    <row r="1644">
      <c r="A1644" s="4">
        <f>IF($R1644="","",IF($R1644="T","Gesamtergebnis",IF($R1644="B",INDEX($M$4:$M$2003,$S1644),INDEX($L$4:$L$2003,$S1644))))</f>
        <v/>
      </c>
      <c r="B1644" s="4">
        <f>IF($R1644="","",IF($R1644="T",$K$3,IF($R1644="B",COUNTIFS($M$4:$M$2003,INDEX($M$4:$M$2003,$S1644),$N$4:$N$2003,1),1)))</f>
        <v/>
      </c>
      <c r="L1644">
        <f>IF($K$1="","",IFERROR(INDEX(Lines!$A:$AA,ROW()-2,$K$1),""))</f>
        <v/>
      </c>
      <c r="M1644">
        <f>IF($K$2="","",IFERROR(INDEX(Lines!$A:$AA,ROW()-2,$K$2),""))</f>
        <v/>
      </c>
      <c r="N1644">
        <f>IF(AND(L1644&lt;&gt;"",LEFT(L1644,1)="N",M1644&lt;&gt;"PICKING",M1644&lt;&gt;""),1,0)</f>
        <v/>
      </c>
      <c r="O1644">
        <f>IF(N1644=1,M1644&amp;"|"&amp;L1644,REPT("z",40))</f>
        <v/>
      </c>
      <c r="P1644">
        <f>IF(N1644=1,COUNTIF($O$4:$O$2003,"&lt;"&amp;O1644)+1,"")</f>
        <v/>
      </c>
      <c r="Q1644">
        <f>IF(OR($R1643="",$R1643="T"),"",IF($R1643="B",$Q1643,IF($Q1643+1&gt;$K$3,"",$Q1643+1)))</f>
        <v/>
      </c>
      <c r="R1644">
        <f>IF(OR($R1643="",$R1643="T"),"",IF($R1643="B","S",IF($Q1643+1&gt;$K$3,"T",IF(INDEX($M$4:$M$2003,MATCH($Q1643+1,$P$4:$P$2003,0))&lt;&gt;INDEX($M$4:$M$2003,MATCH($Q1643,$P$4:$P$2003,0)),"B","S"))))</f>
        <v/>
      </c>
      <c r="S1644">
        <f>IF(Q1644="","",IFERROR(MATCH(Q1644,$P$4:$P$2003,0),""))</f>
        <v/>
      </c>
    </row>
    <row r="1645">
      <c r="A1645" s="4">
        <f>IF($R1645="","",IF($R1645="T","Gesamtergebnis",IF($R1645="B",INDEX($M$4:$M$2003,$S1645),INDEX($L$4:$L$2003,$S1645))))</f>
        <v/>
      </c>
      <c r="B1645" s="4">
        <f>IF($R1645="","",IF($R1645="T",$K$3,IF($R1645="B",COUNTIFS($M$4:$M$2003,INDEX($M$4:$M$2003,$S1645),$N$4:$N$2003,1),1)))</f>
        <v/>
      </c>
      <c r="L1645">
        <f>IF($K$1="","",IFERROR(INDEX(Lines!$A:$AA,ROW()-2,$K$1),""))</f>
        <v/>
      </c>
      <c r="M1645">
        <f>IF($K$2="","",IFERROR(INDEX(Lines!$A:$AA,ROW()-2,$K$2),""))</f>
        <v/>
      </c>
      <c r="N1645">
        <f>IF(AND(L1645&lt;&gt;"",LEFT(L1645,1)="N",M1645&lt;&gt;"PICKING",M1645&lt;&gt;""),1,0)</f>
        <v/>
      </c>
      <c r="O1645">
        <f>IF(N1645=1,M1645&amp;"|"&amp;L1645,REPT("z",40))</f>
        <v/>
      </c>
      <c r="P1645">
        <f>IF(N1645=1,COUNTIF($O$4:$O$2003,"&lt;"&amp;O1645)+1,"")</f>
        <v/>
      </c>
      <c r="Q1645">
        <f>IF(OR($R1644="",$R1644="T"),"",IF($R1644="B",$Q1644,IF($Q1644+1&gt;$K$3,"",$Q1644+1)))</f>
        <v/>
      </c>
      <c r="R1645">
        <f>IF(OR($R1644="",$R1644="T"),"",IF($R1644="B","S",IF($Q1644+1&gt;$K$3,"T",IF(INDEX($M$4:$M$2003,MATCH($Q1644+1,$P$4:$P$2003,0))&lt;&gt;INDEX($M$4:$M$2003,MATCH($Q1644,$P$4:$P$2003,0)),"B","S"))))</f>
        <v/>
      </c>
      <c r="S1645">
        <f>IF(Q1645="","",IFERROR(MATCH(Q1645,$P$4:$P$2003,0),""))</f>
        <v/>
      </c>
    </row>
    <row r="1646">
      <c r="A1646" s="4">
        <f>IF($R1646="","",IF($R1646="T","Gesamtergebnis",IF($R1646="B",INDEX($M$4:$M$2003,$S1646),INDEX($L$4:$L$2003,$S1646))))</f>
        <v/>
      </c>
      <c r="B1646" s="4">
        <f>IF($R1646="","",IF($R1646="T",$K$3,IF($R1646="B",COUNTIFS($M$4:$M$2003,INDEX($M$4:$M$2003,$S1646),$N$4:$N$2003,1),1)))</f>
        <v/>
      </c>
      <c r="L1646">
        <f>IF($K$1="","",IFERROR(INDEX(Lines!$A:$AA,ROW()-2,$K$1),""))</f>
        <v/>
      </c>
      <c r="M1646">
        <f>IF($K$2="","",IFERROR(INDEX(Lines!$A:$AA,ROW()-2,$K$2),""))</f>
        <v/>
      </c>
      <c r="N1646">
        <f>IF(AND(L1646&lt;&gt;"",LEFT(L1646,1)="N",M1646&lt;&gt;"PICKING",M1646&lt;&gt;""),1,0)</f>
        <v/>
      </c>
      <c r="O1646">
        <f>IF(N1646=1,M1646&amp;"|"&amp;L1646,REPT("z",40))</f>
        <v/>
      </c>
      <c r="P1646">
        <f>IF(N1646=1,COUNTIF($O$4:$O$2003,"&lt;"&amp;O1646)+1,"")</f>
        <v/>
      </c>
      <c r="Q1646">
        <f>IF(OR($R1645="",$R1645="T"),"",IF($R1645="B",$Q1645,IF($Q1645+1&gt;$K$3,"",$Q1645+1)))</f>
        <v/>
      </c>
      <c r="R1646">
        <f>IF(OR($R1645="",$R1645="T"),"",IF($R1645="B","S",IF($Q1645+1&gt;$K$3,"T",IF(INDEX($M$4:$M$2003,MATCH($Q1645+1,$P$4:$P$2003,0))&lt;&gt;INDEX($M$4:$M$2003,MATCH($Q1645,$P$4:$P$2003,0)),"B","S"))))</f>
        <v/>
      </c>
      <c r="S1646">
        <f>IF(Q1646="","",IFERROR(MATCH(Q1646,$P$4:$P$2003,0),""))</f>
        <v/>
      </c>
    </row>
    <row r="1647">
      <c r="A1647" s="4">
        <f>IF($R1647="","",IF($R1647="T","Gesamtergebnis",IF($R1647="B",INDEX($M$4:$M$2003,$S1647),INDEX($L$4:$L$2003,$S1647))))</f>
        <v/>
      </c>
      <c r="B1647" s="4">
        <f>IF($R1647="","",IF($R1647="T",$K$3,IF($R1647="B",COUNTIFS($M$4:$M$2003,INDEX($M$4:$M$2003,$S1647),$N$4:$N$2003,1),1)))</f>
        <v/>
      </c>
      <c r="L1647">
        <f>IF($K$1="","",IFERROR(INDEX(Lines!$A:$AA,ROW()-2,$K$1),""))</f>
        <v/>
      </c>
      <c r="M1647">
        <f>IF($K$2="","",IFERROR(INDEX(Lines!$A:$AA,ROW()-2,$K$2),""))</f>
        <v/>
      </c>
      <c r="N1647">
        <f>IF(AND(L1647&lt;&gt;"",LEFT(L1647,1)="N",M1647&lt;&gt;"PICKING",M1647&lt;&gt;""),1,0)</f>
        <v/>
      </c>
      <c r="O1647">
        <f>IF(N1647=1,M1647&amp;"|"&amp;L1647,REPT("z",40))</f>
        <v/>
      </c>
      <c r="P1647">
        <f>IF(N1647=1,COUNTIF($O$4:$O$2003,"&lt;"&amp;O1647)+1,"")</f>
        <v/>
      </c>
      <c r="Q1647">
        <f>IF(OR($R1646="",$R1646="T"),"",IF($R1646="B",$Q1646,IF($Q1646+1&gt;$K$3,"",$Q1646+1)))</f>
        <v/>
      </c>
      <c r="R1647">
        <f>IF(OR($R1646="",$R1646="T"),"",IF($R1646="B","S",IF($Q1646+1&gt;$K$3,"T",IF(INDEX($M$4:$M$2003,MATCH($Q1646+1,$P$4:$P$2003,0))&lt;&gt;INDEX($M$4:$M$2003,MATCH($Q1646,$P$4:$P$2003,0)),"B","S"))))</f>
        <v/>
      </c>
      <c r="S1647">
        <f>IF(Q1647="","",IFERROR(MATCH(Q1647,$P$4:$P$2003,0),""))</f>
        <v/>
      </c>
    </row>
    <row r="1648">
      <c r="A1648" s="4">
        <f>IF($R1648="","",IF($R1648="T","Gesamtergebnis",IF($R1648="B",INDEX($M$4:$M$2003,$S1648),INDEX($L$4:$L$2003,$S1648))))</f>
        <v/>
      </c>
      <c r="B1648" s="4">
        <f>IF($R1648="","",IF($R1648="T",$K$3,IF($R1648="B",COUNTIFS($M$4:$M$2003,INDEX($M$4:$M$2003,$S1648),$N$4:$N$2003,1),1)))</f>
        <v/>
      </c>
      <c r="L1648">
        <f>IF($K$1="","",IFERROR(INDEX(Lines!$A:$AA,ROW()-2,$K$1),""))</f>
        <v/>
      </c>
      <c r="M1648">
        <f>IF($K$2="","",IFERROR(INDEX(Lines!$A:$AA,ROW()-2,$K$2),""))</f>
        <v/>
      </c>
      <c r="N1648">
        <f>IF(AND(L1648&lt;&gt;"",LEFT(L1648,1)="N",M1648&lt;&gt;"PICKING",M1648&lt;&gt;""),1,0)</f>
        <v/>
      </c>
      <c r="O1648">
        <f>IF(N1648=1,M1648&amp;"|"&amp;L1648,REPT("z",40))</f>
        <v/>
      </c>
      <c r="P1648">
        <f>IF(N1648=1,COUNTIF($O$4:$O$2003,"&lt;"&amp;O1648)+1,"")</f>
        <v/>
      </c>
      <c r="Q1648">
        <f>IF(OR($R1647="",$R1647="T"),"",IF($R1647="B",$Q1647,IF($Q1647+1&gt;$K$3,"",$Q1647+1)))</f>
        <v/>
      </c>
      <c r="R1648">
        <f>IF(OR($R1647="",$R1647="T"),"",IF($R1647="B","S",IF($Q1647+1&gt;$K$3,"T",IF(INDEX($M$4:$M$2003,MATCH($Q1647+1,$P$4:$P$2003,0))&lt;&gt;INDEX($M$4:$M$2003,MATCH($Q1647,$P$4:$P$2003,0)),"B","S"))))</f>
        <v/>
      </c>
      <c r="S1648">
        <f>IF(Q1648="","",IFERROR(MATCH(Q1648,$P$4:$P$2003,0),""))</f>
        <v/>
      </c>
    </row>
    <row r="1649">
      <c r="A1649" s="4">
        <f>IF($R1649="","",IF($R1649="T","Gesamtergebnis",IF($R1649="B",INDEX($M$4:$M$2003,$S1649),INDEX($L$4:$L$2003,$S1649))))</f>
        <v/>
      </c>
      <c r="B1649" s="4">
        <f>IF($R1649="","",IF($R1649="T",$K$3,IF($R1649="B",COUNTIFS($M$4:$M$2003,INDEX($M$4:$M$2003,$S1649),$N$4:$N$2003,1),1)))</f>
        <v/>
      </c>
      <c r="L1649">
        <f>IF($K$1="","",IFERROR(INDEX(Lines!$A:$AA,ROW()-2,$K$1),""))</f>
        <v/>
      </c>
      <c r="M1649">
        <f>IF($K$2="","",IFERROR(INDEX(Lines!$A:$AA,ROW()-2,$K$2),""))</f>
        <v/>
      </c>
      <c r="N1649">
        <f>IF(AND(L1649&lt;&gt;"",LEFT(L1649,1)="N",M1649&lt;&gt;"PICKING",M1649&lt;&gt;""),1,0)</f>
        <v/>
      </c>
      <c r="O1649">
        <f>IF(N1649=1,M1649&amp;"|"&amp;L1649,REPT("z",40))</f>
        <v/>
      </c>
      <c r="P1649">
        <f>IF(N1649=1,COUNTIF($O$4:$O$2003,"&lt;"&amp;O1649)+1,"")</f>
        <v/>
      </c>
      <c r="Q1649">
        <f>IF(OR($R1648="",$R1648="T"),"",IF($R1648="B",$Q1648,IF($Q1648+1&gt;$K$3,"",$Q1648+1)))</f>
        <v/>
      </c>
      <c r="R1649">
        <f>IF(OR($R1648="",$R1648="T"),"",IF($R1648="B","S",IF($Q1648+1&gt;$K$3,"T",IF(INDEX($M$4:$M$2003,MATCH($Q1648+1,$P$4:$P$2003,0))&lt;&gt;INDEX($M$4:$M$2003,MATCH($Q1648,$P$4:$P$2003,0)),"B","S"))))</f>
        <v/>
      </c>
      <c r="S1649">
        <f>IF(Q1649="","",IFERROR(MATCH(Q1649,$P$4:$P$2003,0),""))</f>
        <v/>
      </c>
    </row>
    <row r="1650">
      <c r="A1650" s="4">
        <f>IF($R1650="","",IF($R1650="T","Gesamtergebnis",IF($R1650="B",INDEX($M$4:$M$2003,$S1650),INDEX($L$4:$L$2003,$S1650))))</f>
        <v/>
      </c>
      <c r="B1650" s="4">
        <f>IF($R1650="","",IF($R1650="T",$K$3,IF($R1650="B",COUNTIFS($M$4:$M$2003,INDEX($M$4:$M$2003,$S1650),$N$4:$N$2003,1),1)))</f>
        <v/>
      </c>
      <c r="L1650">
        <f>IF($K$1="","",IFERROR(INDEX(Lines!$A:$AA,ROW()-2,$K$1),""))</f>
        <v/>
      </c>
      <c r="M1650">
        <f>IF($K$2="","",IFERROR(INDEX(Lines!$A:$AA,ROW()-2,$K$2),""))</f>
        <v/>
      </c>
      <c r="N1650">
        <f>IF(AND(L1650&lt;&gt;"",LEFT(L1650,1)="N",M1650&lt;&gt;"PICKING",M1650&lt;&gt;""),1,0)</f>
        <v/>
      </c>
      <c r="O1650">
        <f>IF(N1650=1,M1650&amp;"|"&amp;L1650,REPT("z",40))</f>
        <v/>
      </c>
      <c r="P1650">
        <f>IF(N1650=1,COUNTIF($O$4:$O$2003,"&lt;"&amp;O1650)+1,"")</f>
        <v/>
      </c>
      <c r="Q1650">
        <f>IF(OR($R1649="",$R1649="T"),"",IF($R1649="B",$Q1649,IF($Q1649+1&gt;$K$3,"",$Q1649+1)))</f>
        <v/>
      </c>
      <c r="R1650">
        <f>IF(OR($R1649="",$R1649="T"),"",IF($R1649="B","S",IF($Q1649+1&gt;$K$3,"T",IF(INDEX($M$4:$M$2003,MATCH($Q1649+1,$P$4:$P$2003,0))&lt;&gt;INDEX($M$4:$M$2003,MATCH($Q1649,$P$4:$P$2003,0)),"B","S"))))</f>
        <v/>
      </c>
      <c r="S1650">
        <f>IF(Q1650="","",IFERROR(MATCH(Q1650,$P$4:$P$2003,0),""))</f>
        <v/>
      </c>
    </row>
    <row r="1651">
      <c r="A1651" s="4">
        <f>IF($R1651="","",IF($R1651="T","Gesamtergebnis",IF($R1651="B",INDEX($M$4:$M$2003,$S1651),INDEX($L$4:$L$2003,$S1651))))</f>
        <v/>
      </c>
      <c r="B1651" s="4">
        <f>IF($R1651="","",IF($R1651="T",$K$3,IF($R1651="B",COUNTIFS($M$4:$M$2003,INDEX($M$4:$M$2003,$S1651),$N$4:$N$2003,1),1)))</f>
        <v/>
      </c>
      <c r="L1651">
        <f>IF($K$1="","",IFERROR(INDEX(Lines!$A:$AA,ROW()-2,$K$1),""))</f>
        <v/>
      </c>
      <c r="M1651">
        <f>IF($K$2="","",IFERROR(INDEX(Lines!$A:$AA,ROW()-2,$K$2),""))</f>
        <v/>
      </c>
      <c r="N1651">
        <f>IF(AND(L1651&lt;&gt;"",LEFT(L1651,1)="N",M1651&lt;&gt;"PICKING",M1651&lt;&gt;""),1,0)</f>
        <v/>
      </c>
      <c r="O1651">
        <f>IF(N1651=1,M1651&amp;"|"&amp;L1651,REPT("z",40))</f>
        <v/>
      </c>
      <c r="P1651">
        <f>IF(N1651=1,COUNTIF($O$4:$O$2003,"&lt;"&amp;O1651)+1,"")</f>
        <v/>
      </c>
      <c r="Q1651">
        <f>IF(OR($R1650="",$R1650="T"),"",IF($R1650="B",$Q1650,IF($Q1650+1&gt;$K$3,"",$Q1650+1)))</f>
        <v/>
      </c>
      <c r="R1651">
        <f>IF(OR($R1650="",$R1650="T"),"",IF($R1650="B","S",IF($Q1650+1&gt;$K$3,"T",IF(INDEX($M$4:$M$2003,MATCH($Q1650+1,$P$4:$P$2003,0))&lt;&gt;INDEX($M$4:$M$2003,MATCH($Q1650,$P$4:$P$2003,0)),"B","S"))))</f>
        <v/>
      </c>
      <c r="S1651">
        <f>IF(Q1651="","",IFERROR(MATCH(Q1651,$P$4:$P$2003,0),""))</f>
        <v/>
      </c>
    </row>
    <row r="1652">
      <c r="A1652" s="4">
        <f>IF($R1652="","",IF($R1652="T","Gesamtergebnis",IF($R1652="B",INDEX($M$4:$M$2003,$S1652),INDEX($L$4:$L$2003,$S1652))))</f>
        <v/>
      </c>
      <c r="B1652" s="4">
        <f>IF($R1652="","",IF($R1652="T",$K$3,IF($R1652="B",COUNTIFS($M$4:$M$2003,INDEX($M$4:$M$2003,$S1652),$N$4:$N$2003,1),1)))</f>
        <v/>
      </c>
      <c r="L1652">
        <f>IF($K$1="","",IFERROR(INDEX(Lines!$A:$AA,ROW()-2,$K$1),""))</f>
        <v/>
      </c>
      <c r="M1652">
        <f>IF($K$2="","",IFERROR(INDEX(Lines!$A:$AA,ROW()-2,$K$2),""))</f>
        <v/>
      </c>
      <c r="N1652">
        <f>IF(AND(L1652&lt;&gt;"",LEFT(L1652,1)="N",M1652&lt;&gt;"PICKING",M1652&lt;&gt;""),1,0)</f>
        <v/>
      </c>
      <c r="O1652">
        <f>IF(N1652=1,M1652&amp;"|"&amp;L1652,REPT("z",40))</f>
        <v/>
      </c>
      <c r="P1652">
        <f>IF(N1652=1,COUNTIF($O$4:$O$2003,"&lt;"&amp;O1652)+1,"")</f>
        <v/>
      </c>
      <c r="Q1652">
        <f>IF(OR($R1651="",$R1651="T"),"",IF($R1651="B",$Q1651,IF($Q1651+1&gt;$K$3,"",$Q1651+1)))</f>
        <v/>
      </c>
      <c r="R1652">
        <f>IF(OR($R1651="",$R1651="T"),"",IF($R1651="B","S",IF($Q1651+1&gt;$K$3,"T",IF(INDEX($M$4:$M$2003,MATCH($Q1651+1,$P$4:$P$2003,0))&lt;&gt;INDEX($M$4:$M$2003,MATCH($Q1651,$P$4:$P$2003,0)),"B","S"))))</f>
        <v/>
      </c>
      <c r="S1652">
        <f>IF(Q1652="","",IFERROR(MATCH(Q1652,$P$4:$P$2003,0),""))</f>
        <v/>
      </c>
    </row>
    <row r="1653">
      <c r="A1653" s="4">
        <f>IF($R1653="","",IF($R1653="T","Gesamtergebnis",IF($R1653="B",INDEX($M$4:$M$2003,$S1653),INDEX($L$4:$L$2003,$S1653))))</f>
        <v/>
      </c>
      <c r="B1653" s="4">
        <f>IF($R1653="","",IF($R1653="T",$K$3,IF($R1653="B",COUNTIFS($M$4:$M$2003,INDEX($M$4:$M$2003,$S1653),$N$4:$N$2003,1),1)))</f>
        <v/>
      </c>
      <c r="L1653">
        <f>IF($K$1="","",IFERROR(INDEX(Lines!$A:$AA,ROW()-2,$K$1),""))</f>
        <v/>
      </c>
      <c r="M1653">
        <f>IF($K$2="","",IFERROR(INDEX(Lines!$A:$AA,ROW()-2,$K$2),""))</f>
        <v/>
      </c>
      <c r="N1653">
        <f>IF(AND(L1653&lt;&gt;"",LEFT(L1653,1)="N",M1653&lt;&gt;"PICKING",M1653&lt;&gt;""),1,0)</f>
        <v/>
      </c>
      <c r="O1653">
        <f>IF(N1653=1,M1653&amp;"|"&amp;L1653,REPT("z",40))</f>
        <v/>
      </c>
      <c r="P1653">
        <f>IF(N1653=1,COUNTIF($O$4:$O$2003,"&lt;"&amp;O1653)+1,"")</f>
        <v/>
      </c>
      <c r="Q1653">
        <f>IF(OR($R1652="",$R1652="T"),"",IF($R1652="B",$Q1652,IF($Q1652+1&gt;$K$3,"",$Q1652+1)))</f>
        <v/>
      </c>
      <c r="R1653">
        <f>IF(OR($R1652="",$R1652="T"),"",IF($R1652="B","S",IF($Q1652+1&gt;$K$3,"T",IF(INDEX($M$4:$M$2003,MATCH($Q1652+1,$P$4:$P$2003,0))&lt;&gt;INDEX($M$4:$M$2003,MATCH($Q1652,$P$4:$P$2003,0)),"B","S"))))</f>
        <v/>
      </c>
      <c r="S1653">
        <f>IF(Q1653="","",IFERROR(MATCH(Q1653,$P$4:$P$2003,0),""))</f>
        <v/>
      </c>
    </row>
    <row r="1654">
      <c r="A1654" s="4">
        <f>IF($R1654="","",IF($R1654="T","Gesamtergebnis",IF($R1654="B",INDEX($M$4:$M$2003,$S1654),INDEX($L$4:$L$2003,$S1654))))</f>
        <v/>
      </c>
      <c r="B1654" s="4">
        <f>IF($R1654="","",IF($R1654="T",$K$3,IF($R1654="B",COUNTIFS($M$4:$M$2003,INDEX($M$4:$M$2003,$S1654),$N$4:$N$2003,1),1)))</f>
        <v/>
      </c>
      <c r="L1654">
        <f>IF($K$1="","",IFERROR(INDEX(Lines!$A:$AA,ROW()-2,$K$1),""))</f>
        <v/>
      </c>
      <c r="M1654">
        <f>IF($K$2="","",IFERROR(INDEX(Lines!$A:$AA,ROW()-2,$K$2),""))</f>
        <v/>
      </c>
      <c r="N1654">
        <f>IF(AND(L1654&lt;&gt;"",LEFT(L1654,1)="N",M1654&lt;&gt;"PICKING",M1654&lt;&gt;""),1,0)</f>
        <v/>
      </c>
      <c r="O1654">
        <f>IF(N1654=1,M1654&amp;"|"&amp;L1654,REPT("z",40))</f>
        <v/>
      </c>
      <c r="P1654">
        <f>IF(N1654=1,COUNTIF($O$4:$O$2003,"&lt;"&amp;O1654)+1,"")</f>
        <v/>
      </c>
      <c r="Q1654">
        <f>IF(OR($R1653="",$R1653="T"),"",IF($R1653="B",$Q1653,IF($Q1653+1&gt;$K$3,"",$Q1653+1)))</f>
        <v/>
      </c>
      <c r="R1654">
        <f>IF(OR($R1653="",$R1653="T"),"",IF($R1653="B","S",IF($Q1653+1&gt;$K$3,"T",IF(INDEX($M$4:$M$2003,MATCH($Q1653+1,$P$4:$P$2003,0))&lt;&gt;INDEX($M$4:$M$2003,MATCH($Q1653,$P$4:$P$2003,0)),"B","S"))))</f>
        <v/>
      </c>
      <c r="S1654">
        <f>IF(Q1654="","",IFERROR(MATCH(Q1654,$P$4:$P$2003,0),""))</f>
        <v/>
      </c>
    </row>
    <row r="1655">
      <c r="A1655" s="4">
        <f>IF($R1655="","",IF($R1655="T","Gesamtergebnis",IF($R1655="B",INDEX($M$4:$M$2003,$S1655),INDEX($L$4:$L$2003,$S1655))))</f>
        <v/>
      </c>
      <c r="B1655" s="4">
        <f>IF($R1655="","",IF($R1655="T",$K$3,IF($R1655="B",COUNTIFS($M$4:$M$2003,INDEX($M$4:$M$2003,$S1655),$N$4:$N$2003,1),1)))</f>
        <v/>
      </c>
      <c r="L1655">
        <f>IF($K$1="","",IFERROR(INDEX(Lines!$A:$AA,ROW()-2,$K$1),""))</f>
        <v/>
      </c>
      <c r="M1655">
        <f>IF($K$2="","",IFERROR(INDEX(Lines!$A:$AA,ROW()-2,$K$2),""))</f>
        <v/>
      </c>
      <c r="N1655">
        <f>IF(AND(L1655&lt;&gt;"",LEFT(L1655,1)="N",M1655&lt;&gt;"PICKING",M1655&lt;&gt;""),1,0)</f>
        <v/>
      </c>
      <c r="O1655">
        <f>IF(N1655=1,M1655&amp;"|"&amp;L1655,REPT("z",40))</f>
        <v/>
      </c>
      <c r="P1655">
        <f>IF(N1655=1,COUNTIF($O$4:$O$2003,"&lt;"&amp;O1655)+1,"")</f>
        <v/>
      </c>
      <c r="Q1655">
        <f>IF(OR($R1654="",$R1654="T"),"",IF($R1654="B",$Q1654,IF($Q1654+1&gt;$K$3,"",$Q1654+1)))</f>
        <v/>
      </c>
      <c r="R1655">
        <f>IF(OR($R1654="",$R1654="T"),"",IF($R1654="B","S",IF($Q1654+1&gt;$K$3,"T",IF(INDEX($M$4:$M$2003,MATCH($Q1654+1,$P$4:$P$2003,0))&lt;&gt;INDEX($M$4:$M$2003,MATCH($Q1654,$P$4:$P$2003,0)),"B","S"))))</f>
        <v/>
      </c>
      <c r="S1655">
        <f>IF(Q1655="","",IFERROR(MATCH(Q1655,$P$4:$P$2003,0),""))</f>
        <v/>
      </c>
    </row>
    <row r="1656">
      <c r="A1656" s="4">
        <f>IF($R1656="","",IF($R1656="T","Gesamtergebnis",IF($R1656="B",INDEX($M$4:$M$2003,$S1656),INDEX($L$4:$L$2003,$S1656))))</f>
        <v/>
      </c>
      <c r="B1656" s="4">
        <f>IF($R1656="","",IF($R1656="T",$K$3,IF($R1656="B",COUNTIFS($M$4:$M$2003,INDEX($M$4:$M$2003,$S1656),$N$4:$N$2003,1),1)))</f>
        <v/>
      </c>
      <c r="L1656">
        <f>IF($K$1="","",IFERROR(INDEX(Lines!$A:$AA,ROW()-2,$K$1),""))</f>
        <v/>
      </c>
      <c r="M1656">
        <f>IF($K$2="","",IFERROR(INDEX(Lines!$A:$AA,ROW()-2,$K$2),""))</f>
        <v/>
      </c>
      <c r="N1656">
        <f>IF(AND(L1656&lt;&gt;"",LEFT(L1656,1)="N",M1656&lt;&gt;"PICKING",M1656&lt;&gt;""),1,0)</f>
        <v/>
      </c>
      <c r="O1656">
        <f>IF(N1656=1,M1656&amp;"|"&amp;L1656,REPT("z",40))</f>
        <v/>
      </c>
      <c r="P1656">
        <f>IF(N1656=1,COUNTIF($O$4:$O$2003,"&lt;"&amp;O1656)+1,"")</f>
        <v/>
      </c>
      <c r="Q1656">
        <f>IF(OR($R1655="",$R1655="T"),"",IF($R1655="B",$Q1655,IF($Q1655+1&gt;$K$3,"",$Q1655+1)))</f>
        <v/>
      </c>
      <c r="R1656">
        <f>IF(OR($R1655="",$R1655="T"),"",IF($R1655="B","S",IF($Q1655+1&gt;$K$3,"T",IF(INDEX($M$4:$M$2003,MATCH($Q1655+1,$P$4:$P$2003,0))&lt;&gt;INDEX($M$4:$M$2003,MATCH($Q1655,$P$4:$P$2003,0)),"B","S"))))</f>
        <v/>
      </c>
      <c r="S1656">
        <f>IF(Q1656="","",IFERROR(MATCH(Q1656,$P$4:$P$2003,0),""))</f>
        <v/>
      </c>
    </row>
    <row r="1657">
      <c r="A1657" s="4">
        <f>IF($R1657="","",IF($R1657="T","Gesamtergebnis",IF($R1657="B",INDEX($M$4:$M$2003,$S1657),INDEX($L$4:$L$2003,$S1657))))</f>
        <v/>
      </c>
      <c r="B1657" s="4">
        <f>IF($R1657="","",IF($R1657="T",$K$3,IF($R1657="B",COUNTIFS($M$4:$M$2003,INDEX($M$4:$M$2003,$S1657),$N$4:$N$2003,1),1)))</f>
        <v/>
      </c>
      <c r="L1657">
        <f>IF($K$1="","",IFERROR(INDEX(Lines!$A:$AA,ROW()-2,$K$1),""))</f>
        <v/>
      </c>
      <c r="M1657">
        <f>IF($K$2="","",IFERROR(INDEX(Lines!$A:$AA,ROW()-2,$K$2),""))</f>
        <v/>
      </c>
      <c r="N1657">
        <f>IF(AND(L1657&lt;&gt;"",LEFT(L1657,1)="N",M1657&lt;&gt;"PICKING",M1657&lt;&gt;""),1,0)</f>
        <v/>
      </c>
      <c r="O1657">
        <f>IF(N1657=1,M1657&amp;"|"&amp;L1657,REPT("z",40))</f>
        <v/>
      </c>
      <c r="P1657">
        <f>IF(N1657=1,COUNTIF($O$4:$O$2003,"&lt;"&amp;O1657)+1,"")</f>
        <v/>
      </c>
      <c r="Q1657">
        <f>IF(OR($R1656="",$R1656="T"),"",IF($R1656="B",$Q1656,IF($Q1656+1&gt;$K$3,"",$Q1656+1)))</f>
        <v/>
      </c>
      <c r="R1657">
        <f>IF(OR($R1656="",$R1656="T"),"",IF($R1656="B","S",IF($Q1656+1&gt;$K$3,"T",IF(INDEX($M$4:$M$2003,MATCH($Q1656+1,$P$4:$P$2003,0))&lt;&gt;INDEX($M$4:$M$2003,MATCH($Q1656,$P$4:$P$2003,0)),"B","S"))))</f>
        <v/>
      </c>
      <c r="S1657">
        <f>IF(Q1657="","",IFERROR(MATCH(Q1657,$P$4:$P$2003,0),""))</f>
        <v/>
      </c>
    </row>
    <row r="1658">
      <c r="A1658" s="4">
        <f>IF($R1658="","",IF($R1658="T","Gesamtergebnis",IF($R1658="B",INDEX($M$4:$M$2003,$S1658),INDEX($L$4:$L$2003,$S1658))))</f>
        <v/>
      </c>
      <c r="B1658" s="4">
        <f>IF($R1658="","",IF($R1658="T",$K$3,IF($R1658="B",COUNTIFS($M$4:$M$2003,INDEX($M$4:$M$2003,$S1658),$N$4:$N$2003,1),1)))</f>
        <v/>
      </c>
      <c r="L1658">
        <f>IF($K$1="","",IFERROR(INDEX(Lines!$A:$AA,ROW()-2,$K$1),""))</f>
        <v/>
      </c>
      <c r="M1658">
        <f>IF($K$2="","",IFERROR(INDEX(Lines!$A:$AA,ROW()-2,$K$2),""))</f>
        <v/>
      </c>
      <c r="N1658">
        <f>IF(AND(L1658&lt;&gt;"",LEFT(L1658,1)="N",M1658&lt;&gt;"PICKING",M1658&lt;&gt;""),1,0)</f>
        <v/>
      </c>
      <c r="O1658">
        <f>IF(N1658=1,M1658&amp;"|"&amp;L1658,REPT("z",40))</f>
        <v/>
      </c>
      <c r="P1658">
        <f>IF(N1658=1,COUNTIF($O$4:$O$2003,"&lt;"&amp;O1658)+1,"")</f>
        <v/>
      </c>
      <c r="Q1658">
        <f>IF(OR($R1657="",$R1657="T"),"",IF($R1657="B",$Q1657,IF($Q1657+1&gt;$K$3,"",$Q1657+1)))</f>
        <v/>
      </c>
      <c r="R1658">
        <f>IF(OR($R1657="",$R1657="T"),"",IF($R1657="B","S",IF($Q1657+1&gt;$K$3,"T",IF(INDEX($M$4:$M$2003,MATCH($Q1657+1,$P$4:$P$2003,0))&lt;&gt;INDEX($M$4:$M$2003,MATCH($Q1657,$P$4:$P$2003,0)),"B","S"))))</f>
        <v/>
      </c>
      <c r="S1658">
        <f>IF(Q1658="","",IFERROR(MATCH(Q1658,$P$4:$P$2003,0),""))</f>
        <v/>
      </c>
    </row>
    <row r="1659">
      <c r="A1659" s="4">
        <f>IF($R1659="","",IF($R1659="T","Gesamtergebnis",IF($R1659="B",INDEX($M$4:$M$2003,$S1659),INDEX($L$4:$L$2003,$S1659))))</f>
        <v/>
      </c>
      <c r="B1659" s="4">
        <f>IF($R1659="","",IF($R1659="T",$K$3,IF($R1659="B",COUNTIFS($M$4:$M$2003,INDEX($M$4:$M$2003,$S1659),$N$4:$N$2003,1),1)))</f>
        <v/>
      </c>
      <c r="L1659">
        <f>IF($K$1="","",IFERROR(INDEX(Lines!$A:$AA,ROW()-2,$K$1),""))</f>
        <v/>
      </c>
      <c r="M1659">
        <f>IF($K$2="","",IFERROR(INDEX(Lines!$A:$AA,ROW()-2,$K$2),""))</f>
        <v/>
      </c>
      <c r="N1659">
        <f>IF(AND(L1659&lt;&gt;"",LEFT(L1659,1)="N",M1659&lt;&gt;"PICKING",M1659&lt;&gt;""),1,0)</f>
        <v/>
      </c>
      <c r="O1659">
        <f>IF(N1659=1,M1659&amp;"|"&amp;L1659,REPT("z",40))</f>
        <v/>
      </c>
      <c r="P1659">
        <f>IF(N1659=1,COUNTIF($O$4:$O$2003,"&lt;"&amp;O1659)+1,"")</f>
        <v/>
      </c>
      <c r="Q1659">
        <f>IF(OR($R1658="",$R1658="T"),"",IF($R1658="B",$Q1658,IF($Q1658+1&gt;$K$3,"",$Q1658+1)))</f>
        <v/>
      </c>
      <c r="R1659">
        <f>IF(OR($R1658="",$R1658="T"),"",IF($R1658="B","S",IF($Q1658+1&gt;$K$3,"T",IF(INDEX($M$4:$M$2003,MATCH($Q1658+1,$P$4:$P$2003,0))&lt;&gt;INDEX($M$4:$M$2003,MATCH($Q1658,$P$4:$P$2003,0)),"B","S"))))</f>
        <v/>
      </c>
      <c r="S1659">
        <f>IF(Q1659="","",IFERROR(MATCH(Q1659,$P$4:$P$2003,0),""))</f>
        <v/>
      </c>
    </row>
    <row r="1660">
      <c r="A1660" s="4">
        <f>IF($R1660="","",IF($R1660="T","Gesamtergebnis",IF($R1660="B",INDEX($M$4:$M$2003,$S1660),INDEX($L$4:$L$2003,$S1660))))</f>
        <v/>
      </c>
      <c r="B1660" s="4">
        <f>IF($R1660="","",IF($R1660="T",$K$3,IF($R1660="B",COUNTIFS($M$4:$M$2003,INDEX($M$4:$M$2003,$S1660),$N$4:$N$2003,1),1)))</f>
        <v/>
      </c>
      <c r="L1660">
        <f>IF($K$1="","",IFERROR(INDEX(Lines!$A:$AA,ROW()-2,$K$1),""))</f>
        <v/>
      </c>
      <c r="M1660">
        <f>IF($K$2="","",IFERROR(INDEX(Lines!$A:$AA,ROW()-2,$K$2),""))</f>
        <v/>
      </c>
      <c r="N1660">
        <f>IF(AND(L1660&lt;&gt;"",LEFT(L1660,1)="N",M1660&lt;&gt;"PICKING",M1660&lt;&gt;""),1,0)</f>
        <v/>
      </c>
      <c r="O1660">
        <f>IF(N1660=1,M1660&amp;"|"&amp;L1660,REPT("z",40))</f>
        <v/>
      </c>
      <c r="P1660">
        <f>IF(N1660=1,COUNTIF($O$4:$O$2003,"&lt;"&amp;O1660)+1,"")</f>
        <v/>
      </c>
      <c r="Q1660">
        <f>IF(OR($R1659="",$R1659="T"),"",IF($R1659="B",$Q1659,IF($Q1659+1&gt;$K$3,"",$Q1659+1)))</f>
        <v/>
      </c>
      <c r="R1660">
        <f>IF(OR($R1659="",$R1659="T"),"",IF($R1659="B","S",IF($Q1659+1&gt;$K$3,"T",IF(INDEX($M$4:$M$2003,MATCH($Q1659+1,$P$4:$P$2003,0))&lt;&gt;INDEX($M$4:$M$2003,MATCH($Q1659,$P$4:$P$2003,0)),"B","S"))))</f>
        <v/>
      </c>
      <c r="S1660">
        <f>IF(Q1660="","",IFERROR(MATCH(Q1660,$P$4:$P$2003,0),""))</f>
        <v/>
      </c>
    </row>
    <row r="1661">
      <c r="A1661" s="4">
        <f>IF($R1661="","",IF($R1661="T","Gesamtergebnis",IF($R1661="B",INDEX($M$4:$M$2003,$S1661),INDEX($L$4:$L$2003,$S1661))))</f>
        <v/>
      </c>
      <c r="B1661" s="4">
        <f>IF($R1661="","",IF($R1661="T",$K$3,IF($R1661="B",COUNTIFS($M$4:$M$2003,INDEX($M$4:$M$2003,$S1661),$N$4:$N$2003,1),1)))</f>
        <v/>
      </c>
      <c r="L1661">
        <f>IF($K$1="","",IFERROR(INDEX(Lines!$A:$AA,ROW()-2,$K$1),""))</f>
        <v/>
      </c>
      <c r="M1661">
        <f>IF($K$2="","",IFERROR(INDEX(Lines!$A:$AA,ROW()-2,$K$2),""))</f>
        <v/>
      </c>
      <c r="N1661">
        <f>IF(AND(L1661&lt;&gt;"",LEFT(L1661,1)="N",M1661&lt;&gt;"PICKING",M1661&lt;&gt;""),1,0)</f>
        <v/>
      </c>
      <c r="O1661">
        <f>IF(N1661=1,M1661&amp;"|"&amp;L1661,REPT("z",40))</f>
        <v/>
      </c>
      <c r="P1661">
        <f>IF(N1661=1,COUNTIF($O$4:$O$2003,"&lt;"&amp;O1661)+1,"")</f>
        <v/>
      </c>
      <c r="Q1661">
        <f>IF(OR($R1660="",$R1660="T"),"",IF($R1660="B",$Q1660,IF($Q1660+1&gt;$K$3,"",$Q1660+1)))</f>
        <v/>
      </c>
      <c r="R1661">
        <f>IF(OR($R1660="",$R1660="T"),"",IF($R1660="B","S",IF($Q1660+1&gt;$K$3,"T",IF(INDEX($M$4:$M$2003,MATCH($Q1660+1,$P$4:$P$2003,0))&lt;&gt;INDEX($M$4:$M$2003,MATCH($Q1660,$P$4:$P$2003,0)),"B","S"))))</f>
        <v/>
      </c>
      <c r="S1661">
        <f>IF(Q1661="","",IFERROR(MATCH(Q1661,$P$4:$P$2003,0),""))</f>
        <v/>
      </c>
    </row>
    <row r="1662">
      <c r="A1662" s="4">
        <f>IF($R1662="","",IF($R1662="T","Gesamtergebnis",IF($R1662="B",INDEX($M$4:$M$2003,$S1662),INDEX($L$4:$L$2003,$S1662))))</f>
        <v/>
      </c>
      <c r="B1662" s="4">
        <f>IF($R1662="","",IF($R1662="T",$K$3,IF($R1662="B",COUNTIFS($M$4:$M$2003,INDEX($M$4:$M$2003,$S1662),$N$4:$N$2003,1),1)))</f>
        <v/>
      </c>
      <c r="L1662">
        <f>IF($K$1="","",IFERROR(INDEX(Lines!$A:$AA,ROW()-2,$K$1),""))</f>
        <v/>
      </c>
      <c r="M1662">
        <f>IF($K$2="","",IFERROR(INDEX(Lines!$A:$AA,ROW()-2,$K$2),""))</f>
        <v/>
      </c>
      <c r="N1662">
        <f>IF(AND(L1662&lt;&gt;"",LEFT(L1662,1)="N",M1662&lt;&gt;"PICKING",M1662&lt;&gt;""),1,0)</f>
        <v/>
      </c>
      <c r="O1662">
        <f>IF(N1662=1,M1662&amp;"|"&amp;L1662,REPT("z",40))</f>
        <v/>
      </c>
      <c r="P1662">
        <f>IF(N1662=1,COUNTIF($O$4:$O$2003,"&lt;"&amp;O1662)+1,"")</f>
        <v/>
      </c>
      <c r="Q1662">
        <f>IF(OR($R1661="",$R1661="T"),"",IF($R1661="B",$Q1661,IF($Q1661+1&gt;$K$3,"",$Q1661+1)))</f>
        <v/>
      </c>
      <c r="R1662">
        <f>IF(OR($R1661="",$R1661="T"),"",IF($R1661="B","S",IF($Q1661+1&gt;$K$3,"T",IF(INDEX($M$4:$M$2003,MATCH($Q1661+1,$P$4:$P$2003,0))&lt;&gt;INDEX($M$4:$M$2003,MATCH($Q1661,$P$4:$P$2003,0)),"B","S"))))</f>
        <v/>
      </c>
      <c r="S1662">
        <f>IF(Q1662="","",IFERROR(MATCH(Q1662,$P$4:$P$2003,0),""))</f>
        <v/>
      </c>
    </row>
    <row r="1663">
      <c r="A1663" s="4">
        <f>IF($R1663="","",IF($R1663="T","Gesamtergebnis",IF($R1663="B",INDEX($M$4:$M$2003,$S1663),INDEX($L$4:$L$2003,$S1663))))</f>
        <v/>
      </c>
      <c r="B1663" s="4">
        <f>IF($R1663="","",IF($R1663="T",$K$3,IF($R1663="B",COUNTIFS($M$4:$M$2003,INDEX($M$4:$M$2003,$S1663),$N$4:$N$2003,1),1)))</f>
        <v/>
      </c>
      <c r="L1663">
        <f>IF($K$1="","",IFERROR(INDEX(Lines!$A:$AA,ROW()-2,$K$1),""))</f>
        <v/>
      </c>
      <c r="M1663">
        <f>IF($K$2="","",IFERROR(INDEX(Lines!$A:$AA,ROW()-2,$K$2),""))</f>
        <v/>
      </c>
      <c r="N1663">
        <f>IF(AND(L1663&lt;&gt;"",LEFT(L1663,1)="N",M1663&lt;&gt;"PICKING",M1663&lt;&gt;""),1,0)</f>
        <v/>
      </c>
      <c r="O1663">
        <f>IF(N1663=1,M1663&amp;"|"&amp;L1663,REPT("z",40))</f>
        <v/>
      </c>
      <c r="P1663">
        <f>IF(N1663=1,COUNTIF($O$4:$O$2003,"&lt;"&amp;O1663)+1,"")</f>
        <v/>
      </c>
      <c r="Q1663">
        <f>IF(OR($R1662="",$R1662="T"),"",IF($R1662="B",$Q1662,IF($Q1662+1&gt;$K$3,"",$Q1662+1)))</f>
        <v/>
      </c>
      <c r="R1663">
        <f>IF(OR($R1662="",$R1662="T"),"",IF($R1662="B","S",IF($Q1662+1&gt;$K$3,"T",IF(INDEX($M$4:$M$2003,MATCH($Q1662+1,$P$4:$P$2003,0))&lt;&gt;INDEX($M$4:$M$2003,MATCH($Q1662,$P$4:$P$2003,0)),"B","S"))))</f>
        <v/>
      </c>
      <c r="S1663">
        <f>IF(Q1663="","",IFERROR(MATCH(Q1663,$P$4:$P$2003,0),""))</f>
        <v/>
      </c>
    </row>
    <row r="1664">
      <c r="A1664" s="4">
        <f>IF($R1664="","",IF($R1664="T","Gesamtergebnis",IF($R1664="B",INDEX($M$4:$M$2003,$S1664),INDEX($L$4:$L$2003,$S1664))))</f>
        <v/>
      </c>
      <c r="B1664" s="4">
        <f>IF($R1664="","",IF($R1664="T",$K$3,IF($R1664="B",COUNTIFS($M$4:$M$2003,INDEX($M$4:$M$2003,$S1664),$N$4:$N$2003,1),1)))</f>
        <v/>
      </c>
      <c r="L1664">
        <f>IF($K$1="","",IFERROR(INDEX(Lines!$A:$AA,ROW()-2,$K$1),""))</f>
        <v/>
      </c>
      <c r="M1664">
        <f>IF($K$2="","",IFERROR(INDEX(Lines!$A:$AA,ROW()-2,$K$2),""))</f>
        <v/>
      </c>
      <c r="N1664">
        <f>IF(AND(L1664&lt;&gt;"",LEFT(L1664,1)="N",M1664&lt;&gt;"PICKING",M1664&lt;&gt;""),1,0)</f>
        <v/>
      </c>
      <c r="O1664">
        <f>IF(N1664=1,M1664&amp;"|"&amp;L1664,REPT("z",40))</f>
        <v/>
      </c>
      <c r="P1664">
        <f>IF(N1664=1,COUNTIF($O$4:$O$2003,"&lt;"&amp;O1664)+1,"")</f>
        <v/>
      </c>
      <c r="Q1664">
        <f>IF(OR($R1663="",$R1663="T"),"",IF($R1663="B",$Q1663,IF($Q1663+1&gt;$K$3,"",$Q1663+1)))</f>
        <v/>
      </c>
      <c r="R1664">
        <f>IF(OR($R1663="",$R1663="T"),"",IF($R1663="B","S",IF($Q1663+1&gt;$K$3,"T",IF(INDEX($M$4:$M$2003,MATCH($Q1663+1,$P$4:$P$2003,0))&lt;&gt;INDEX($M$4:$M$2003,MATCH($Q1663,$P$4:$P$2003,0)),"B","S"))))</f>
        <v/>
      </c>
      <c r="S1664">
        <f>IF(Q1664="","",IFERROR(MATCH(Q1664,$P$4:$P$2003,0),""))</f>
        <v/>
      </c>
    </row>
    <row r="1665">
      <c r="A1665" s="4">
        <f>IF($R1665="","",IF($R1665="T","Gesamtergebnis",IF($R1665="B",INDEX($M$4:$M$2003,$S1665),INDEX($L$4:$L$2003,$S1665))))</f>
        <v/>
      </c>
      <c r="B1665" s="4">
        <f>IF($R1665="","",IF($R1665="T",$K$3,IF($R1665="B",COUNTIFS($M$4:$M$2003,INDEX($M$4:$M$2003,$S1665),$N$4:$N$2003,1),1)))</f>
        <v/>
      </c>
      <c r="L1665">
        <f>IF($K$1="","",IFERROR(INDEX(Lines!$A:$AA,ROW()-2,$K$1),""))</f>
        <v/>
      </c>
      <c r="M1665">
        <f>IF($K$2="","",IFERROR(INDEX(Lines!$A:$AA,ROW()-2,$K$2),""))</f>
        <v/>
      </c>
      <c r="N1665">
        <f>IF(AND(L1665&lt;&gt;"",LEFT(L1665,1)="N",M1665&lt;&gt;"PICKING",M1665&lt;&gt;""),1,0)</f>
        <v/>
      </c>
      <c r="O1665">
        <f>IF(N1665=1,M1665&amp;"|"&amp;L1665,REPT("z",40))</f>
        <v/>
      </c>
      <c r="P1665">
        <f>IF(N1665=1,COUNTIF($O$4:$O$2003,"&lt;"&amp;O1665)+1,"")</f>
        <v/>
      </c>
      <c r="Q1665">
        <f>IF(OR($R1664="",$R1664="T"),"",IF($R1664="B",$Q1664,IF($Q1664+1&gt;$K$3,"",$Q1664+1)))</f>
        <v/>
      </c>
      <c r="R1665">
        <f>IF(OR($R1664="",$R1664="T"),"",IF($R1664="B","S",IF($Q1664+1&gt;$K$3,"T",IF(INDEX($M$4:$M$2003,MATCH($Q1664+1,$P$4:$P$2003,0))&lt;&gt;INDEX($M$4:$M$2003,MATCH($Q1664,$P$4:$P$2003,0)),"B","S"))))</f>
        <v/>
      </c>
      <c r="S1665">
        <f>IF(Q1665="","",IFERROR(MATCH(Q1665,$P$4:$P$2003,0),""))</f>
        <v/>
      </c>
    </row>
    <row r="1666">
      <c r="A1666" s="4">
        <f>IF($R1666="","",IF($R1666="T","Gesamtergebnis",IF($R1666="B",INDEX($M$4:$M$2003,$S1666),INDEX($L$4:$L$2003,$S1666))))</f>
        <v/>
      </c>
      <c r="B1666" s="4">
        <f>IF($R1666="","",IF($R1666="T",$K$3,IF($R1666="B",COUNTIFS($M$4:$M$2003,INDEX($M$4:$M$2003,$S1666),$N$4:$N$2003,1),1)))</f>
        <v/>
      </c>
      <c r="L1666">
        <f>IF($K$1="","",IFERROR(INDEX(Lines!$A:$AA,ROW()-2,$K$1),""))</f>
        <v/>
      </c>
      <c r="M1666">
        <f>IF($K$2="","",IFERROR(INDEX(Lines!$A:$AA,ROW()-2,$K$2),""))</f>
        <v/>
      </c>
      <c r="N1666">
        <f>IF(AND(L1666&lt;&gt;"",LEFT(L1666,1)="N",M1666&lt;&gt;"PICKING",M1666&lt;&gt;""),1,0)</f>
        <v/>
      </c>
      <c r="O1666">
        <f>IF(N1666=1,M1666&amp;"|"&amp;L1666,REPT("z",40))</f>
        <v/>
      </c>
      <c r="P1666">
        <f>IF(N1666=1,COUNTIF($O$4:$O$2003,"&lt;"&amp;O1666)+1,"")</f>
        <v/>
      </c>
      <c r="Q1666">
        <f>IF(OR($R1665="",$R1665="T"),"",IF($R1665="B",$Q1665,IF($Q1665+1&gt;$K$3,"",$Q1665+1)))</f>
        <v/>
      </c>
      <c r="R1666">
        <f>IF(OR($R1665="",$R1665="T"),"",IF($R1665="B","S",IF($Q1665+1&gt;$K$3,"T",IF(INDEX($M$4:$M$2003,MATCH($Q1665+1,$P$4:$P$2003,0))&lt;&gt;INDEX($M$4:$M$2003,MATCH($Q1665,$P$4:$P$2003,0)),"B","S"))))</f>
        <v/>
      </c>
      <c r="S1666">
        <f>IF(Q1666="","",IFERROR(MATCH(Q1666,$P$4:$P$2003,0),""))</f>
        <v/>
      </c>
    </row>
    <row r="1667">
      <c r="A1667" s="4">
        <f>IF($R1667="","",IF($R1667="T","Gesamtergebnis",IF($R1667="B",INDEX($M$4:$M$2003,$S1667),INDEX($L$4:$L$2003,$S1667))))</f>
        <v/>
      </c>
      <c r="B1667" s="4">
        <f>IF($R1667="","",IF($R1667="T",$K$3,IF($R1667="B",COUNTIFS($M$4:$M$2003,INDEX($M$4:$M$2003,$S1667),$N$4:$N$2003,1),1)))</f>
        <v/>
      </c>
      <c r="L1667">
        <f>IF($K$1="","",IFERROR(INDEX(Lines!$A:$AA,ROW()-2,$K$1),""))</f>
        <v/>
      </c>
      <c r="M1667">
        <f>IF($K$2="","",IFERROR(INDEX(Lines!$A:$AA,ROW()-2,$K$2),""))</f>
        <v/>
      </c>
      <c r="N1667">
        <f>IF(AND(L1667&lt;&gt;"",LEFT(L1667,1)="N",M1667&lt;&gt;"PICKING",M1667&lt;&gt;""),1,0)</f>
        <v/>
      </c>
      <c r="O1667">
        <f>IF(N1667=1,M1667&amp;"|"&amp;L1667,REPT("z",40))</f>
        <v/>
      </c>
      <c r="P1667">
        <f>IF(N1667=1,COUNTIF($O$4:$O$2003,"&lt;"&amp;O1667)+1,"")</f>
        <v/>
      </c>
      <c r="Q1667">
        <f>IF(OR($R1666="",$R1666="T"),"",IF($R1666="B",$Q1666,IF($Q1666+1&gt;$K$3,"",$Q1666+1)))</f>
        <v/>
      </c>
      <c r="R1667">
        <f>IF(OR($R1666="",$R1666="T"),"",IF($R1666="B","S",IF($Q1666+1&gt;$K$3,"T",IF(INDEX($M$4:$M$2003,MATCH($Q1666+1,$P$4:$P$2003,0))&lt;&gt;INDEX($M$4:$M$2003,MATCH($Q1666,$P$4:$P$2003,0)),"B","S"))))</f>
        <v/>
      </c>
      <c r="S1667">
        <f>IF(Q1667="","",IFERROR(MATCH(Q1667,$P$4:$P$2003,0),""))</f>
        <v/>
      </c>
    </row>
    <row r="1668">
      <c r="A1668" s="4">
        <f>IF($R1668="","",IF($R1668="T","Gesamtergebnis",IF($R1668="B",INDEX($M$4:$M$2003,$S1668),INDEX($L$4:$L$2003,$S1668))))</f>
        <v/>
      </c>
      <c r="B1668" s="4">
        <f>IF($R1668="","",IF($R1668="T",$K$3,IF($R1668="B",COUNTIFS($M$4:$M$2003,INDEX($M$4:$M$2003,$S1668),$N$4:$N$2003,1),1)))</f>
        <v/>
      </c>
      <c r="L1668">
        <f>IF($K$1="","",IFERROR(INDEX(Lines!$A:$AA,ROW()-2,$K$1),""))</f>
        <v/>
      </c>
      <c r="M1668">
        <f>IF($K$2="","",IFERROR(INDEX(Lines!$A:$AA,ROW()-2,$K$2),""))</f>
        <v/>
      </c>
      <c r="N1668">
        <f>IF(AND(L1668&lt;&gt;"",LEFT(L1668,1)="N",M1668&lt;&gt;"PICKING",M1668&lt;&gt;""),1,0)</f>
        <v/>
      </c>
      <c r="O1668">
        <f>IF(N1668=1,M1668&amp;"|"&amp;L1668,REPT("z",40))</f>
        <v/>
      </c>
      <c r="P1668">
        <f>IF(N1668=1,COUNTIF($O$4:$O$2003,"&lt;"&amp;O1668)+1,"")</f>
        <v/>
      </c>
      <c r="Q1668">
        <f>IF(OR($R1667="",$R1667="T"),"",IF($R1667="B",$Q1667,IF($Q1667+1&gt;$K$3,"",$Q1667+1)))</f>
        <v/>
      </c>
      <c r="R1668">
        <f>IF(OR($R1667="",$R1667="T"),"",IF($R1667="B","S",IF($Q1667+1&gt;$K$3,"T",IF(INDEX($M$4:$M$2003,MATCH($Q1667+1,$P$4:$P$2003,0))&lt;&gt;INDEX($M$4:$M$2003,MATCH($Q1667,$P$4:$P$2003,0)),"B","S"))))</f>
        <v/>
      </c>
      <c r="S1668">
        <f>IF(Q1668="","",IFERROR(MATCH(Q1668,$P$4:$P$2003,0),""))</f>
        <v/>
      </c>
    </row>
    <row r="1669">
      <c r="A1669" s="4">
        <f>IF($R1669="","",IF($R1669="T","Gesamtergebnis",IF($R1669="B",INDEX($M$4:$M$2003,$S1669),INDEX($L$4:$L$2003,$S1669))))</f>
        <v/>
      </c>
      <c r="B1669" s="4">
        <f>IF($R1669="","",IF($R1669="T",$K$3,IF($R1669="B",COUNTIFS($M$4:$M$2003,INDEX($M$4:$M$2003,$S1669),$N$4:$N$2003,1),1)))</f>
        <v/>
      </c>
      <c r="L1669">
        <f>IF($K$1="","",IFERROR(INDEX(Lines!$A:$AA,ROW()-2,$K$1),""))</f>
        <v/>
      </c>
      <c r="M1669">
        <f>IF($K$2="","",IFERROR(INDEX(Lines!$A:$AA,ROW()-2,$K$2),""))</f>
        <v/>
      </c>
      <c r="N1669">
        <f>IF(AND(L1669&lt;&gt;"",LEFT(L1669,1)="N",M1669&lt;&gt;"PICKING",M1669&lt;&gt;""),1,0)</f>
        <v/>
      </c>
      <c r="O1669">
        <f>IF(N1669=1,M1669&amp;"|"&amp;L1669,REPT("z",40))</f>
        <v/>
      </c>
      <c r="P1669">
        <f>IF(N1669=1,COUNTIF($O$4:$O$2003,"&lt;"&amp;O1669)+1,"")</f>
        <v/>
      </c>
      <c r="Q1669">
        <f>IF(OR($R1668="",$R1668="T"),"",IF($R1668="B",$Q1668,IF($Q1668+1&gt;$K$3,"",$Q1668+1)))</f>
        <v/>
      </c>
      <c r="R1669">
        <f>IF(OR($R1668="",$R1668="T"),"",IF($R1668="B","S",IF($Q1668+1&gt;$K$3,"T",IF(INDEX($M$4:$M$2003,MATCH($Q1668+1,$P$4:$P$2003,0))&lt;&gt;INDEX($M$4:$M$2003,MATCH($Q1668,$P$4:$P$2003,0)),"B","S"))))</f>
        <v/>
      </c>
      <c r="S1669">
        <f>IF(Q1669="","",IFERROR(MATCH(Q1669,$P$4:$P$2003,0),""))</f>
        <v/>
      </c>
    </row>
    <row r="1670">
      <c r="A1670" s="4">
        <f>IF($R1670="","",IF($R1670="T","Gesamtergebnis",IF($R1670="B",INDEX($M$4:$M$2003,$S1670),INDEX($L$4:$L$2003,$S1670))))</f>
        <v/>
      </c>
      <c r="B1670" s="4">
        <f>IF($R1670="","",IF($R1670="T",$K$3,IF($R1670="B",COUNTIFS($M$4:$M$2003,INDEX($M$4:$M$2003,$S1670),$N$4:$N$2003,1),1)))</f>
        <v/>
      </c>
      <c r="L1670">
        <f>IF($K$1="","",IFERROR(INDEX(Lines!$A:$AA,ROW()-2,$K$1),""))</f>
        <v/>
      </c>
      <c r="M1670">
        <f>IF($K$2="","",IFERROR(INDEX(Lines!$A:$AA,ROW()-2,$K$2),""))</f>
        <v/>
      </c>
      <c r="N1670">
        <f>IF(AND(L1670&lt;&gt;"",LEFT(L1670,1)="N",M1670&lt;&gt;"PICKING",M1670&lt;&gt;""),1,0)</f>
        <v/>
      </c>
      <c r="O1670">
        <f>IF(N1670=1,M1670&amp;"|"&amp;L1670,REPT("z",40))</f>
        <v/>
      </c>
      <c r="P1670">
        <f>IF(N1670=1,COUNTIF($O$4:$O$2003,"&lt;"&amp;O1670)+1,"")</f>
        <v/>
      </c>
      <c r="Q1670">
        <f>IF(OR($R1669="",$R1669="T"),"",IF($R1669="B",$Q1669,IF($Q1669+1&gt;$K$3,"",$Q1669+1)))</f>
        <v/>
      </c>
      <c r="R1670">
        <f>IF(OR($R1669="",$R1669="T"),"",IF($R1669="B","S",IF($Q1669+1&gt;$K$3,"T",IF(INDEX($M$4:$M$2003,MATCH($Q1669+1,$P$4:$P$2003,0))&lt;&gt;INDEX($M$4:$M$2003,MATCH($Q1669,$P$4:$P$2003,0)),"B","S"))))</f>
        <v/>
      </c>
      <c r="S1670">
        <f>IF(Q1670="","",IFERROR(MATCH(Q1670,$P$4:$P$2003,0),""))</f>
        <v/>
      </c>
    </row>
    <row r="1671">
      <c r="A1671" s="4">
        <f>IF($R1671="","",IF($R1671="T","Gesamtergebnis",IF($R1671="B",INDEX($M$4:$M$2003,$S1671),INDEX($L$4:$L$2003,$S1671))))</f>
        <v/>
      </c>
      <c r="B1671" s="4">
        <f>IF($R1671="","",IF($R1671="T",$K$3,IF($R1671="B",COUNTIFS($M$4:$M$2003,INDEX($M$4:$M$2003,$S1671),$N$4:$N$2003,1),1)))</f>
        <v/>
      </c>
      <c r="L1671">
        <f>IF($K$1="","",IFERROR(INDEX(Lines!$A:$AA,ROW()-2,$K$1),""))</f>
        <v/>
      </c>
      <c r="M1671">
        <f>IF($K$2="","",IFERROR(INDEX(Lines!$A:$AA,ROW()-2,$K$2),""))</f>
        <v/>
      </c>
      <c r="N1671">
        <f>IF(AND(L1671&lt;&gt;"",LEFT(L1671,1)="N",M1671&lt;&gt;"PICKING",M1671&lt;&gt;""),1,0)</f>
        <v/>
      </c>
      <c r="O1671">
        <f>IF(N1671=1,M1671&amp;"|"&amp;L1671,REPT("z",40))</f>
        <v/>
      </c>
      <c r="P1671">
        <f>IF(N1671=1,COUNTIF($O$4:$O$2003,"&lt;"&amp;O1671)+1,"")</f>
        <v/>
      </c>
      <c r="Q1671">
        <f>IF(OR($R1670="",$R1670="T"),"",IF($R1670="B",$Q1670,IF($Q1670+1&gt;$K$3,"",$Q1670+1)))</f>
        <v/>
      </c>
      <c r="R1671">
        <f>IF(OR($R1670="",$R1670="T"),"",IF($R1670="B","S",IF($Q1670+1&gt;$K$3,"T",IF(INDEX($M$4:$M$2003,MATCH($Q1670+1,$P$4:$P$2003,0))&lt;&gt;INDEX($M$4:$M$2003,MATCH($Q1670,$P$4:$P$2003,0)),"B","S"))))</f>
        <v/>
      </c>
      <c r="S1671">
        <f>IF(Q1671="","",IFERROR(MATCH(Q1671,$P$4:$P$2003,0),""))</f>
        <v/>
      </c>
    </row>
    <row r="1672">
      <c r="A1672" s="4">
        <f>IF($R1672="","",IF($R1672="T","Gesamtergebnis",IF($R1672="B",INDEX($M$4:$M$2003,$S1672),INDEX($L$4:$L$2003,$S1672))))</f>
        <v/>
      </c>
      <c r="B1672" s="4">
        <f>IF($R1672="","",IF($R1672="T",$K$3,IF($R1672="B",COUNTIFS($M$4:$M$2003,INDEX($M$4:$M$2003,$S1672),$N$4:$N$2003,1),1)))</f>
        <v/>
      </c>
      <c r="L1672">
        <f>IF($K$1="","",IFERROR(INDEX(Lines!$A:$AA,ROW()-2,$K$1),""))</f>
        <v/>
      </c>
      <c r="M1672">
        <f>IF($K$2="","",IFERROR(INDEX(Lines!$A:$AA,ROW()-2,$K$2),""))</f>
        <v/>
      </c>
      <c r="N1672">
        <f>IF(AND(L1672&lt;&gt;"",LEFT(L1672,1)="N",M1672&lt;&gt;"PICKING",M1672&lt;&gt;""),1,0)</f>
        <v/>
      </c>
      <c r="O1672">
        <f>IF(N1672=1,M1672&amp;"|"&amp;L1672,REPT("z",40))</f>
        <v/>
      </c>
      <c r="P1672">
        <f>IF(N1672=1,COUNTIF($O$4:$O$2003,"&lt;"&amp;O1672)+1,"")</f>
        <v/>
      </c>
      <c r="Q1672">
        <f>IF(OR($R1671="",$R1671="T"),"",IF($R1671="B",$Q1671,IF($Q1671+1&gt;$K$3,"",$Q1671+1)))</f>
        <v/>
      </c>
      <c r="R1672">
        <f>IF(OR($R1671="",$R1671="T"),"",IF($R1671="B","S",IF($Q1671+1&gt;$K$3,"T",IF(INDEX($M$4:$M$2003,MATCH($Q1671+1,$P$4:$P$2003,0))&lt;&gt;INDEX($M$4:$M$2003,MATCH($Q1671,$P$4:$P$2003,0)),"B","S"))))</f>
        <v/>
      </c>
      <c r="S1672">
        <f>IF(Q1672="","",IFERROR(MATCH(Q1672,$P$4:$P$2003,0),""))</f>
        <v/>
      </c>
    </row>
    <row r="1673">
      <c r="A1673" s="4">
        <f>IF($R1673="","",IF($R1673="T","Gesamtergebnis",IF($R1673="B",INDEX($M$4:$M$2003,$S1673),INDEX($L$4:$L$2003,$S1673))))</f>
        <v/>
      </c>
      <c r="B1673" s="4">
        <f>IF($R1673="","",IF($R1673="T",$K$3,IF($R1673="B",COUNTIFS($M$4:$M$2003,INDEX($M$4:$M$2003,$S1673),$N$4:$N$2003,1),1)))</f>
        <v/>
      </c>
      <c r="L1673">
        <f>IF($K$1="","",IFERROR(INDEX(Lines!$A:$AA,ROW()-2,$K$1),""))</f>
        <v/>
      </c>
      <c r="M1673">
        <f>IF($K$2="","",IFERROR(INDEX(Lines!$A:$AA,ROW()-2,$K$2),""))</f>
        <v/>
      </c>
      <c r="N1673">
        <f>IF(AND(L1673&lt;&gt;"",LEFT(L1673,1)="N",M1673&lt;&gt;"PICKING",M1673&lt;&gt;""),1,0)</f>
        <v/>
      </c>
      <c r="O1673">
        <f>IF(N1673=1,M1673&amp;"|"&amp;L1673,REPT("z",40))</f>
        <v/>
      </c>
      <c r="P1673">
        <f>IF(N1673=1,COUNTIF($O$4:$O$2003,"&lt;"&amp;O1673)+1,"")</f>
        <v/>
      </c>
      <c r="Q1673">
        <f>IF(OR($R1672="",$R1672="T"),"",IF($R1672="B",$Q1672,IF($Q1672+1&gt;$K$3,"",$Q1672+1)))</f>
        <v/>
      </c>
      <c r="R1673">
        <f>IF(OR($R1672="",$R1672="T"),"",IF($R1672="B","S",IF($Q1672+1&gt;$K$3,"T",IF(INDEX($M$4:$M$2003,MATCH($Q1672+1,$P$4:$P$2003,0))&lt;&gt;INDEX($M$4:$M$2003,MATCH($Q1672,$P$4:$P$2003,0)),"B","S"))))</f>
        <v/>
      </c>
      <c r="S1673">
        <f>IF(Q1673="","",IFERROR(MATCH(Q1673,$P$4:$P$2003,0),""))</f>
        <v/>
      </c>
    </row>
    <row r="1674">
      <c r="A1674" s="4">
        <f>IF($R1674="","",IF($R1674="T","Gesamtergebnis",IF($R1674="B",INDEX($M$4:$M$2003,$S1674),INDEX($L$4:$L$2003,$S1674))))</f>
        <v/>
      </c>
      <c r="B1674" s="4">
        <f>IF($R1674="","",IF($R1674="T",$K$3,IF($R1674="B",COUNTIFS($M$4:$M$2003,INDEX($M$4:$M$2003,$S1674),$N$4:$N$2003,1),1)))</f>
        <v/>
      </c>
      <c r="L1674">
        <f>IF($K$1="","",IFERROR(INDEX(Lines!$A:$AA,ROW()-2,$K$1),""))</f>
        <v/>
      </c>
      <c r="M1674">
        <f>IF($K$2="","",IFERROR(INDEX(Lines!$A:$AA,ROW()-2,$K$2),""))</f>
        <v/>
      </c>
      <c r="N1674">
        <f>IF(AND(L1674&lt;&gt;"",LEFT(L1674,1)="N",M1674&lt;&gt;"PICKING",M1674&lt;&gt;""),1,0)</f>
        <v/>
      </c>
      <c r="O1674">
        <f>IF(N1674=1,M1674&amp;"|"&amp;L1674,REPT("z",40))</f>
        <v/>
      </c>
      <c r="P1674">
        <f>IF(N1674=1,COUNTIF($O$4:$O$2003,"&lt;"&amp;O1674)+1,"")</f>
        <v/>
      </c>
      <c r="Q1674">
        <f>IF(OR($R1673="",$R1673="T"),"",IF($R1673="B",$Q1673,IF($Q1673+1&gt;$K$3,"",$Q1673+1)))</f>
        <v/>
      </c>
      <c r="R1674">
        <f>IF(OR($R1673="",$R1673="T"),"",IF($R1673="B","S",IF($Q1673+1&gt;$K$3,"T",IF(INDEX($M$4:$M$2003,MATCH($Q1673+1,$P$4:$P$2003,0))&lt;&gt;INDEX($M$4:$M$2003,MATCH($Q1673,$P$4:$P$2003,0)),"B","S"))))</f>
        <v/>
      </c>
      <c r="S1674">
        <f>IF(Q1674="","",IFERROR(MATCH(Q1674,$P$4:$P$2003,0),""))</f>
        <v/>
      </c>
    </row>
    <row r="1675">
      <c r="A1675" s="4">
        <f>IF($R1675="","",IF($R1675="T","Gesamtergebnis",IF($R1675="B",INDEX($M$4:$M$2003,$S1675),INDEX($L$4:$L$2003,$S1675))))</f>
        <v/>
      </c>
      <c r="B1675" s="4">
        <f>IF($R1675="","",IF($R1675="T",$K$3,IF($R1675="B",COUNTIFS($M$4:$M$2003,INDEX($M$4:$M$2003,$S1675),$N$4:$N$2003,1),1)))</f>
        <v/>
      </c>
      <c r="L1675">
        <f>IF($K$1="","",IFERROR(INDEX(Lines!$A:$AA,ROW()-2,$K$1),""))</f>
        <v/>
      </c>
      <c r="M1675">
        <f>IF($K$2="","",IFERROR(INDEX(Lines!$A:$AA,ROW()-2,$K$2),""))</f>
        <v/>
      </c>
      <c r="N1675">
        <f>IF(AND(L1675&lt;&gt;"",LEFT(L1675,1)="N",M1675&lt;&gt;"PICKING",M1675&lt;&gt;""),1,0)</f>
        <v/>
      </c>
      <c r="O1675">
        <f>IF(N1675=1,M1675&amp;"|"&amp;L1675,REPT("z",40))</f>
        <v/>
      </c>
      <c r="P1675">
        <f>IF(N1675=1,COUNTIF($O$4:$O$2003,"&lt;"&amp;O1675)+1,"")</f>
        <v/>
      </c>
      <c r="Q1675">
        <f>IF(OR($R1674="",$R1674="T"),"",IF($R1674="B",$Q1674,IF($Q1674+1&gt;$K$3,"",$Q1674+1)))</f>
        <v/>
      </c>
      <c r="R1675">
        <f>IF(OR($R1674="",$R1674="T"),"",IF($R1674="B","S",IF($Q1674+1&gt;$K$3,"T",IF(INDEX($M$4:$M$2003,MATCH($Q1674+1,$P$4:$P$2003,0))&lt;&gt;INDEX($M$4:$M$2003,MATCH($Q1674,$P$4:$P$2003,0)),"B","S"))))</f>
        <v/>
      </c>
      <c r="S1675">
        <f>IF(Q1675="","",IFERROR(MATCH(Q1675,$P$4:$P$2003,0),""))</f>
        <v/>
      </c>
    </row>
    <row r="1676">
      <c r="A1676" s="4">
        <f>IF($R1676="","",IF($R1676="T","Gesamtergebnis",IF($R1676="B",INDEX($M$4:$M$2003,$S1676),INDEX($L$4:$L$2003,$S1676))))</f>
        <v/>
      </c>
      <c r="B1676" s="4">
        <f>IF($R1676="","",IF($R1676="T",$K$3,IF($R1676="B",COUNTIFS($M$4:$M$2003,INDEX($M$4:$M$2003,$S1676),$N$4:$N$2003,1),1)))</f>
        <v/>
      </c>
      <c r="L1676">
        <f>IF($K$1="","",IFERROR(INDEX(Lines!$A:$AA,ROW()-2,$K$1),""))</f>
        <v/>
      </c>
      <c r="M1676">
        <f>IF($K$2="","",IFERROR(INDEX(Lines!$A:$AA,ROW()-2,$K$2),""))</f>
        <v/>
      </c>
      <c r="N1676">
        <f>IF(AND(L1676&lt;&gt;"",LEFT(L1676,1)="N",M1676&lt;&gt;"PICKING",M1676&lt;&gt;""),1,0)</f>
        <v/>
      </c>
      <c r="O1676">
        <f>IF(N1676=1,M1676&amp;"|"&amp;L1676,REPT("z",40))</f>
        <v/>
      </c>
      <c r="P1676">
        <f>IF(N1676=1,COUNTIF($O$4:$O$2003,"&lt;"&amp;O1676)+1,"")</f>
        <v/>
      </c>
      <c r="Q1676">
        <f>IF(OR($R1675="",$R1675="T"),"",IF($R1675="B",$Q1675,IF($Q1675+1&gt;$K$3,"",$Q1675+1)))</f>
        <v/>
      </c>
      <c r="R1676">
        <f>IF(OR($R1675="",$R1675="T"),"",IF($R1675="B","S",IF($Q1675+1&gt;$K$3,"T",IF(INDEX($M$4:$M$2003,MATCH($Q1675+1,$P$4:$P$2003,0))&lt;&gt;INDEX($M$4:$M$2003,MATCH($Q1675,$P$4:$P$2003,0)),"B","S"))))</f>
        <v/>
      </c>
      <c r="S1676">
        <f>IF(Q1676="","",IFERROR(MATCH(Q1676,$P$4:$P$2003,0),""))</f>
        <v/>
      </c>
    </row>
    <row r="1677">
      <c r="A1677" s="4">
        <f>IF($R1677="","",IF($R1677="T","Gesamtergebnis",IF($R1677="B",INDEX($M$4:$M$2003,$S1677),INDEX($L$4:$L$2003,$S1677))))</f>
        <v/>
      </c>
      <c r="B1677" s="4">
        <f>IF($R1677="","",IF($R1677="T",$K$3,IF($R1677="B",COUNTIFS($M$4:$M$2003,INDEX($M$4:$M$2003,$S1677),$N$4:$N$2003,1),1)))</f>
        <v/>
      </c>
      <c r="L1677">
        <f>IF($K$1="","",IFERROR(INDEX(Lines!$A:$AA,ROW()-2,$K$1),""))</f>
        <v/>
      </c>
      <c r="M1677">
        <f>IF($K$2="","",IFERROR(INDEX(Lines!$A:$AA,ROW()-2,$K$2),""))</f>
        <v/>
      </c>
      <c r="N1677">
        <f>IF(AND(L1677&lt;&gt;"",LEFT(L1677,1)="N",M1677&lt;&gt;"PICKING",M1677&lt;&gt;""),1,0)</f>
        <v/>
      </c>
      <c r="O1677">
        <f>IF(N1677=1,M1677&amp;"|"&amp;L1677,REPT("z",40))</f>
        <v/>
      </c>
      <c r="P1677">
        <f>IF(N1677=1,COUNTIF($O$4:$O$2003,"&lt;"&amp;O1677)+1,"")</f>
        <v/>
      </c>
      <c r="Q1677">
        <f>IF(OR($R1676="",$R1676="T"),"",IF($R1676="B",$Q1676,IF($Q1676+1&gt;$K$3,"",$Q1676+1)))</f>
        <v/>
      </c>
      <c r="R1677">
        <f>IF(OR($R1676="",$R1676="T"),"",IF($R1676="B","S",IF($Q1676+1&gt;$K$3,"T",IF(INDEX($M$4:$M$2003,MATCH($Q1676+1,$P$4:$P$2003,0))&lt;&gt;INDEX($M$4:$M$2003,MATCH($Q1676,$P$4:$P$2003,0)),"B","S"))))</f>
        <v/>
      </c>
      <c r="S1677">
        <f>IF(Q1677="","",IFERROR(MATCH(Q1677,$P$4:$P$2003,0),""))</f>
        <v/>
      </c>
    </row>
    <row r="1678">
      <c r="A1678" s="4">
        <f>IF($R1678="","",IF($R1678="T","Gesamtergebnis",IF($R1678="B",INDEX($M$4:$M$2003,$S1678),INDEX($L$4:$L$2003,$S1678))))</f>
        <v/>
      </c>
      <c r="B1678" s="4">
        <f>IF($R1678="","",IF($R1678="T",$K$3,IF($R1678="B",COUNTIFS($M$4:$M$2003,INDEX($M$4:$M$2003,$S1678),$N$4:$N$2003,1),1)))</f>
        <v/>
      </c>
      <c r="L1678">
        <f>IF($K$1="","",IFERROR(INDEX(Lines!$A:$AA,ROW()-2,$K$1),""))</f>
        <v/>
      </c>
      <c r="M1678">
        <f>IF($K$2="","",IFERROR(INDEX(Lines!$A:$AA,ROW()-2,$K$2),""))</f>
        <v/>
      </c>
      <c r="N1678">
        <f>IF(AND(L1678&lt;&gt;"",LEFT(L1678,1)="N",M1678&lt;&gt;"PICKING",M1678&lt;&gt;""),1,0)</f>
        <v/>
      </c>
      <c r="O1678">
        <f>IF(N1678=1,M1678&amp;"|"&amp;L1678,REPT("z",40))</f>
        <v/>
      </c>
      <c r="P1678">
        <f>IF(N1678=1,COUNTIF($O$4:$O$2003,"&lt;"&amp;O1678)+1,"")</f>
        <v/>
      </c>
      <c r="Q1678">
        <f>IF(OR($R1677="",$R1677="T"),"",IF($R1677="B",$Q1677,IF($Q1677+1&gt;$K$3,"",$Q1677+1)))</f>
        <v/>
      </c>
      <c r="R1678">
        <f>IF(OR($R1677="",$R1677="T"),"",IF($R1677="B","S",IF($Q1677+1&gt;$K$3,"T",IF(INDEX($M$4:$M$2003,MATCH($Q1677+1,$P$4:$P$2003,0))&lt;&gt;INDEX($M$4:$M$2003,MATCH($Q1677,$P$4:$P$2003,0)),"B","S"))))</f>
        <v/>
      </c>
      <c r="S1678">
        <f>IF(Q1678="","",IFERROR(MATCH(Q1678,$P$4:$P$2003,0),""))</f>
        <v/>
      </c>
    </row>
    <row r="1679">
      <c r="A1679" s="4">
        <f>IF($R1679="","",IF($R1679="T","Gesamtergebnis",IF($R1679="B",INDEX($M$4:$M$2003,$S1679),INDEX($L$4:$L$2003,$S1679))))</f>
        <v/>
      </c>
      <c r="B1679" s="4">
        <f>IF($R1679="","",IF($R1679="T",$K$3,IF($R1679="B",COUNTIFS($M$4:$M$2003,INDEX($M$4:$M$2003,$S1679),$N$4:$N$2003,1),1)))</f>
        <v/>
      </c>
      <c r="L1679">
        <f>IF($K$1="","",IFERROR(INDEX(Lines!$A:$AA,ROW()-2,$K$1),""))</f>
        <v/>
      </c>
      <c r="M1679">
        <f>IF($K$2="","",IFERROR(INDEX(Lines!$A:$AA,ROW()-2,$K$2),""))</f>
        <v/>
      </c>
      <c r="N1679">
        <f>IF(AND(L1679&lt;&gt;"",LEFT(L1679,1)="N",M1679&lt;&gt;"PICKING",M1679&lt;&gt;""),1,0)</f>
        <v/>
      </c>
      <c r="O1679">
        <f>IF(N1679=1,M1679&amp;"|"&amp;L1679,REPT("z",40))</f>
        <v/>
      </c>
      <c r="P1679">
        <f>IF(N1679=1,COUNTIF($O$4:$O$2003,"&lt;"&amp;O1679)+1,"")</f>
        <v/>
      </c>
      <c r="Q1679">
        <f>IF(OR($R1678="",$R1678="T"),"",IF($R1678="B",$Q1678,IF($Q1678+1&gt;$K$3,"",$Q1678+1)))</f>
        <v/>
      </c>
      <c r="R1679">
        <f>IF(OR($R1678="",$R1678="T"),"",IF($R1678="B","S",IF($Q1678+1&gt;$K$3,"T",IF(INDEX($M$4:$M$2003,MATCH($Q1678+1,$P$4:$P$2003,0))&lt;&gt;INDEX($M$4:$M$2003,MATCH($Q1678,$P$4:$P$2003,0)),"B","S"))))</f>
        <v/>
      </c>
      <c r="S1679">
        <f>IF(Q1679="","",IFERROR(MATCH(Q1679,$P$4:$P$2003,0),""))</f>
        <v/>
      </c>
    </row>
    <row r="1680">
      <c r="A1680" s="4">
        <f>IF($R1680="","",IF($R1680="T","Gesamtergebnis",IF($R1680="B",INDEX($M$4:$M$2003,$S1680),INDEX($L$4:$L$2003,$S1680))))</f>
        <v/>
      </c>
      <c r="B1680" s="4">
        <f>IF($R1680="","",IF($R1680="T",$K$3,IF($R1680="B",COUNTIFS($M$4:$M$2003,INDEX($M$4:$M$2003,$S1680),$N$4:$N$2003,1),1)))</f>
        <v/>
      </c>
      <c r="L1680">
        <f>IF($K$1="","",IFERROR(INDEX(Lines!$A:$AA,ROW()-2,$K$1),""))</f>
        <v/>
      </c>
      <c r="M1680">
        <f>IF($K$2="","",IFERROR(INDEX(Lines!$A:$AA,ROW()-2,$K$2),""))</f>
        <v/>
      </c>
      <c r="N1680">
        <f>IF(AND(L1680&lt;&gt;"",LEFT(L1680,1)="N",M1680&lt;&gt;"PICKING",M1680&lt;&gt;""),1,0)</f>
        <v/>
      </c>
      <c r="O1680">
        <f>IF(N1680=1,M1680&amp;"|"&amp;L1680,REPT("z",40))</f>
        <v/>
      </c>
      <c r="P1680">
        <f>IF(N1680=1,COUNTIF($O$4:$O$2003,"&lt;"&amp;O1680)+1,"")</f>
        <v/>
      </c>
      <c r="Q1680">
        <f>IF(OR($R1679="",$R1679="T"),"",IF($R1679="B",$Q1679,IF($Q1679+1&gt;$K$3,"",$Q1679+1)))</f>
        <v/>
      </c>
      <c r="R1680">
        <f>IF(OR($R1679="",$R1679="T"),"",IF($R1679="B","S",IF($Q1679+1&gt;$K$3,"T",IF(INDEX($M$4:$M$2003,MATCH($Q1679+1,$P$4:$P$2003,0))&lt;&gt;INDEX($M$4:$M$2003,MATCH($Q1679,$P$4:$P$2003,0)),"B","S"))))</f>
        <v/>
      </c>
      <c r="S1680">
        <f>IF(Q1680="","",IFERROR(MATCH(Q1680,$P$4:$P$2003,0),""))</f>
        <v/>
      </c>
    </row>
    <row r="1681">
      <c r="A1681" s="4">
        <f>IF($R1681="","",IF($R1681="T","Gesamtergebnis",IF($R1681="B",INDEX($M$4:$M$2003,$S1681),INDEX($L$4:$L$2003,$S1681))))</f>
        <v/>
      </c>
      <c r="B1681" s="4">
        <f>IF($R1681="","",IF($R1681="T",$K$3,IF($R1681="B",COUNTIFS($M$4:$M$2003,INDEX($M$4:$M$2003,$S1681),$N$4:$N$2003,1),1)))</f>
        <v/>
      </c>
      <c r="L1681">
        <f>IF($K$1="","",IFERROR(INDEX(Lines!$A:$AA,ROW()-2,$K$1),""))</f>
        <v/>
      </c>
      <c r="M1681">
        <f>IF($K$2="","",IFERROR(INDEX(Lines!$A:$AA,ROW()-2,$K$2),""))</f>
        <v/>
      </c>
      <c r="N1681">
        <f>IF(AND(L1681&lt;&gt;"",LEFT(L1681,1)="N",M1681&lt;&gt;"PICKING",M1681&lt;&gt;""),1,0)</f>
        <v/>
      </c>
      <c r="O1681">
        <f>IF(N1681=1,M1681&amp;"|"&amp;L1681,REPT("z",40))</f>
        <v/>
      </c>
      <c r="P1681">
        <f>IF(N1681=1,COUNTIF($O$4:$O$2003,"&lt;"&amp;O1681)+1,"")</f>
        <v/>
      </c>
      <c r="Q1681">
        <f>IF(OR($R1680="",$R1680="T"),"",IF($R1680="B",$Q1680,IF($Q1680+1&gt;$K$3,"",$Q1680+1)))</f>
        <v/>
      </c>
      <c r="R1681">
        <f>IF(OR($R1680="",$R1680="T"),"",IF($R1680="B","S",IF($Q1680+1&gt;$K$3,"T",IF(INDEX($M$4:$M$2003,MATCH($Q1680+1,$P$4:$P$2003,0))&lt;&gt;INDEX($M$4:$M$2003,MATCH($Q1680,$P$4:$P$2003,0)),"B","S"))))</f>
        <v/>
      </c>
      <c r="S1681">
        <f>IF(Q1681="","",IFERROR(MATCH(Q1681,$P$4:$P$2003,0),""))</f>
        <v/>
      </c>
    </row>
    <row r="1682">
      <c r="A1682" s="4">
        <f>IF($R1682="","",IF($R1682="T","Gesamtergebnis",IF($R1682="B",INDEX($M$4:$M$2003,$S1682),INDEX($L$4:$L$2003,$S1682))))</f>
        <v/>
      </c>
      <c r="B1682" s="4">
        <f>IF($R1682="","",IF($R1682="T",$K$3,IF($R1682="B",COUNTIFS($M$4:$M$2003,INDEX($M$4:$M$2003,$S1682),$N$4:$N$2003,1),1)))</f>
        <v/>
      </c>
      <c r="L1682">
        <f>IF($K$1="","",IFERROR(INDEX(Lines!$A:$AA,ROW()-2,$K$1),""))</f>
        <v/>
      </c>
      <c r="M1682">
        <f>IF($K$2="","",IFERROR(INDEX(Lines!$A:$AA,ROW()-2,$K$2),""))</f>
        <v/>
      </c>
      <c r="N1682">
        <f>IF(AND(L1682&lt;&gt;"",LEFT(L1682,1)="N",M1682&lt;&gt;"PICKING",M1682&lt;&gt;""),1,0)</f>
        <v/>
      </c>
      <c r="O1682">
        <f>IF(N1682=1,M1682&amp;"|"&amp;L1682,REPT("z",40))</f>
        <v/>
      </c>
      <c r="P1682">
        <f>IF(N1682=1,COUNTIF($O$4:$O$2003,"&lt;"&amp;O1682)+1,"")</f>
        <v/>
      </c>
      <c r="Q1682">
        <f>IF(OR($R1681="",$R1681="T"),"",IF($R1681="B",$Q1681,IF($Q1681+1&gt;$K$3,"",$Q1681+1)))</f>
        <v/>
      </c>
      <c r="R1682">
        <f>IF(OR($R1681="",$R1681="T"),"",IF($R1681="B","S",IF($Q1681+1&gt;$K$3,"T",IF(INDEX($M$4:$M$2003,MATCH($Q1681+1,$P$4:$P$2003,0))&lt;&gt;INDEX($M$4:$M$2003,MATCH($Q1681,$P$4:$P$2003,0)),"B","S"))))</f>
        <v/>
      </c>
      <c r="S1682">
        <f>IF(Q1682="","",IFERROR(MATCH(Q1682,$P$4:$P$2003,0),""))</f>
        <v/>
      </c>
    </row>
    <row r="1683">
      <c r="A1683" s="4">
        <f>IF($R1683="","",IF($R1683="T","Gesamtergebnis",IF($R1683="B",INDEX($M$4:$M$2003,$S1683),INDEX($L$4:$L$2003,$S1683))))</f>
        <v/>
      </c>
      <c r="B1683" s="4">
        <f>IF($R1683="","",IF($R1683="T",$K$3,IF($R1683="B",COUNTIFS($M$4:$M$2003,INDEX($M$4:$M$2003,$S1683),$N$4:$N$2003,1),1)))</f>
        <v/>
      </c>
      <c r="L1683">
        <f>IF($K$1="","",IFERROR(INDEX(Lines!$A:$AA,ROW()-2,$K$1),""))</f>
        <v/>
      </c>
      <c r="M1683">
        <f>IF($K$2="","",IFERROR(INDEX(Lines!$A:$AA,ROW()-2,$K$2),""))</f>
        <v/>
      </c>
      <c r="N1683">
        <f>IF(AND(L1683&lt;&gt;"",LEFT(L1683,1)="N",M1683&lt;&gt;"PICKING",M1683&lt;&gt;""),1,0)</f>
        <v/>
      </c>
      <c r="O1683">
        <f>IF(N1683=1,M1683&amp;"|"&amp;L1683,REPT("z",40))</f>
        <v/>
      </c>
      <c r="P1683">
        <f>IF(N1683=1,COUNTIF($O$4:$O$2003,"&lt;"&amp;O1683)+1,"")</f>
        <v/>
      </c>
      <c r="Q1683">
        <f>IF(OR($R1682="",$R1682="T"),"",IF($R1682="B",$Q1682,IF($Q1682+1&gt;$K$3,"",$Q1682+1)))</f>
        <v/>
      </c>
      <c r="R1683">
        <f>IF(OR($R1682="",$R1682="T"),"",IF($R1682="B","S",IF($Q1682+1&gt;$K$3,"T",IF(INDEX($M$4:$M$2003,MATCH($Q1682+1,$P$4:$P$2003,0))&lt;&gt;INDEX($M$4:$M$2003,MATCH($Q1682,$P$4:$P$2003,0)),"B","S"))))</f>
        <v/>
      </c>
      <c r="S1683">
        <f>IF(Q1683="","",IFERROR(MATCH(Q1683,$P$4:$P$2003,0),""))</f>
        <v/>
      </c>
    </row>
    <row r="1684">
      <c r="A1684" s="4">
        <f>IF($R1684="","",IF($R1684="T","Gesamtergebnis",IF($R1684="B",INDEX($M$4:$M$2003,$S1684),INDEX($L$4:$L$2003,$S1684))))</f>
        <v/>
      </c>
      <c r="B1684" s="4">
        <f>IF($R1684="","",IF($R1684="T",$K$3,IF($R1684="B",COUNTIFS($M$4:$M$2003,INDEX($M$4:$M$2003,$S1684),$N$4:$N$2003,1),1)))</f>
        <v/>
      </c>
      <c r="L1684">
        <f>IF($K$1="","",IFERROR(INDEX(Lines!$A:$AA,ROW()-2,$K$1),""))</f>
        <v/>
      </c>
      <c r="M1684">
        <f>IF($K$2="","",IFERROR(INDEX(Lines!$A:$AA,ROW()-2,$K$2),""))</f>
        <v/>
      </c>
      <c r="N1684">
        <f>IF(AND(L1684&lt;&gt;"",LEFT(L1684,1)="N",M1684&lt;&gt;"PICKING",M1684&lt;&gt;""),1,0)</f>
        <v/>
      </c>
      <c r="O1684">
        <f>IF(N1684=1,M1684&amp;"|"&amp;L1684,REPT("z",40))</f>
        <v/>
      </c>
      <c r="P1684">
        <f>IF(N1684=1,COUNTIF($O$4:$O$2003,"&lt;"&amp;O1684)+1,"")</f>
        <v/>
      </c>
      <c r="Q1684">
        <f>IF(OR($R1683="",$R1683="T"),"",IF($R1683="B",$Q1683,IF($Q1683+1&gt;$K$3,"",$Q1683+1)))</f>
        <v/>
      </c>
      <c r="R1684">
        <f>IF(OR($R1683="",$R1683="T"),"",IF($R1683="B","S",IF($Q1683+1&gt;$K$3,"T",IF(INDEX($M$4:$M$2003,MATCH($Q1683+1,$P$4:$P$2003,0))&lt;&gt;INDEX($M$4:$M$2003,MATCH($Q1683,$P$4:$P$2003,0)),"B","S"))))</f>
        <v/>
      </c>
      <c r="S1684">
        <f>IF(Q1684="","",IFERROR(MATCH(Q1684,$P$4:$P$2003,0),""))</f>
        <v/>
      </c>
    </row>
    <row r="1685">
      <c r="A1685" s="4">
        <f>IF($R1685="","",IF($R1685="T","Gesamtergebnis",IF($R1685="B",INDEX($M$4:$M$2003,$S1685),INDEX($L$4:$L$2003,$S1685))))</f>
        <v/>
      </c>
      <c r="B1685" s="4">
        <f>IF($R1685="","",IF($R1685="T",$K$3,IF($R1685="B",COUNTIFS($M$4:$M$2003,INDEX($M$4:$M$2003,$S1685),$N$4:$N$2003,1),1)))</f>
        <v/>
      </c>
      <c r="L1685">
        <f>IF($K$1="","",IFERROR(INDEX(Lines!$A:$AA,ROW()-2,$K$1),""))</f>
        <v/>
      </c>
      <c r="M1685">
        <f>IF($K$2="","",IFERROR(INDEX(Lines!$A:$AA,ROW()-2,$K$2),""))</f>
        <v/>
      </c>
      <c r="N1685">
        <f>IF(AND(L1685&lt;&gt;"",LEFT(L1685,1)="N",M1685&lt;&gt;"PICKING",M1685&lt;&gt;""),1,0)</f>
        <v/>
      </c>
      <c r="O1685">
        <f>IF(N1685=1,M1685&amp;"|"&amp;L1685,REPT("z",40))</f>
        <v/>
      </c>
      <c r="P1685">
        <f>IF(N1685=1,COUNTIF($O$4:$O$2003,"&lt;"&amp;O1685)+1,"")</f>
        <v/>
      </c>
      <c r="Q1685">
        <f>IF(OR($R1684="",$R1684="T"),"",IF($R1684="B",$Q1684,IF($Q1684+1&gt;$K$3,"",$Q1684+1)))</f>
        <v/>
      </c>
      <c r="R1685">
        <f>IF(OR($R1684="",$R1684="T"),"",IF($R1684="B","S",IF($Q1684+1&gt;$K$3,"T",IF(INDEX($M$4:$M$2003,MATCH($Q1684+1,$P$4:$P$2003,0))&lt;&gt;INDEX($M$4:$M$2003,MATCH($Q1684,$P$4:$P$2003,0)),"B","S"))))</f>
        <v/>
      </c>
      <c r="S1685">
        <f>IF(Q1685="","",IFERROR(MATCH(Q1685,$P$4:$P$2003,0),""))</f>
        <v/>
      </c>
    </row>
    <row r="1686">
      <c r="A1686" s="4">
        <f>IF($R1686="","",IF($R1686="T","Gesamtergebnis",IF($R1686="B",INDEX($M$4:$M$2003,$S1686),INDEX($L$4:$L$2003,$S1686))))</f>
        <v/>
      </c>
      <c r="B1686" s="4">
        <f>IF($R1686="","",IF($R1686="T",$K$3,IF($R1686="B",COUNTIFS($M$4:$M$2003,INDEX($M$4:$M$2003,$S1686),$N$4:$N$2003,1),1)))</f>
        <v/>
      </c>
      <c r="L1686">
        <f>IF($K$1="","",IFERROR(INDEX(Lines!$A:$AA,ROW()-2,$K$1),""))</f>
        <v/>
      </c>
      <c r="M1686">
        <f>IF($K$2="","",IFERROR(INDEX(Lines!$A:$AA,ROW()-2,$K$2),""))</f>
        <v/>
      </c>
      <c r="N1686">
        <f>IF(AND(L1686&lt;&gt;"",LEFT(L1686,1)="N",M1686&lt;&gt;"PICKING",M1686&lt;&gt;""),1,0)</f>
        <v/>
      </c>
      <c r="O1686">
        <f>IF(N1686=1,M1686&amp;"|"&amp;L1686,REPT("z",40))</f>
        <v/>
      </c>
      <c r="P1686">
        <f>IF(N1686=1,COUNTIF($O$4:$O$2003,"&lt;"&amp;O1686)+1,"")</f>
        <v/>
      </c>
      <c r="Q1686">
        <f>IF(OR($R1685="",$R1685="T"),"",IF($R1685="B",$Q1685,IF($Q1685+1&gt;$K$3,"",$Q1685+1)))</f>
        <v/>
      </c>
      <c r="R1686">
        <f>IF(OR($R1685="",$R1685="T"),"",IF($R1685="B","S",IF($Q1685+1&gt;$K$3,"T",IF(INDEX($M$4:$M$2003,MATCH($Q1685+1,$P$4:$P$2003,0))&lt;&gt;INDEX($M$4:$M$2003,MATCH($Q1685,$P$4:$P$2003,0)),"B","S"))))</f>
        <v/>
      </c>
      <c r="S1686">
        <f>IF(Q1686="","",IFERROR(MATCH(Q1686,$P$4:$P$2003,0),""))</f>
        <v/>
      </c>
    </row>
    <row r="1687">
      <c r="A1687" s="4">
        <f>IF($R1687="","",IF($R1687="T","Gesamtergebnis",IF($R1687="B",INDEX($M$4:$M$2003,$S1687),INDEX($L$4:$L$2003,$S1687))))</f>
        <v/>
      </c>
      <c r="B1687" s="4">
        <f>IF($R1687="","",IF($R1687="T",$K$3,IF($R1687="B",COUNTIFS($M$4:$M$2003,INDEX($M$4:$M$2003,$S1687),$N$4:$N$2003,1),1)))</f>
        <v/>
      </c>
      <c r="L1687">
        <f>IF($K$1="","",IFERROR(INDEX(Lines!$A:$AA,ROW()-2,$K$1),""))</f>
        <v/>
      </c>
      <c r="M1687">
        <f>IF($K$2="","",IFERROR(INDEX(Lines!$A:$AA,ROW()-2,$K$2),""))</f>
        <v/>
      </c>
      <c r="N1687">
        <f>IF(AND(L1687&lt;&gt;"",LEFT(L1687,1)="N",M1687&lt;&gt;"PICKING",M1687&lt;&gt;""),1,0)</f>
        <v/>
      </c>
      <c r="O1687">
        <f>IF(N1687=1,M1687&amp;"|"&amp;L1687,REPT("z",40))</f>
        <v/>
      </c>
      <c r="P1687">
        <f>IF(N1687=1,COUNTIF($O$4:$O$2003,"&lt;"&amp;O1687)+1,"")</f>
        <v/>
      </c>
      <c r="Q1687">
        <f>IF(OR($R1686="",$R1686="T"),"",IF($R1686="B",$Q1686,IF($Q1686+1&gt;$K$3,"",$Q1686+1)))</f>
        <v/>
      </c>
      <c r="R1687">
        <f>IF(OR($R1686="",$R1686="T"),"",IF($R1686="B","S",IF($Q1686+1&gt;$K$3,"T",IF(INDEX($M$4:$M$2003,MATCH($Q1686+1,$P$4:$P$2003,0))&lt;&gt;INDEX($M$4:$M$2003,MATCH($Q1686,$P$4:$P$2003,0)),"B","S"))))</f>
        <v/>
      </c>
      <c r="S1687">
        <f>IF(Q1687="","",IFERROR(MATCH(Q1687,$P$4:$P$2003,0),""))</f>
        <v/>
      </c>
    </row>
    <row r="1688">
      <c r="A1688" s="4">
        <f>IF($R1688="","",IF($R1688="T","Gesamtergebnis",IF($R1688="B",INDEX($M$4:$M$2003,$S1688),INDEX($L$4:$L$2003,$S1688))))</f>
        <v/>
      </c>
      <c r="B1688" s="4">
        <f>IF($R1688="","",IF($R1688="T",$K$3,IF($R1688="B",COUNTIFS($M$4:$M$2003,INDEX($M$4:$M$2003,$S1688),$N$4:$N$2003,1),1)))</f>
        <v/>
      </c>
      <c r="L1688">
        <f>IF($K$1="","",IFERROR(INDEX(Lines!$A:$AA,ROW()-2,$K$1),""))</f>
        <v/>
      </c>
      <c r="M1688">
        <f>IF($K$2="","",IFERROR(INDEX(Lines!$A:$AA,ROW()-2,$K$2),""))</f>
        <v/>
      </c>
      <c r="N1688">
        <f>IF(AND(L1688&lt;&gt;"",LEFT(L1688,1)="N",M1688&lt;&gt;"PICKING",M1688&lt;&gt;""),1,0)</f>
        <v/>
      </c>
      <c r="O1688">
        <f>IF(N1688=1,M1688&amp;"|"&amp;L1688,REPT("z",40))</f>
        <v/>
      </c>
      <c r="P1688">
        <f>IF(N1688=1,COUNTIF($O$4:$O$2003,"&lt;"&amp;O1688)+1,"")</f>
        <v/>
      </c>
      <c r="Q1688">
        <f>IF(OR($R1687="",$R1687="T"),"",IF($R1687="B",$Q1687,IF($Q1687+1&gt;$K$3,"",$Q1687+1)))</f>
        <v/>
      </c>
      <c r="R1688">
        <f>IF(OR($R1687="",$R1687="T"),"",IF($R1687="B","S",IF($Q1687+1&gt;$K$3,"T",IF(INDEX($M$4:$M$2003,MATCH($Q1687+1,$P$4:$P$2003,0))&lt;&gt;INDEX($M$4:$M$2003,MATCH($Q1687,$P$4:$P$2003,0)),"B","S"))))</f>
        <v/>
      </c>
      <c r="S1688">
        <f>IF(Q1688="","",IFERROR(MATCH(Q1688,$P$4:$P$2003,0),""))</f>
        <v/>
      </c>
    </row>
    <row r="1689">
      <c r="A1689" s="4">
        <f>IF($R1689="","",IF($R1689="T","Gesamtergebnis",IF($R1689="B",INDEX($M$4:$M$2003,$S1689),INDEX($L$4:$L$2003,$S1689))))</f>
        <v/>
      </c>
      <c r="B1689" s="4">
        <f>IF($R1689="","",IF($R1689="T",$K$3,IF($R1689="B",COUNTIFS($M$4:$M$2003,INDEX($M$4:$M$2003,$S1689),$N$4:$N$2003,1),1)))</f>
        <v/>
      </c>
      <c r="L1689">
        <f>IF($K$1="","",IFERROR(INDEX(Lines!$A:$AA,ROW()-2,$K$1),""))</f>
        <v/>
      </c>
      <c r="M1689">
        <f>IF($K$2="","",IFERROR(INDEX(Lines!$A:$AA,ROW()-2,$K$2),""))</f>
        <v/>
      </c>
      <c r="N1689">
        <f>IF(AND(L1689&lt;&gt;"",LEFT(L1689,1)="N",M1689&lt;&gt;"PICKING",M1689&lt;&gt;""),1,0)</f>
        <v/>
      </c>
      <c r="O1689">
        <f>IF(N1689=1,M1689&amp;"|"&amp;L1689,REPT("z",40))</f>
        <v/>
      </c>
      <c r="P1689">
        <f>IF(N1689=1,COUNTIF($O$4:$O$2003,"&lt;"&amp;O1689)+1,"")</f>
        <v/>
      </c>
      <c r="Q1689">
        <f>IF(OR($R1688="",$R1688="T"),"",IF($R1688="B",$Q1688,IF($Q1688+1&gt;$K$3,"",$Q1688+1)))</f>
        <v/>
      </c>
      <c r="R1689">
        <f>IF(OR($R1688="",$R1688="T"),"",IF($R1688="B","S",IF($Q1688+1&gt;$K$3,"T",IF(INDEX($M$4:$M$2003,MATCH($Q1688+1,$P$4:$P$2003,0))&lt;&gt;INDEX($M$4:$M$2003,MATCH($Q1688,$P$4:$P$2003,0)),"B","S"))))</f>
        <v/>
      </c>
      <c r="S1689">
        <f>IF(Q1689="","",IFERROR(MATCH(Q1689,$P$4:$P$2003,0),""))</f>
        <v/>
      </c>
    </row>
    <row r="1690">
      <c r="A1690" s="4">
        <f>IF($R1690="","",IF($R1690="T","Gesamtergebnis",IF($R1690="B",INDEX($M$4:$M$2003,$S1690),INDEX($L$4:$L$2003,$S1690))))</f>
        <v/>
      </c>
      <c r="B1690" s="4">
        <f>IF($R1690="","",IF($R1690="T",$K$3,IF($R1690="B",COUNTIFS($M$4:$M$2003,INDEX($M$4:$M$2003,$S1690),$N$4:$N$2003,1),1)))</f>
        <v/>
      </c>
      <c r="L1690">
        <f>IF($K$1="","",IFERROR(INDEX(Lines!$A:$AA,ROW()-2,$K$1),""))</f>
        <v/>
      </c>
      <c r="M1690">
        <f>IF($K$2="","",IFERROR(INDEX(Lines!$A:$AA,ROW()-2,$K$2),""))</f>
        <v/>
      </c>
      <c r="N1690">
        <f>IF(AND(L1690&lt;&gt;"",LEFT(L1690,1)="N",M1690&lt;&gt;"PICKING",M1690&lt;&gt;""),1,0)</f>
        <v/>
      </c>
      <c r="O1690">
        <f>IF(N1690=1,M1690&amp;"|"&amp;L1690,REPT("z",40))</f>
        <v/>
      </c>
      <c r="P1690">
        <f>IF(N1690=1,COUNTIF($O$4:$O$2003,"&lt;"&amp;O1690)+1,"")</f>
        <v/>
      </c>
      <c r="Q1690">
        <f>IF(OR($R1689="",$R1689="T"),"",IF($R1689="B",$Q1689,IF($Q1689+1&gt;$K$3,"",$Q1689+1)))</f>
        <v/>
      </c>
      <c r="R1690">
        <f>IF(OR($R1689="",$R1689="T"),"",IF($R1689="B","S",IF($Q1689+1&gt;$K$3,"T",IF(INDEX($M$4:$M$2003,MATCH($Q1689+1,$P$4:$P$2003,0))&lt;&gt;INDEX($M$4:$M$2003,MATCH($Q1689,$P$4:$P$2003,0)),"B","S"))))</f>
        <v/>
      </c>
      <c r="S1690">
        <f>IF(Q1690="","",IFERROR(MATCH(Q1690,$P$4:$P$2003,0),""))</f>
        <v/>
      </c>
    </row>
    <row r="1691">
      <c r="A1691" s="4">
        <f>IF($R1691="","",IF($R1691="T","Gesamtergebnis",IF($R1691="B",INDEX($M$4:$M$2003,$S1691),INDEX($L$4:$L$2003,$S1691))))</f>
        <v/>
      </c>
      <c r="B1691" s="4">
        <f>IF($R1691="","",IF($R1691="T",$K$3,IF($R1691="B",COUNTIFS($M$4:$M$2003,INDEX($M$4:$M$2003,$S1691),$N$4:$N$2003,1),1)))</f>
        <v/>
      </c>
      <c r="L1691">
        <f>IF($K$1="","",IFERROR(INDEX(Lines!$A:$AA,ROW()-2,$K$1),""))</f>
        <v/>
      </c>
      <c r="M1691">
        <f>IF($K$2="","",IFERROR(INDEX(Lines!$A:$AA,ROW()-2,$K$2),""))</f>
        <v/>
      </c>
      <c r="N1691">
        <f>IF(AND(L1691&lt;&gt;"",LEFT(L1691,1)="N",M1691&lt;&gt;"PICKING",M1691&lt;&gt;""),1,0)</f>
        <v/>
      </c>
      <c r="O1691">
        <f>IF(N1691=1,M1691&amp;"|"&amp;L1691,REPT("z",40))</f>
        <v/>
      </c>
      <c r="P1691">
        <f>IF(N1691=1,COUNTIF($O$4:$O$2003,"&lt;"&amp;O1691)+1,"")</f>
        <v/>
      </c>
      <c r="Q1691">
        <f>IF(OR($R1690="",$R1690="T"),"",IF($R1690="B",$Q1690,IF($Q1690+1&gt;$K$3,"",$Q1690+1)))</f>
        <v/>
      </c>
      <c r="R1691">
        <f>IF(OR($R1690="",$R1690="T"),"",IF($R1690="B","S",IF($Q1690+1&gt;$K$3,"T",IF(INDEX($M$4:$M$2003,MATCH($Q1690+1,$P$4:$P$2003,0))&lt;&gt;INDEX($M$4:$M$2003,MATCH($Q1690,$P$4:$P$2003,0)),"B","S"))))</f>
        <v/>
      </c>
      <c r="S1691">
        <f>IF(Q1691="","",IFERROR(MATCH(Q1691,$P$4:$P$2003,0),""))</f>
        <v/>
      </c>
    </row>
    <row r="1692">
      <c r="A1692" s="4">
        <f>IF($R1692="","",IF($R1692="T","Gesamtergebnis",IF($R1692="B",INDEX($M$4:$M$2003,$S1692),INDEX($L$4:$L$2003,$S1692))))</f>
        <v/>
      </c>
      <c r="B1692" s="4">
        <f>IF($R1692="","",IF($R1692="T",$K$3,IF($R1692="B",COUNTIFS($M$4:$M$2003,INDEX($M$4:$M$2003,$S1692),$N$4:$N$2003,1),1)))</f>
        <v/>
      </c>
      <c r="L1692">
        <f>IF($K$1="","",IFERROR(INDEX(Lines!$A:$AA,ROW()-2,$K$1),""))</f>
        <v/>
      </c>
      <c r="M1692">
        <f>IF($K$2="","",IFERROR(INDEX(Lines!$A:$AA,ROW()-2,$K$2),""))</f>
        <v/>
      </c>
      <c r="N1692">
        <f>IF(AND(L1692&lt;&gt;"",LEFT(L1692,1)="N",M1692&lt;&gt;"PICKING",M1692&lt;&gt;""),1,0)</f>
        <v/>
      </c>
      <c r="O1692">
        <f>IF(N1692=1,M1692&amp;"|"&amp;L1692,REPT("z",40))</f>
        <v/>
      </c>
      <c r="P1692">
        <f>IF(N1692=1,COUNTIF($O$4:$O$2003,"&lt;"&amp;O1692)+1,"")</f>
        <v/>
      </c>
      <c r="Q1692">
        <f>IF(OR($R1691="",$R1691="T"),"",IF($R1691="B",$Q1691,IF($Q1691+1&gt;$K$3,"",$Q1691+1)))</f>
        <v/>
      </c>
      <c r="R1692">
        <f>IF(OR($R1691="",$R1691="T"),"",IF($R1691="B","S",IF($Q1691+1&gt;$K$3,"T",IF(INDEX($M$4:$M$2003,MATCH($Q1691+1,$P$4:$P$2003,0))&lt;&gt;INDEX($M$4:$M$2003,MATCH($Q1691,$P$4:$P$2003,0)),"B","S"))))</f>
        <v/>
      </c>
      <c r="S1692">
        <f>IF(Q1692="","",IFERROR(MATCH(Q1692,$P$4:$P$2003,0),""))</f>
        <v/>
      </c>
    </row>
    <row r="1693">
      <c r="A1693" s="4">
        <f>IF($R1693="","",IF($R1693="T","Gesamtergebnis",IF($R1693="B",INDEX($M$4:$M$2003,$S1693),INDEX($L$4:$L$2003,$S1693))))</f>
        <v/>
      </c>
      <c r="B1693" s="4">
        <f>IF($R1693="","",IF($R1693="T",$K$3,IF($R1693="B",COUNTIFS($M$4:$M$2003,INDEX($M$4:$M$2003,$S1693),$N$4:$N$2003,1),1)))</f>
        <v/>
      </c>
      <c r="L1693">
        <f>IF($K$1="","",IFERROR(INDEX(Lines!$A:$AA,ROW()-2,$K$1),""))</f>
        <v/>
      </c>
      <c r="M1693">
        <f>IF($K$2="","",IFERROR(INDEX(Lines!$A:$AA,ROW()-2,$K$2),""))</f>
        <v/>
      </c>
      <c r="N1693">
        <f>IF(AND(L1693&lt;&gt;"",LEFT(L1693,1)="N",M1693&lt;&gt;"PICKING",M1693&lt;&gt;""),1,0)</f>
        <v/>
      </c>
      <c r="O1693">
        <f>IF(N1693=1,M1693&amp;"|"&amp;L1693,REPT("z",40))</f>
        <v/>
      </c>
      <c r="P1693">
        <f>IF(N1693=1,COUNTIF($O$4:$O$2003,"&lt;"&amp;O1693)+1,"")</f>
        <v/>
      </c>
      <c r="Q1693">
        <f>IF(OR($R1692="",$R1692="T"),"",IF($R1692="B",$Q1692,IF($Q1692+1&gt;$K$3,"",$Q1692+1)))</f>
        <v/>
      </c>
      <c r="R1693">
        <f>IF(OR($R1692="",$R1692="T"),"",IF($R1692="B","S",IF($Q1692+1&gt;$K$3,"T",IF(INDEX($M$4:$M$2003,MATCH($Q1692+1,$P$4:$P$2003,0))&lt;&gt;INDEX($M$4:$M$2003,MATCH($Q1692,$P$4:$P$2003,0)),"B","S"))))</f>
        <v/>
      </c>
      <c r="S1693">
        <f>IF(Q1693="","",IFERROR(MATCH(Q1693,$P$4:$P$2003,0),""))</f>
        <v/>
      </c>
    </row>
    <row r="1694">
      <c r="A1694" s="4">
        <f>IF($R1694="","",IF($R1694="T","Gesamtergebnis",IF($R1694="B",INDEX($M$4:$M$2003,$S1694),INDEX($L$4:$L$2003,$S1694))))</f>
        <v/>
      </c>
      <c r="B1694" s="4">
        <f>IF($R1694="","",IF($R1694="T",$K$3,IF($R1694="B",COUNTIFS($M$4:$M$2003,INDEX($M$4:$M$2003,$S1694),$N$4:$N$2003,1),1)))</f>
        <v/>
      </c>
      <c r="L1694">
        <f>IF($K$1="","",IFERROR(INDEX(Lines!$A:$AA,ROW()-2,$K$1),""))</f>
        <v/>
      </c>
      <c r="M1694">
        <f>IF($K$2="","",IFERROR(INDEX(Lines!$A:$AA,ROW()-2,$K$2),""))</f>
        <v/>
      </c>
      <c r="N1694">
        <f>IF(AND(L1694&lt;&gt;"",LEFT(L1694,1)="N",M1694&lt;&gt;"PICKING",M1694&lt;&gt;""),1,0)</f>
        <v/>
      </c>
      <c r="O1694">
        <f>IF(N1694=1,M1694&amp;"|"&amp;L1694,REPT("z",40))</f>
        <v/>
      </c>
      <c r="P1694">
        <f>IF(N1694=1,COUNTIF($O$4:$O$2003,"&lt;"&amp;O1694)+1,"")</f>
        <v/>
      </c>
      <c r="Q1694">
        <f>IF(OR($R1693="",$R1693="T"),"",IF($R1693="B",$Q1693,IF($Q1693+1&gt;$K$3,"",$Q1693+1)))</f>
        <v/>
      </c>
      <c r="R1694">
        <f>IF(OR($R1693="",$R1693="T"),"",IF($R1693="B","S",IF($Q1693+1&gt;$K$3,"T",IF(INDEX($M$4:$M$2003,MATCH($Q1693+1,$P$4:$P$2003,0))&lt;&gt;INDEX($M$4:$M$2003,MATCH($Q1693,$P$4:$P$2003,0)),"B","S"))))</f>
        <v/>
      </c>
      <c r="S1694">
        <f>IF(Q1694="","",IFERROR(MATCH(Q1694,$P$4:$P$2003,0),""))</f>
        <v/>
      </c>
    </row>
    <row r="1695">
      <c r="A1695" s="4">
        <f>IF($R1695="","",IF($R1695="T","Gesamtergebnis",IF($R1695="B",INDEX($M$4:$M$2003,$S1695),INDEX($L$4:$L$2003,$S1695))))</f>
        <v/>
      </c>
      <c r="B1695" s="4">
        <f>IF($R1695="","",IF($R1695="T",$K$3,IF($R1695="B",COUNTIFS($M$4:$M$2003,INDEX($M$4:$M$2003,$S1695),$N$4:$N$2003,1),1)))</f>
        <v/>
      </c>
      <c r="L1695">
        <f>IF($K$1="","",IFERROR(INDEX(Lines!$A:$AA,ROW()-2,$K$1),""))</f>
        <v/>
      </c>
      <c r="M1695">
        <f>IF($K$2="","",IFERROR(INDEX(Lines!$A:$AA,ROW()-2,$K$2),""))</f>
        <v/>
      </c>
      <c r="N1695">
        <f>IF(AND(L1695&lt;&gt;"",LEFT(L1695,1)="N",M1695&lt;&gt;"PICKING",M1695&lt;&gt;""),1,0)</f>
        <v/>
      </c>
      <c r="O1695">
        <f>IF(N1695=1,M1695&amp;"|"&amp;L1695,REPT("z",40))</f>
        <v/>
      </c>
      <c r="P1695">
        <f>IF(N1695=1,COUNTIF($O$4:$O$2003,"&lt;"&amp;O1695)+1,"")</f>
        <v/>
      </c>
      <c r="Q1695">
        <f>IF(OR($R1694="",$R1694="T"),"",IF($R1694="B",$Q1694,IF($Q1694+1&gt;$K$3,"",$Q1694+1)))</f>
        <v/>
      </c>
      <c r="R1695">
        <f>IF(OR($R1694="",$R1694="T"),"",IF($R1694="B","S",IF($Q1694+1&gt;$K$3,"T",IF(INDEX($M$4:$M$2003,MATCH($Q1694+1,$P$4:$P$2003,0))&lt;&gt;INDEX($M$4:$M$2003,MATCH($Q1694,$P$4:$P$2003,0)),"B","S"))))</f>
        <v/>
      </c>
      <c r="S1695">
        <f>IF(Q1695="","",IFERROR(MATCH(Q1695,$P$4:$P$2003,0),""))</f>
        <v/>
      </c>
    </row>
    <row r="1696">
      <c r="A1696" s="4">
        <f>IF($R1696="","",IF($R1696="T","Gesamtergebnis",IF($R1696="B",INDEX($M$4:$M$2003,$S1696),INDEX($L$4:$L$2003,$S1696))))</f>
        <v/>
      </c>
      <c r="B1696" s="4">
        <f>IF($R1696="","",IF($R1696="T",$K$3,IF($R1696="B",COUNTIFS($M$4:$M$2003,INDEX($M$4:$M$2003,$S1696),$N$4:$N$2003,1),1)))</f>
        <v/>
      </c>
      <c r="L1696">
        <f>IF($K$1="","",IFERROR(INDEX(Lines!$A:$AA,ROW()-2,$K$1),""))</f>
        <v/>
      </c>
      <c r="M1696">
        <f>IF($K$2="","",IFERROR(INDEX(Lines!$A:$AA,ROW()-2,$K$2),""))</f>
        <v/>
      </c>
      <c r="N1696">
        <f>IF(AND(L1696&lt;&gt;"",LEFT(L1696,1)="N",M1696&lt;&gt;"PICKING",M1696&lt;&gt;""),1,0)</f>
        <v/>
      </c>
      <c r="O1696">
        <f>IF(N1696=1,M1696&amp;"|"&amp;L1696,REPT("z",40))</f>
        <v/>
      </c>
      <c r="P1696">
        <f>IF(N1696=1,COUNTIF($O$4:$O$2003,"&lt;"&amp;O1696)+1,"")</f>
        <v/>
      </c>
      <c r="Q1696">
        <f>IF(OR($R1695="",$R1695="T"),"",IF($R1695="B",$Q1695,IF($Q1695+1&gt;$K$3,"",$Q1695+1)))</f>
        <v/>
      </c>
      <c r="R1696">
        <f>IF(OR($R1695="",$R1695="T"),"",IF($R1695="B","S",IF($Q1695+1&gt;$K$3,"T",IF(INDEX($M$4:$M$2003,MATCH($Q1695+1,$P$4:$P$2003,0))&lt;&gt;INDEX($M$4:$M$2003,MATCH($Q1695,$P$4:$P$2003,0)),"B","S"))))</f>
        <v/>
      </c>
      <c r="S1696">
        <f>IF(Q1696="","",IFERROR(MATCH(Q1696,$P$4:$P$2003,0),""))</f>
        <v/>
      </c>
    </row>
    <row r="1697">
      <c r="A1697" s="4">
        <f>IF($R1697="","",IF($R1697="T","Gesamtergebnis",IF($R1697="B",INDEX($M$4:$M$2003,$S1697),INDEX($L$4:$L$2003,$S1697))))</f>
        <v/>
      </c>
      <c r="B1697" s="4">
        <f>IF($R1697="","",IF($R1697="T",$K$3,IF($R1697="B",COUNTIFS($M$4:$M$2003,INDEX($M$4:$M$2003,$S1697),$N$4:$N$2003,1),1)))</f>
        <v/>
      </c>
      <c r="L1697">
        <f>IF($K$1="","",IFERROR(INDEX(Lines!$A:$AA,ROW()-2,$K$1),""))</f>
        <v/>
      </c>
      <c r="M1697">
        <f>IF($K$2="","",IFERROR(INDEX(Lines!$A:$AA,ROW()-2,$K$2),""))</f>
        <v/>
      </c>
      <c r="N1697">
        <f>IF(AND(L1697&lt;&gt;"",LEFT(L1697,1)="N",M1697&lt;&gt;"PICKING",M1697&lt;&gt;""),1,0)</f>
        <v/>
      </c>
      <c r="O1697">
        <f>IF(N1697=1,M1697&amp;"|"&amp;L1697,REPT("z",40))</f>
        <v/>
      </c>
      <c r="P1697">
        <f>IF(N1697=1,COUNTIF($O$4:$O$2003,"&lt;"&amp;O1697)+1,"")</f>
        <v/>
      </c>
      <c r="Q1697">
        <f>IF(OR($R1696="",$R1696="T"),"",IF($R1696="B",$Q1696,IF($Q1696+1&gt;$K$3,"",$Q1696+1)))</f>
        <v/>
      </c>
      <c r="R1697">
        <f>IF(OR($R1696="",$R1696="T"),"",IF($R1696="B","S",IF($Q1696+1&gt;$K$3,"T",IF(INDEX($M$4:$M$2003,MATCH($Q1696+1,$P$4:$P$2003,0))&lt;&gt;INDEX($M$4:$M$2003,MATCH($Q1696,$P$4:$P$2003,0)),"B","S"))))</f>
        <v/>
      </c>
      <c r="S1697">
        <f>IF(Q1697="","",IFERROR(MATCH(Q1697,$P$4:$P$2003,0),""))</f>
        <v/>
      </c>
    </row>
    <row r="1698">
      <c r="A1698" s="4">
        <f>IF($R1698="","",IF($R1698="T","Gesamtergebnis",IF($R1698="B",INDEX($M$4:$M$2003,$S1698),INDEX($L$4:$L$2003,$S1698))))</f>
        <v/>
      </c>
      <c r="B1698" s="4">
        <f>IF($R1698="","",IF($R1698="T",$K$3,IF($R1698="B",COUNTIFS($M$4:$M$2003,INDEX($M$4:$M$2003,$S1698),$N$4:$N$2003,1),1)))</f>
        <v/>
      </c>
      <c r="L1698">
        <f>IF($K$1="","",IFERROR(INDEX(Lines!$A:$AA,ROW()-2,$K$1),""))</f>
        <v/>
      </c>
      <c r="M1698">
        <f>IF($K$2="","",IFERROR(INDEX(Lines!$A:$AA,ROW()-2,$K$2),""))</f>
        <v/>
      </c>
      <c r="N1698">
        <f>IF(AND(L1698&lt;&gt;"",LEFT(L1698,1)="N",M1698&lt;&gt;"PICKING",M1698&lt;&gt;""),1,0)</f>
        <v/>
      </c>
      <c r="O1698">
        <f>IF(N1698=1,M1698&amp;"|"&amp;L1698,REPT("z",40))</f>
        <v/>
      </c>
      <c r="P1698">
        <f>IF(N1698=1,COUNTIF($O$4:$O$2003,"&lt;"&amp;O1698)+1,"")</f>
        <v/>
      </c>
      <c r="Q1698">
        <f>IF(OR($R1697="",$R1697="T"),"",IF($R1697="B",$Q1697,IF($Q1697+1&gt;$K$3,"",$Q1697+1)))</f>
        <v/>
      </c>
      <c r="R1698">
        <f>IF(OR($R1697="",$R1697="T"),"",IF($R1697="B","S",IF($Q1697+1&gt;$K$3,"T",IF(INDEX($M$4:$M$2003,MATCH($Q1697+1,$P$4:$P$2003,0))&lt;&gt;INDEX($M$4:$M$2003,MATCH($Q1697,$P$4:$P$2003,0)),"B","S"))))</f>
        <v/>
      </c>
      <c r="S1698">
        <f>IF(Q1698="","",IFERROR(MATCH(Q1698,$P$4:$P$2003,0),""))</f>
        <v/>
      </c>
    </row>
    <row r="1699">
      <c r="A1699" s="4">
        <f>IF($R1699="","",IF($R1699="T","Gesamtergebnis",IF($R1699="B",INDEX($M$4:$M$2003,$S1699),INDEX($L$4:$L$2003,$S1699))))</f>
        <v/>
      </c>
      <c r="B1699" s="4">
        <f>IF($R1699="","",IF($R1699="T",$K$3,IF($R1699="B",COUNTIFS($M$4:$M$2003,INDEX($M$4:$M$2003,$S1699),$N$4:$N$2003,1),1)))</f>
        <v/>
      </c>
      <c r="L1699">
        <f>IF($K$1="","",IFERROR(INDEX(Lines!$A:$AA,ROW()-2,$K$1),""))</f>
        <v/>
      </c>
      <c r="M1699">
        <f>IF($K$2="","",IFERROR(INDEX(Lines!$A:$AA,ROW()-2,$K$2),""))</f>
        <v/>
      </c>
      <c r="N1699">
        <f>IF(AND(L1699&lt;&gt;"",LEFT(L1699,1)="N",M1699&lt;&gt;"PICKING",M1699&lt;&gt;""),1,0)</f>
        <v/>
      </c>
      <c r="O1699">
        <f>IF(N1699=1,M1699&amp;"|"&amp;L1699,REPT("z",40))</f>
        <v/>
      </c>
      <c r="P1699">
        <f>IF(N1699=1,COUNTIF($O$4:$O$2003,"&lt;"&amp;O1699)+1,"")</f>
        <v/>
      </c>
      <c r="Q1699">
        <f>IF(OR($R1698="",$R1698="T"),"",IF($R1698="B",$Q1698,IF($Q1698+1&gt;$K$3,"",$Q1698+1)))</f>
        <v/>
      </c>
      <c r="R1699">
        <f>IF(OR($R1698="",$R1698="T"),"",IF($R1698="B","S",IF($Q1698+1&gt;$K$3,"T",IF(INDEX($M$4:$M$2003,MATCH($Q1698+1,$P$4:$P$2003,0))&lt;&gt;INDEX($M$4:$M$2003,MATCH($Q1698,$P$4:$P$2003,0)),"B","S"))))</f>
        <v/>
      </c>
      <c r="S1699">
        <f>IF(Q1699="","",IFERROR(MATCH(Q1699,$P$4:$P$2003,0),""))</f>
        <v/>
      </c>
    </row>
    <row r="1700">
      <c r="A1700" s="4">
        <f>IF($R1700="","",IF($R1700="T","Gesamtergebnis",IF($R1700="B",INDEX($M$4:$M$2003,$S1700),INDEX($L$4:$L$2003,$S1700))))</f>
        <v/>
      </c>
      <c r="B1700" s="4">
        <f>IF($R1700="","",IF($R1700="T",$K$3,IF($R1700="B",COUNTIFS($M$4:$M$2003,INDEX($M$4:$M$2003,$S1700),$N$4:$N$2003,1),1)))</f>
        <v/>
      </c>
      <c r="L1700">
        <f>IF($K$1="","",IFERROR(INDEX(Lines!$A:$AA,ROW()-2,$K$1),""))</f>
        <v/>
      </c>
      <c r="M1700">
        <f>IF($K$2="","",IFERROR(INDEX(Lines!$A:$AA,ROW()-2,$K$2),""))</f>
        <v/>
      </c>
      <c r="N1700">
        <f>IF(AND(L1700&lt;&gt;"",LEFT(L1700,1)="N",M1700&lt;&gt;"PICKING",M1700&lt;&gt;""),1,0)</f>
        <v/>
      </c>
      <c r="O1700">
        <f>IF(N1700=1,M1700&amp;"|"&amp;L1700,REPT("z",40))</f>
        <v/>
      </c>
      <c r="P1700">
        <f>IF(N1700=1,COUNTIF($O$4:$O$2003,"&lt;"&amp;O1700)+1,"")</f>
        <v/>
      </c>
      <c r="Q1700">
        <f>IF(OR($R1699="",$R1699="T"),"",IF($R1699="B",$Q1699,IF($Q1699+1&gt;$K$3,"",$Q1699+1)))</f>
        <v/>
      </c>
      <c r="R1700">
        <f>IF(OR($R1699="",$R1699="T"),"",IF($R1699="B","S",IF($Q1699+1&gt;$K$3,"T",IF(INDEX($M$4:$M$2003,MATCH($Q1699+1,$P$4:$P$2003,0))&lt;&gt;INDEX($M$4:$M$2003,MATCH($Q1699,$P$4:$P$2003,0)),"B","S"))))</f>
        <v/>
      </c>
      <c r="S1700">
        <f>IF(Q1700="","",IFERROR(MATCH(Q1700,$P$4:$P$2003,0),""))</f>
        <v/>
      </c>
    </row>
    <row r="1701">
      <c r="A1701" s="4">
        <f>IF($R1701="","",IF($R1701="T","Gesamtergebnis",IF($R1701="B",INDEX($M$4:$M$2003,$S1701),INDEX($L$4:$L$2003,$S1701))))</f>
        <v/>
      </c>
      <c r="B1701" s="4">
        <f>IF($R1701="","",IF($R1701="T",$K$3,IF($R1701="B",COUNTIFS($M$4:$M$2003,INDEX($M$4:$M$2003,$S1701),$N$4:$N$2003,1),1)))</f>
        <v/>
      </c>
      <c r="L1701">
        <f>IF($K$1="","",IFERROR(INDEX(Lines!$A:$AA,ROW()-2,$K$1),""))</f>
        <v/>
      </c>
      <c r="M1701">
        <f>IF($K$2="","",IFERROR(INDEX(Lines!$A:$AA,ROW()-2,$K$2),""))</f>
        <v/>
      </c>
      <c r="N1701">
        <f>IF(AND(L1701&lt;&gt;"",LEFT(L1701,1)="N",M1701&lt;&gt;"PICKING",M1701&lt;&gt;""),1,0)</f>
        <v/>
      </c>
      <c r="O1701">
        <f>IF(N1701=1,M1701&amp;"|"&amp;L1701,REPT("z",40))</f>
        <v/>
      </c>
      <c r="P1701">
        <f>IF(N1701=1,COUNTIF($O$4:$O$2003,"&lt;"&amp;O1701)+1,"")</f>
        <v/>
      </c>
      <c r="Q1701">
        <f>IF(OR($R1700="",$R1700="T"),"",IF($R1700="B",$Q1700,IF($Q1700+1&gt;$K$3,"",$Q1700+1)))</f>
        <v/>
      </c>
      <c r="R1701">
        <f>IF(OR($R1700="",$R1700="T"),"",IF($R1700="B","S",IF($Q1700+1&gt;$K$3,"T",IF(INDEX($M$4:$M$2003,MATCH($Q1700+1,$P$4:$P$2003,0))&lt;&gt;INDEX($M$4:$M$2003,MATCH($Q1700,$P$4:$P$2003,0)),"B","S"))))</f>
        <v/>
      </c>
      <c r="S1701">
        <f>IF(Q1701="","",IFERROR(MATCH(Q1701,$P$4:$P$2003,0),""))</f>
        <v/>
      </c>
    </row>
    <row r="1702">
      <c r="A1702" s="4">
        <f>IF($R1702="","",IF($R1702="T","Gesamtergebnis",IF($R1702="B",INDEX($M$4:$M$2003,$S1702),INDEX($L$4:$L$2003,$S1702))))</f>
        <v/>
      </c>
      <c r="B1702" s="4">
        <f>IF($R1702="","",IF($R1702="T",$K$3,IF($R1702="B",COUNTIFS($M$4:$M$2003,INDEX($M$4:$M$2003,$S1702),$N$4:$N$2003,1),1)))</f>
        <v/>
      </c>
      <c r="L1702">
        <f>IF($K$1="","",IFERROR(INDEX(Lines!$A:$AA,ROW()-2,$K$1),""))</f>
        <v/>
      </c>
      <c r="M1702">
        <f>IF($K$2="","",IFERROR(INDEX(Lines!$A:$AA,ROW()-2,$K$2),""))</f>
        <v/>
      </c>
      <c r="N1702">
        <f>IF(AND(L1702&lt;&gt;"",LEFT(L1702,1)="N",M1702&lt;&gt;"PICKING",M1702&lt;&gt;""),1,0)</f>
        <v/>
      </c>
      <c r="O1702">
        <f>IF(N1702=1,M1702&amp;"|"&amp;L1702,REPT("z",40))</f>
        <v/>
      </c>
      <c r="P1702">
        <f>IF(N1702=1,COUNTIF($O$4:$O$2003,"&lt;"&amp;O1702)+1,"")</f>
        <v/>
      </c>
      <c r="Q1702">
        <f>IF(OR($R1701="",$R1701="T"),"",IF($R1701="B",$Q1701,IF($Q1701+1&gt;$K$3,"",$Q1701+1)))</f>
        <v/>
      </c>
      <c r="R1702">
        <f>IF(OR($R1701="",$R1701="T"),"",IF($R1701="B","S",IF($Q1701+1&gt;$K$3,"T",IF(INDEX($M$4:$M$2003,MATCH($Q1701+1,$P$4:$P$2003,0))&lt;&gt;INDEX($M$4:$M$2003,MATCH($Q1701,$P$4:$P$2003,0)),"B","S"))))</f>
        <v/>
      </c>
      <c r="S1702">
        <f>IF(Q1702="","",IFERROR(MATCH(Q1702,$P$4:$P$2003,0),""))</f>
        <v/>
      </c>
    </row>
    <row r="1703">
      <c r="A1703" s="4">
        <f>IF($R1703="","",IF($R1703="T","Gesamtergebnis",IF($R1703="B",INDEX($M$4:$M$2003,$S1703),INDEX($L$4:$L$2003,$S1703))))</f>
        <v/>
      </c>
      <c r="B1703" s="4">
        <f>IF($R1703="","",IF($R1703="T",$K$3,IF($R1703="B",COUNTIFS($M$4:$M$2003,INDEX($M$4:$M$2003,$S1703),$N$4:$N$2003,1),1)))</f>
        <v/>
      </c>
      <c r="L1703">
        <f>IF($K$1="","",IFERROR(INDEX(Lines!$A:$AA,ROW()-2,$K$1),""))</f>
        <v/>
      </c>
      <c r="M1703">
        <f>IF($K$2="","",IFERROR(INDEX(Lines!$A:$AA,ROW()-2,$K$2),""))</f>
        <v/>
      </c>
      <c r="N1703">
        <f>IF(AND(L1703&lt;&gt;"",LEFT(L1703,1)="N",M1703&lt;&gt;"PICKING",M1703&lt;&gt;""),1,0)</f>
        <v/>
      </c>
      <c r="O1703">
        <f>IF(N1703=1,M1703&amp;"|"&amp;L1703,REPT("z",40))</f>
        <v/>
      </c>
      <c r="P1703">
        <f>IF(N1703=1,COUNTIF($O$4:$O$2003,"&lt;"&amp;O1703)+1,"")</f>
        <v/>
      </c>
      <c r="Q1703">
        <f>IF(OR($R1702="",$R1702="T"),"",IF($R1702="B",$Q1702,IF($Q1702+1&gt;$K$3,"",$Q1702+1)))</f>
        <v/>
      </c>
      <c r="R1703">
        <f>IF(OR($R1702="",$R1702="T"),"",IF($R1702="B","S",IF($Q1702+1&gt;$K$3,"T",IF(INDEX($M$4:$M$2003,MATCH($Q1702+1,$P$4:$P$2003,0))&lt;&gt;INDEX($M$4:$M$2003,MATCH($Q1702,$P$4:$P$2003,0)),"B","S"))))</f>
        <v/>
      </c>
      <c r="S1703">
        <f>IF(Q1703="","",IFERROR(MATCH(Q1703,$P$4:$P$2003,0),""))</f>
        <v/>
      </c>
    </row>
    <row r="1704">
      <c r="A1704" s="4">
        <f>IF($R1704="","",IF($R1704="T","Gesamtergebnis",IF($R1704="B",INDEX($M$4:$M$2003,$S1704),INDEX($L$4:$L$2003,$S1704))))</f>
        <v/>
      </c>
      <c r="B1704" s="4">
        <f>IF($R1704="","",IF($R1704="T",$K$3,IF($R1704="B",COUNTIFS($M$4:$M$2003,INDEX($M$4:$M$2003,$S1704),$N$4:$N$2003,1),1)))</f>
        <v/>
      </c>
      <c r="L1704">
        <f>IF($K$1="","",IFERROR(INDEX(Lines!$A:$AA,ROW()-2,$K$1),""))</f>
        <v/>
      </c>
      <c r="M1704">
        <f>IF($K$2="","",IFERROR(INDEX(Lines!$A:$AA,ROW()-2,$K$2),""))</f>
        <v/>
      </c>
      <c r="N1704">
        <f>IF(AND(L1704&lt;&gt;"",LEFT(L1704,1)="N",M1704&lt;&gt;"PICKING",M1704&lt;&gt;""),1,0)</f>
        <v/>
      </c>
      <c r="O1704">
        <f>IF(N1704=1,M1704&amp;"|"&amp;L1704,REPT("z",40))</f>
        <v/>
      </c>
      <c r="P1704">
        <f>IF(N1704=1,COUNTIF($O$4:$O$2003,"&lt;"&amp;O1704)+1,"")</f>
        <v/>
      </c>
      <c r="Q1704">
        <f>IF(OR($R1703="",$R1703="T"),"",IF($R1703="B",$Q1703,IF($Q1703+1&gt;$K$3,"",$Q1703+1)))</f>
        <v/>
      </c>
      <c r="R1704">
        <f>IF(OR($R1703="",$R1703="T"),"",IF($R1703="B","S",IF($Q1703+1&gt;$K$3,"T",IF(INDEX($M$4:$M$2003,MATCH($Q1703+1,$P$4:$P$2003,0))&lt;&gt;INDEX($M$4:$M$2003,MATCH($Q1703,$P$4:$P$2003,0)),"B","S"))))</f>
        <v/>
      </c>
      <c r="S1704">
        <f>IF(Q1704="","",IFERROR(MATCH(Q1704,$P$4:$P$2003,0),""))</f>
        <v/>
      </c>
    </row>
    <row r="1705">
      <c r="A1705" s="4">
        <f>IF($R1705="","",IF($R1705="T","Gesamtergebnis",IF($R1705="B",INDEX($M$4:$M$2003,$S1705),INDEX($L$4:$L$2003,$S1705))))</f>
        <v/>
      </c>
      <c r="B1705" s="4">
        <f>IF($R1705="","",IF($R1705="T",$K$3,IF($R1705="B",COUNTIFS($M$4:$M$2003,INDEX($M$4:$M$2003,$S1705),$N$4:$N$2003,1),1)))</f>
        <v/>
      </c>
      <c r="L1705">
        <f>IF($K$1="","",IFERROR(INDEX(Lines!$A:$AA,ROW()-2,$K$1),""))</f>
        <v/>
      </c>
      <c r="M1705">
        <f>IF($K$2="","",IFERROR(INDEX(Lines!$A:$AA,ROW()-2,$K$2),""))</f>
        <v/>
      </c>
      <c r="N1705">
        <f>IF(AND(L1705&lt;&gt;"",LEFT(L1705,1)="N",M1705&lt;&gt;"PICKING",M1705&lt;&gt;""),1,0)</f>
        <v/>
      </c>
      <c r="O1705">
        <f>IF(N1705=1,M1705&amp;"|"&amp;L1705,REPT("z",40))</f>
        <v/>
      </c>
      <c r="P1705">
        <f>IF(N1705=1,COUNTIF($O$4:$O$2003,"&lt;"&amp;O1705)+1,"")</f>
        <v/>
      </c>
      <c r="Q1705">
        <f>IF(OR($R1704="",$R1704="T"),"",IF($R1704="B",$Q1704,IF($Q1704+1&gt;$K$3,"",$Q1704+1)))</f>
        <v/>
      </c>
      <c r="R1705">
        <f>IF(OR($R1704="",$R1704="T"),"",IF($R1704="B","S",IF($Q1704+1&gt;$K$3,"T",IF(INDEX($M$4:$M$2003,MATCH($Q1704+1,$P$4:$P$2003,0))&lt;&gt;INDEX($M$4:$M$2003,MATCH($Q1704,$P$4:$P$2003,0)),"B","S"))))</f>
        <v/>
      </c>
      <c r="S1705">
        <f>IF(Q1705="","",IFERROR(MATCH(Q1705,$P$4:$P$2003,0),""))</f>
        <v/>
      </c>
    </row>
    <row r="1706">
      <c r="A1706" s="4">
        <f>IF($R1706="","",IF($R1706="T","Gesamtergebnis",IF($R1706="B",INDEX($M$4:$M$2003,$S1706),INDEX($L$4:$L$2003,$S1706))))</f>
        <v/>
      </c>
      <c r="B1706" s="4">
        <f>IF($R1706="","",IF($R1706="T",$K$3,IF($R1706="B",COUNTIFS($M$4:$M$2003,INDEX($M$4:$M$2003,$S1706),$N$4:$N$2003,1),1)))</f>
        <v/>
      </c>
      <c r="L1706">
        <f>IF($K$1="","",IFERROR(INDEX(Lines!$A:$AA,ROW()-2,$K$1),""))</f>
        <v/>
      </c>
      <c r="M1706">
        <f>IF($K$2="","",IFERROR(INDEX(Lines!$A:$AA,ROW()-2,$K$2),""))</f>
        <v/>
      </c>
      <c r="N1706">
        <f>IF(AND(L1706&lt;&gt;"",LEFT(L1706,1)="N",M1706&lt;&gt;"PICKING",M1706&lt;&gt;""),1,0)</f>
        <v/>
      </c>
      <c r="O1706">
        <f>IF(N1706=1,M1706&amp;"|"&amp;L1706,REPT("z",40))</f>
        <v/>
      </c>
      <c r="P1706">
        <f>IF(N1706=1,COUNTIF($O$4:$O$2003,"&lt;"&amp;O1706)+1,"")</f>
        <v/>
      </c>
      <c r="Q1706">
        <f>IF(OR($R1705="",$R1705="T"),"",IF($R1705="B",$Q1705,IF($Q1705+1&gt;$K$3,"",$Q1705+1)))</f>
        <v/>
      </c>
      <c r="R1706">
        <f>IF(OR($R1705="",$R1705="T"),"",IF($R1705="B","S",IF($Q1705+1&gt;$K$3,"T",IF(INDEX($M$4:$M$2003,MATCH($Q1705+1,$P$4:$P$2003,0))&lt;&gt;INDEX($M$4:$M$2003,MATCH($Q1705,$P$4:$P$2003,0)),"B","S"))))</f>
        <v/>
      </c>
      <c r="S1706">
        <f>IF(Q1706="","",IFERROR(MATCH(Q1706,$P$4:$P$2003,0),""))</f>
        <v/>
      </c>
    </row>
    <row r="1707">
      <c r="A1707" s="4">
        <f>IF($R1707="","",IF($R1707="T","Gesamtergebnis",IF($R1707="B",INDEX($M$4:$M$2003,$S1707),INDEX($L$4:$L$2003,$S1707))))</f>
        <v/>
      </c>
      <c r="B1707" s="4">
        <f>IF($R1707="","",IF($R1707="T",$K$3,IF($R1707="B",COUNTIFS($M$4:$M$2003,INDEX($M$4:$M$2003,$S1707),$N$4:$N$2003,1),1)))</f>
        <v/>
      </c>
      <c r="L1707">
        <f>IF($K$1="","",IFERROR(INDEX(Lines!$A:$AA,ROW()-2,$K$1),""))</f>
        <v/>
      </c>
      <c r="M1707">
        <f>IF($K$2="","",IFERROR(INDEX(Lines!$A:$AA,ROW()-2,$K$2),""))</f>
        <v/>
      </c>
      <c r="N1707">
        <f>IF(AND(L1707&lt;&gt;"",LEFT(L1707,1)="N",M1707&lt;&gt;"PICKING",M1707&lt;&gt;""),1,0)</f>
        <v/>
      </c>
      <c r="O1707">
        <f>IF(N1707=1,M1707&amp;"|"&amp;L1707,REPT("z",40))</f>
        <v/>
      </c>
      <c r="P1707">
        <f>IF(N1707=1,COUNTIF($O$4:$O$2003,"&lt;"&amp;O1707)+1,"")</f>
        <v/>
      </c>
      <c r="Q1707">
        <f>IF(OR($R1706="",$R1706="T"),"",IF($R1706="B",$Q1706,IF($Q1706+1&gt;$K$3,"",$Q1706+1)))</f>
        <v/>
      </c>
      <c r="R1707">
        <f>IF(OR($R1706="",$R1706="T"),"",IF($R1706="B","S",IF($Q1706+1&gt;$K$3,"T",IF(INDEX($M$4:$M$2003,MATCH($Q1706+1,$P$4:$P$2003,0))&lt;&gt;INDEX($M$4:$M$2003,MATCH($Q1706,$P$4:$P$2003,0)),"B","S"))))</f>
        <v/>
      </c>
      <c r="S1707">
        <f>IF(Q1707="","",IFERROR(MATCH(Q1707,$P$4:$P$2003,0),""))</f>
        <v/>
      </c>
    </row>
    <row r="1708">
      <c r="A1708" s="4">
        <f>IF($R1708="","",IF($R1708="T","Gesamtergebnis",IF($R1708="B",INDEX($M$4:$M$2003,$S1708),INDEX($L$4:$L$2003,$S1708))))</f>
        <v/>
      </c>
      <c r="B1708" s="4">
        <f>IF($R1708="","",IF($R1708="T",$K$3,IF($R1708="B",COUNTIFS($M$4:$M$2003,INDEX($M$4:$M$2003,$S1708),$N$4:$N$2003,1),1)))</f>
        <v/>
      </c>
      <c r="L1708">
        <f>IF($K$1="","",IFERROR(INDEX(Lines!$A:$AA,ROW()-2,$K$1),""))</f>
        <v/>
      </c>
      <c r="M1708">
        <f>IF($K$2="","",IFERROR(INDEX(Lines!$A:$AA,ROW()-2,$K$2),""))</f>
        <v/>
      </c>
      <c r="N1708">
        <f>IF(AND(L1708&lt;&gt;"",LEFT(L1708,1)="N",M1708&lt;&gt;"PICKING",M1708&lt;&gt;""),1,0)</f>
        <v/>
      </c>
      <c r="O1708">
        <f>IF(N1708=1,M1708&amp;"|"&amp;L1708,REPT("z",40))</f>
        <v/>
      </c>
      <c r="P1708">
        <f>IF(N1708=1,COUNTIF($O$4:$O$2003,"&lt;"&amp;O1708)+1,"")</f>
        <v/>
      </c>
      <c r="Q1708">
        <f>IF(OR($R1707="",$R1707="T"),"",IF($R1707="B",$Q1707,IF($Q1707+1&gt;$K$3,"",$Q1707+1)))</f>
        <v/>
      </c>
      <c r="R1708">
        <f>IF(OR($R1707="",$R1707="T"),"",IF($R1707="B","S",IF($Q1707+1&gt;$K$3,"T",IF(INDEX($M$4:$M$2003,MATCH($Q1707+1,$P$4:$P$2003,0))&lt;&gt;INDEX($M$4:$M$2003,MATCH($Q1707,$P$4:$P$2003,0)),"B","S"))))</f>
        <v/>
      </c>
      <c r="S1708">
        <f>IF(Q1708="","",IFERROR(MATCH(Q1708,$P$4:$P$2003,0),""))</f>
        <v/>
      </c>
    </row>
    <row r="1709">
      <c r="A1709" s="4">
        <f>IF($R1709="","",IF($R1709="T","Gesamtergebnis",IF($R1709="B",INDEX($M$4:$M$2003,$S1709),INDEX($L$4:$L$2003,$S1709))))</f>
        <v/>
      </c>
      <c r="B1709" s="4">
        <f>IF($R1709="","",IF($R1709="T",$K$3,IF($R1709="B",COUNTIFS($M$4:$M$2003,INDEX($M$4:$M$2003,$S1709),$N$4:$N$2003,1),1)))</f>
        <v/>
      </c>
      <c r="L1709">
        <f>IF($K$1="","",IFERROR(INDEX(Lines!$A:$AA,ROW()-2,$K$1),""))</f>
        <v/>
      </c>
      <c r="M1709">
        <f>IF($K$2="","",IFERROR(INDEX(Lines!$A:$AA,ROW()-2,$K$2),""))</f>
        <v/>
      </c>
      <c r="N1709">
        <f>IF(AND(L1709&lt;&gt;"",LEFT(L1709,1)="N",M1709&lt;&gt;"PICKING",M1709&lt;&gt;""),1,0)</f>
        <v/>
      </c>
      <c r="O1709">
        <f>IF(N1709=1,M1709&amp;"|"&amp;L1709,REPT("z",40))</f>
        <v/>
      </c>
      <c r="P1709">
        <f>IF(N1709=1,COUNTIF($O$4:$O$2003,"&lt;"&amp;O1709)+1,"")</f>
        <v/>
      </c>
      <c r="Q1709">
        <f>IF(OR($R1708="",$R1708="T"),"",IF($R1708="B",$Q1708,IF($Q1708+1&gt;$K$3,"",$Q1708+1)))</f>
        <v/>
      </c>
      <c r="R1709">
        <f>IF(OR($R1708="",$R1708="T"),"",IF($R1708="B","S",IF($Q1708+1&gt;$K$3,"T",IF(INDEX($M$4:$M$2003,MATCH($Q1708+1,$P$4:$P$2003,0))&lt;&gt;INDEX($M$4:$M$2003,MATCH($Q1708,$P$4:$P$2003,0)),"B","S"))))</f>
        <v/>
      </c>
      <c r="S1709">
        <f>IF(Q1709="","",IFERROR(MATCH(Q1709,$P$4:$P$2003,0),""))</f>
        <v/>
      </c>
    </row>
    <row r="1710">
      <c r="A1710" s="4">
        <f>IF($R1710="","",IF($R1710="T","Gesamtergebnis",IF($R1710="B",INDEX($M$4:$M$2003,$S1710),INDEX($L$4:$L$2003,$S1710))))</f>
        <v/>
      </c>
      <c r="B1710" s="4">
        <f>IF($R1710="","",IF($R1710="T",$K$3,IF($R1710="B",COUNTIFS($M$4:$M$2003,INDEX($M$4:$M$2003,$S1710),$N$4:$N$2003,1),1)))</f>
        <v/>
      </c>
      <c r="L1710">
        <f>IF($K$1="","",IFERROR(INDEX(Lines!$A:$AA,ROW()-2,$K$1),""))</f>
        <v/>
      </c>
      <c r="M1710">
        <f>IF($K$2="","",IFERROR(INDEX(Lines!$A:$AA,ROW()-2,$K$2),""))</f>
        <v/>
      </c>
      <c r="N1710">
        <f>IF(AND(L1710&lt;&gt;"",LEFT(L1710,1)="N",M1710&lt;&gt;"PICKING",M1710&lt;&gt;""),1,0)</f>
        <v/>
      </c>
      <c r="O1710">
        <f>IF(N1710=1,M1710&amp;"|"&amp;L1710,REPT("z",40))</f>
        <v/>
      </c>
      <c r="P1710">
        <f>IF(N1710=1,COUNTIF($O$4:$O$2003,"&lt;"&amp;O1710)+1,"")</f>
        <v/>
      </c>
      <c r="Q1710">
        <f>IF(OR($R1709="",$R1709="T"),"",IF($R1709="B",$Q1709,IF($Q1709+1&gt;$K$3,"",$Q1709+1)))</f>
        <v/>
      </c>
      <c r="R1710">
        <f>IF(OR($R1709="",$R1709="T"),"",IF($R1709="B","S",IF($Q1709+1&gt;$K$3,"T",IF(INDEX($M$4:$M$2003,MATCH($Q1709+1,$P$4:$P$2003,0))&lt;&gt;INDEX($M$4:$M$2003,MATCH($Q1709,$P$4:$P$2003,0)),"B","S"))))</f>
        <v/>
      </c>
      <c r="S1710">
        <f>IF(Q1710="","",IFERROR(MATCH(Q1710,$P$4:$P$2003,0),""))</f>
        <v/>
      </c>
    </row>
    <row r="1711">
      <c r="A1711" s="4">
        <f>IF($R1711="","",IF($R1711="T","Gesamtergebnis",IF($R1711="B",INDEX($M$4:$M$2003,$S1711),INDEX($L$4:$L$2003,$S1711))))</f>
        <v/>
      </c>
      <c r="B1711" s="4">
        <f>IF($R1711="","",IF($R1711="T",$K$3,IF($R1711="B",COUNTIFS($M$4:$M$2003,INDEX($M$4:$M$2003,$S1711),$N$4:$N$2003,1),1)))</f>
        <v/>
      </c>
      <c r="L1711">
        <f>IF($K$1="","",IFERROR(INDEX(Lines!$A:$AA,ROW()-2,$K$1),""))</f>
        <v/>
      </c>
      <c r="M1711">
        <f>IF($K$2="","",IFERROR(INDEX(Lines!$A:$AA,ROW()-2,$K$2),""))</f>
        <v/>
      </c>
      <c r="N1711">
        <f>IF(AND(L1711&lt;&gt;"",LEFT(L1711,1)="N",M1711&lt;&gt;"PICKING",M1711&lt;&gt;""),1,0)</f>
        <v/>
      </c>
      <c r="O1711">
        <f>IF(N1711=1,M1711&amp;"|"&amp;L1711,REPT("z",40))</f>
        <v/>
      </c>
      <c r="P1711">
        <f>IF(N1711=1,COUNTIF($O$4:$O$2003,"&lt;"&amp;O1711)+1,"")</f>
        <v/>
      </c>
      <c r="Q1711">
        <f>IF(OR($R1710="",$R1710="T"),"",IF($R1710="B",$Q1710,IF($Q1710+1&gt;$K$3,"",$Q1710+1)))</f>
        <v/>
      </c>
      <c r="R1711">
        <f>IF(OR($R1710="",$R1710="T"),"",IF($R1710="B","S",IF($Q1710+1&gt;$K$3,"T",IF(INDEX($M$4:$M$2003,MATCH($Q1710+1,$P$4:$P$2003,0))&lt;&gt;INDEX($M$4:$M$2003,MATCH($Q1710,$P$4:$P$2003,0)),"B","S"))))</f>
        <v/>
      </c>
      <c r="S1711">
        <f>IF(Q1711="","",IFERROR(MATCH(Q1711,$P$4:$P$2003,0),""))</f>
        <v/>
      </c>
    </row>
    <row r="1712">
      <c r="A1712" s="4">
        <f>IF($R1712="","",IF($R1712="T","Gesamtergebnis",IF($R1712="B",INDEX($M$4:$M$2003,$S1712),INDEX($L$4:$L$2003,$S1712))))</f>
        <v/>
      </c>
      <c r="B1712" s="4">
        <f>IF($R1712="","",IF($R1712="T",$K$3,IF($R1712="B",COUNTIFS($M$4:$M$2003,INDEX($M$4:$M$2003,$S1712),$N$4:$N$2003,1),1)))</f>
        <v/>
      </c>
      <c r="L1712">
        <f>IF($K$1="","",IFERROR(INDEX(Lines!$A:$AA,ROW()-2,$K$1),""))</f>
        <v/>
      </c>
      <c r="M1712">
        <f>IF($K$2="","",IFERROR(INDEX(Lines!$A:$AA,ROW()-2,$K$2),""))</f>
        <v/>
      </c>
      <c r="N1712">
        <f>IF(AND(L1712&lt;&gt;"",LEFT(L1712,1)="N",M1712&lt;&gt;"PICKING",M1712&lt;&gt;""),1,0)</f>
        <v/>
      </c>
      <c r="O1712">
        <f>IF(N1712=1,M1712&amp;"|"&amp;L1712,REPT("z",40))</f>
        <v/>
      </c>
      <c r="P1712">
        <f>IF(N1712=1,COUNTIF($O$4:$O$2003,"&lt;"&amp;O1712)+1,"")</f>
        <v/>
      </c>
      <c r="Q1712">
        <f>IF(OR($R1711="",$R1711="T"),"",IF($R1711="B",$Q1711,IF($Q1711+1&gt;$K$3,"",$Q1711+1)))</f>
        <v/>
      </c>
      <c r="R1712">
        <f>IF(OR($R1711="",$R1711="T"),"",IF($R1711="B","S",IF($Q1711+1&gt;$K$3,"T",IF(INDEX($M$4:$M$2003,MATCH($Q1711+1,$P$4:$P$2003,0))&lt;&gt;INDEX($M$4:$M$2003,MATCH($Q1711,$P$4:$P$2003,0)),"B","S"))))</f>
        <v/>
      </c>
      <c r="S1712">
        <f>IF(Q1712="","",IFERROR(MATCH(Q1712,$P$4:$P$2003,0),""))</f>
        <v/>
      </c>
    </row>
    <row r="1713">
      <c r="A1713" s="4">
        <f>IF($R1713="","",IF($R1713="T","Gesamtergebnis",IF($R1713="B",INDEX($M$4:$M$2003,$S1713),INDEX($L$4:$L$2003,$S1713))))</f>
        <v/>
      </c>
      <c r="B1713" s="4">
        <f>IF($R1713="","",IF($R1713="T",$K$3,IF($R1713="B",COUNTIFS($M$4:$M$2003,INDEX($M$4:$M$2003,$S1713),$N$4:$N$2003,1),1)))</f>
        <v/>
      </c>
      <c r="L1713">
        <f>IF($K$1="","",IFERROR(INDEX(Lines!$A:$AA,ROW()-2,$K$1),""))</f>
        <v/>
      </c>
      <c r="M1713">
        <f>IF($K$2="","",IFERROR(INDEX(Lines!$A:$AA,ROW()-2,$K$2),""))</f>
        <v/>
      </c>
      <c r="N1713">
        <f>IF(AND(L1713&lt;&gt;"",LEFT(L1713,1)="N",M1713&lt;&gt;"PICKING",M1713&lt;&gt;""),1,0)</f>
        <v/>
      </c>
      <c r="O1713">
        <f>IF(N1713=1,M1713&amp;"|"&amp;L1713,REPT("z",40))</f>
        <v/>
      </c>
      <c r="P1713">
        <f>IF(N1713=1,COUNTIF($O$4:$O$2003,"&lt;"&amp;O1713)+1,"")</f>
        <v/>
      </c>
      <c r="Q1713">
        <f>IF(OR($R1712="",$R1712="T"),"",IF($R1712="B",$Q1712,IF($Q1712+1&gt;$K$3,"",$Q1712+1)))</f>
        <v/>
      </c>
      <c r="R1713">
        <f>IF(OR($R1712="",$R1712="T"),"",IF($R1712="B","S",IF($Q1712+1&gt;$K$3,"T",IF(INDEX($M$4:$M$2003,MATCH($Q1712+1,$P$4:$P$2003,0))&lt;&gt;INDEX($M$4:$M$2003,MATCH($Q1712,$P$4:$P$2003,0)),"B","S"))))</f>
        <v/>
      </c>
      <c r="S1713">
        <f>IF(Q1713="","",IFERROR(MATCH(Q1713,$P$4:$P$2003,0),""))</f>
        <v/>
      </c>
    </row>
    <row r="1714">
      <c r="A1714" s="4">
        <f>IF($R1714="","",IF($R1714="T","Gesamtergebnis",IF($R1714="B",INDEX($M$4:$M$2003,$S1714),INDEX($L$4:$L$2003,$S1714))))</f>
        <v/>
      </c>
      <c r="B1714" s="4">
        <f>IF($R1714="","",IF($R1714="T",$K$3,IF($R1714="B",COUNTIFS($M$4:$M$2003,INDEX($M$4:$M$2003,$S1714),$N$4:$N$2003,1),1)))</f>
        <v/>
      </c>
      <c r="L1714">
        <f>IF($K$1="","",IFERROR(INDEX(Lines!$A:$AA,ROW()-2,$K$1),""))</f>
        <v/>
      </c>
      <c r="M1714">
        <f>IF($K$2="","",IFERROR(INDEX(Lines!$A:$AA,ROW()-2,$K$2),""))</f>
        <v/>
      </c>
      <c r="N1714">
        <f>IF(AND(L1714&lt;&gt;"",LEFT(L1714,1)="N",M1714&lt;&gt;"PICKING",M1714&lt;&gt;""),1,0)</f>
        <v/>
      </c>
      <c r="O1714">
        <f>IF(N1714=1,M1714&amp;"|"&amp;L1714,REPT("z",40))</f>
        <v/>
      </c>
      <c r="P1714">
        <f>IF(N1714=1,COUNTIF($O$4:$O$2003,"&lt;"&amp;O1714)+1,"")</f>
        <v/>
      </c>
      <c r="Q1714">
        <f>IF(OR($R1713="",$R1713="T"),"",IF($R1713="B",$Q1713,IF($Q1713+1&gt;$K$3,"",$Q1713+1)))</f>
        <v/>
      </c>
      <c r="R1714">
        <f>IF(OR($R1713="",$R1713="T"),"",IF($R1713="B","S",IF($Q1713+1&gt;$K$3,"T",IF(INDEX($M$4:$M$2003,MATCH($Q1713+1,$P$4:$P$2003,0))&lt;&gt;INDEX($M$4:$M$2003,MATCH($Q1713,$P$4:$P$2003,0)),"B","S"))))</f>
        <v/>
      </c>
      <c r="S1714">
        <f>IF(Q1714="","",IFERROR(MATCH(Q1714,$P$4:$P$2003,0),""))</f>
        <v/>
      </c>
    </row>
    <row r="1715">
      <c r="A1715" s="4">
        <f>IF($R1715="","",IF($R1715="T","Gesamtergebnis",IF($R1715="B",INDEX($M$4:$M$2003,$S1715),INDEX($L$4:$L$2003,$S1715))))</f>
        <v/>
      </c>
      <c r="B1715" s="4">
        <f>IF($R1715="","",IF($R1715="T",$K$3,IF($R1715="B",COUNTIFS($M$4:$M$2003,INDEX($M$4:$M$2003,$S1715),$N$4:$N$2003,1),1)))</f>
        <v/>
      </c>
      <c r="L1715">
        <f>IF($K$1="","",IFERROR(INDEX(Lines!$A:$AA,ROW()-2,$K$1),""))</f>
        <v/>
      </c>
      <c r="M1715">
        <f>IF($K$2="","",IFERROR(INDEX(Lines!$A:$AA,ROW()-2,$K$2),""))</f>
        <v/>
      </c>
      <c r="N1715">
        <f>IF(AND(L1715&lt;&gt;"",LEFT(L1715,1)="N",M1715&lt;&gt;"PICKING",M1715&lt;&gt;""),1,0)</f>
        <v/>
      </c>
      <c r="O1715">
        <f>IF(N1715=1,M1715&amp;"|"&amp;L1715,REPT("z",40))</f>
        <v/>
      </c>
      <c r="P1715">
        <f>IF(N1715=1,COUNTIF($O$4:$O$2003,"&lt;"&amp;O1715)+1,"")</f>
        <v/>
      </c>
      <c r="Q1715">
        <f>IF(OR($R1714="",$R1714="T"),"",IF($R1714="B",$Q1714,IF($Q1714+1&gt;$K$3,"",$Q1714+1)))</f>
        <v/>
      </c>
      <c r="R1715">
        <f>IF(OR($R1714="",$R1714="T"),"",IF($R1714="B","S",IF($Q1714+1&gt;$K$3,"T",IF(INDEX($M$4:$M$2003,MATCH($Q1714+1,$P$4:$P$2003,0))&lt;&gt;INDEX($M$4:$M$2003,MATCH($Q1714,$P$4:$P$2003,0)),"B","S"))))</f>
        <v/>
      </c>
      <c r="S1715">
        <f>IF(Q1715="","",IFERROR(MATCH(Q1715,$P$4:$P$2003,0),""))</f>
        <v/>
      </c>
    </row>
    <row r="1716">
      <c r="A1716" s="4">
        <f>IF($R1716="","",IF($R1716="T","Gesamtergebnis",IF($R1716="B",INDEX($M$4:$M$2003,$S1716),INDEX($L$4:$L$2003,$S1716))))</f>
        <v/>
      </c>
      <c r="B1716" s="4">
        <f>IF($R1716="","",IF($R1716="T",$K$3,IF($R1716="B",COUNTIFS($M$4:$M$2003,INDEX($M$4:$M$2003,$S1716),$N$4:$N$2003,1),1)))</f>
        <v/>
      </c>
      <c r="L1716">
        <f>IF($K$1="","",IFERROR(INDEX(Lines!$A:$AA,ROW()-2,$K$1),""))</f>
        <v/>
      </c>
      <c r="M1716">
        <f>IF($K$2="","",IFERROR(INDEX(Lines!$A:$AA,ROW()-2,$K$2),""))</f>
        <v/>
      </c>
      <c r="N1716">
        <f>IF(AND(L1716&lt;&gt;"",LEFT(L1716,1)="N",M1716&lt;&gt;"PICKING",M1716&lt;&gt;""),1,0)</f>
        <v/>
      </c>
      <c r="O1716">
        <f>IF(N1716=1,M1716&amp;"|"&amp;L1716,REPT("z",40))</f>
        <v/>
      </c>
      <c r="P1716">
        <f>IF(N1716=1,COUNTIF($O$4:$O$2003,"&lt;"&amp;O1716)+1,"")</f>
        <v/>
      </c>
      <c r="Q1716">
        <f>IF(OR($R1715="",$R1715="T"),"",IF($R1715="B",$Q1715,IF($Q1715+1&gt;$K$3,"",$Q1715+1)))</f>
        <v/>
      </c>
      <c r="R1716">
        <f>IF(OR($R1715="",$R1715="T"),"",IF($R1715="B","S",IF($Q1715+1&gt;$K$3,"T",IF(INDEX($M$4:$M$2003,MATCH($Q1715+1,$P$4:$P$2003,0))&lt;&gt;INDEX($M$4:$M$2003,MATCH($Q1715,$P$4:$P$2003,0)),"B","S"))))</f>
        <v/>
      </c>
      <c r="S1716">
        <f>IF(Q1716="","",IFERROR(MATCH(Q1716,$P$4:$P$2003,0),""))</f>
        <v/>
      </c>
    </row>
    <row r="1717">
      <c r="A1717" s="4">
        <f>IF($R1717="","",IF($R1717="T","Gesamtergebnis",IF($R1717="B",INDEX($M$4:$M$2003,$S1717),INDEX($L$4:$L$2003,$S1717))))</f>
        <v/>
      </c>
      <c r="B1717" s="4">
        <f>IF($R1717="","",IF($R1717="T",$K$3,IF($R1717="B",COUNTIFS($M$4:$M$2003,INDEX($M$4:$M$2003,$S1717),$N$4:$N$2003,1),1)))</f>
        <v/>
      </c>
      <c r="L1717">
        <f>IF($K$1="","",IFERROR(INDEX(Lines!$A:$AA,ROW()-2,$K$1),""))</f>
        <v/>
      </c>
      <c r="M1717">
        <f>IF($K$2="","",IFERROR(INDEX(Lines!$A:$AA,ROW()-2,$K$2),""))</f>
        <v/>
      </c>
      <c r="N1717">
        <f>IF(AND(L1717&lt;&gt;"",LEFT(L1717,1)="N",M1717&lt;&gt;"PICKING",M1717&lt;&gt;""),1,0)</f>
        <v/>
      </c>
      <c r="O1717">
        <f>IF(N1717=1,M1717&amp;"|"&amp;L1717,REPT("z",40))</f>
        <v/>
      </c>
      <c r="P1717">
        <f>IF(N1717=1,COUNTIF($O$4:$O$2003,"&lt;"&amp;O1717)+1,"")</f>
        <v/>
      </c>
      <c r="Q1717">
        <f>IF(OR($R1716="",$R1716="T"),"",IF($R1716="B",$Q1716,IF($Q1716+1&gt;$K$3,"",$Q1716+1)))</f>
        <v/>
      </c>
      <c r="R1717">
        <f>IF(OR($R1716="",$R1716="T"),"",IF($R1716="B","S",IF($Q1716+1&gt;$K$3,"T",IF(INDEX($M$4:$M$2003,MATCH($Q1716+1,$P$4:$P$2003,0))&lt;&gt;INDEX($M$4:$M$2003,MATCH($Q1716,$P$4:$P$2003,0)),"B","S"))))</f>
        <v/>
      </c>
      <c r="S1717">
        <f>IF(Q1717="","",IFERROR(MATCH(Q1717,$P$4:$P$2003,0),""))</f>
        <v/>
      </c>
    </row>
    <row r="1718">
      <c r="A1718" s="4">
        <f>IF($R1718="","",IF($R1718="T","Gesamtergebnis",IF($R1718="B",INDEX($M$4:$M$2003,$S1718),INDEX($L$4:$L$2003,$S1718))))</f>
        <v/>
      </c>
      <c r="B1718" s="4">
        <f>IF($R1718="","",IF($R1718="T",$K$3,IF($R1718="B",COUNTIFS($M$4:$M$2003,INDEX($M$4:$M$2003,$S1718),$N$4:$N$2003,1),1)))</f>
        <v/>
      </c>
      <c r="L1718">
        <f>IF($K$1="","",IFERROR(INDEX(Lines!$A:$AA,ROW()-2,$K$1),""))</f>
        <v/>
      </c>
      <c r="M1718">
        <f>IF($K$2="","",IFERROR(INDEX(Lines!$A:$AA,ROW()-2,$K$2),""))</f>
        <v/>
      </c>
      <c r="N1718">
        <f>IF(AND(L1718&lt;&gt;"",LEFT(L1718,1)="N",M1718&lt;&gt;"PICKING",M1718&lt;&gt;""),1,0)</f>
        <v/>
      </c>
      <c r="O1718">
        <f>IF(N1718=1,M1718&amp;"|"&amp;L1718,REPT("z",40))</f>
        <v/>
      </c>
      <c r="P1718">
        <f>IF(N1718=1,COUNTIF($O$4:$O$2003,"&lt;"&amp;O1718)+1,"")</f>
        <v/>
      </c>
      <c r="Q1718">
        <f>IF(OR($R1717="",$R1717="T"),"",IF($R1717="B",$Q1717,IF($Q1717+1&gt;$K$3,"",$Q1717+1)))</f>
        <v/>
      </c>
      <c r="R1718">
        <f>IF(OR($R1717="",$R1717="T"),"",IF($R1717="B","S",IF($Q1717+1&gt;$K$3,"T",IF(INDEX($M$4:$M$2003,MATCH($Q1717+1,$P$4:$P$2003,0))&lt;&gt;INDEX($M$4:$M$2003,MATCH($Q1717,$P$4:$P$2003,0)),"B","S"))))</f>
        <v/>
      </c>
      <c r="S1718">
        <f>IF(Q1718="","",IFERROR(MATCH(Q1718,$P$4:$P$2003,0),""))</f>
        <v/>
      </c>
    </row>
    <row r="1719">
      <c r="A1719" s="4">
        <f>IF($R1719="","",IF($R1719="T","Gesamtergebnis",IF($R1719="B",INDEX($M$4:$M$2003,$S1719),INDEX($L$4:$L$2003,$S1719))))</f>
        <v/>
      </c>
      <c r="B1719" s="4">
        <f>IF($R1719="","",IF($R1719="T",$K$3,IF($R1719="B",COUNTIFS($M$4:$M$2003,INDEX($M$4:$M$2003,$S1719),$N$4:$N$2003,1),1)))</f>
        <v/>
      </c>
      <c r="L1719">
        <f>IF($K$1="","",IFERROR(INDEX(Lines!$A:$AA,ROW()-2,$K$1),""))</f>
        <v/>
      </c>
      <c r="M1719">
        <f>IF($K$2="","",IFERROR(INDEX(Lines!$A:$AA,ROW()-2,$K$2),""))</f>
        <v/>
      </c>
      <c r="N1719">
        <f>IF(AND(L1719&lt;&gt;"",LEFT(L1719,1)="N",M1719&lt;&gt;"PICKING",M1719&lt;&gt;""),1,0)</f>
        <v/>
      </c>
      <c r="O1719">
        <f>IF(N1719=1,M1719&amp;"|"&amp;L1719,REPT("z",40))</f>
        <v/>
      </c>
      <c r="P1719">
        <f>IF(N1719=1,COUNTIF($O$4:$O$2003,"&lt;"&amp;O1719)+1,"")</f>
        <v/>
      </c>
      <c r="Q1719">
        <f>IF(OR($R1718="",$R1718="T"),"",IF($R1718="B",$Q1718,IF($Q1718+1&gt;$K$3,"",$Q1718+1)))</f>
        <v/>
      </c>
      <c r="R1719">
        <f>IF(OR($R1718="",$R1718="T"),"",IF($R1718="B","S",IF($Q1718+1&gt;$K$3,"T",IF(INDEX($M$4:$M$2003,MATCH($Q1718+1,$P$4:$P$2003,0))&lt;&gt;INDEX($M$4:$M$2003,MATCH($Q1718,$P$4:$P$2003,0)),"B","S"))))</f>
        <v/>
      </c>
      <c r="S1719">
        <f>IF(Q1719="","",IFERROR(MATCH(Q1719,$P$4:$P$2003,0),""))</f>
        <v/>
      </c>
    </row>
    <row r="1720">
      <c r="A1720" s="4">
        <f>IF($R1720="","",IF($R1720="T","Gesamtergebnis",IF($R1720="B",INDEX($M$4:$M$2003,$S1720),INDEX($L$4:$L$2003,$S1720))))</f>
        <v/>
      </c>
      <c r="B1720" s="4">
        <f>IF($R1720="","",IF($R1720="T",$K$3,IF($R1720="B",COUNTIFS($M$4:$M$2003,INDEX($M$4:$M$2003,$S1720),$N$4:$N$2003,1),1)))</f>
        <v/>
      </c>
      <c r="L1720">
        <f>IF($K$1="","",IFERROR(INDEX(Lines!$A:$AA,ROW()-2,$K$1),""))</f>
        <v/>
      </c>
      <c r="M1720">
        <f>IF($K$2="","",IFERROR(INDEX(Lines!$A:$AA,ROW()-2,$K$2),""))</f>
        <v/>
      </c>
      <c r="N1720">
        <f>IF(AND(L1720&lt;&gt;"",LEFT(L1720,1)="N",M1720&lt;&gt;"PICKING",M1720&lt;&gt;""),1,0)</f>
        <v/>
      </c>
      <c r="O1720">
        <f>IF(N1720=1,M1720&amp;"|"&amp;L1720,REPT("z",40))</f>
        <v/>
      </c>
      <c r="P1720">
        <f>IF(N1720=1,COUNTIF($O$4:$O$2003,"&lt;"&amp;O1720)+1,"")</f>
        <v/>
      </c>
      <c r="Q1720">
        <f>IF(OR($R1719="",$R1719="T"),"",IF($R1719="B",$Q1719,IF($Q1719+1&gt;$K$3,"",$Q1719+1)))</f>
        <v/>
      </c>
      <c r="R1720">
        <f>IF(OR($R1719="",$R1719="T"),"",IF($R1719="B","S",IF($Q1719+1&gt;$K$3,"T",IF(INDEX($M$4:$M$2003,MATCH($Q1719+1,$P$4:$P$2003,0))&lt;&gt;INDEX($M$4:$M$2003,MATCH($Q1719,$P$4:$P$2003,0)),"B","S"))))</f>
        <v/>
      </c>
      <c r="S1720">
        <f>IF(Q1720="","",IFERROR(MATCH(Q1720,$P$4:$P$2003,0),""))</f>
        <v/>
      </c>
    </row>
    <row r="1721">
      <c r="A1721" s="4">
        <f>IF($R1721="","",IF($R1721="T","Gesamtergebnis",IF($R1721="B",INDEX($M$4:$M$2003,$S1721),INDEX($L$4:$L$2003,$S1721))))</f>
        <v/>
      </c>
      <c r="B1721" s="4">
        <f>IF($R1721="","",IF($R1721="T",$K$3,IF($R1721="B",COUNTIFS($M$4:$M$2003,INDEX($M$4:$M$2003,$S1721),$N$4:$N$2003,1),1)))</f>
        <v/>
      </c>
      <c r="L1721">
        <f>IF($K$1="","",IFERROR(INDEX(Lines!$A:$AA,ROW()-2,$K$1),""))</f>
        <v/>
      </c>
      <c r="M1721">
        <f>IF($K$2="","",IFERROR(INDEX(Lines!$A:$AA,ROW()-2,$K$2),""))</f>
        <v/>
      </c>
      <c r="N1721">
        <f>IF(AND(L1721&lt;&gt;"",LEFT(L1721,1)="N",M1721&lt;&gt;"PICKING",M1721&lt;&gt;""),1,0)</f>
        <v/>
      </c>
      <c r="O1721">
        <f>IF(N1721=1,M1721&amp;"|"&amp;L1721,REPT("z",40))</f>
        <v/>
      </c>
      <c r="P1721">
        <f>IF(N1721=1,COUNTIF($O$4:$O$2003,"&lt;"&amp;O1721)+1,"")</f>
        <v/>
      </c>
      <c r="Q1721">
        <f>IF(OR($R1720="",$R1720="T"),"",IF($R1720="B",$Q1720,IF($Q1720+1&gt;$K$3,"",$Q1720+1)))</f>
        <v/>
      </c>
      <c r="R1721">
        <f>IF(OR($R1720="",$R1720="T"),"",IF($R1720="B","S",IF($Q1720+1&gt;$K$3,"T",IF(INDEX($M$4:$M$2003,MATCH($Q1720+1,$P$4:$P$2003,0))&lt;&gt;INDEX($M$4:$M$2003,MATCH($Q1720,$P$4:$P$2003,0)),"B","S"))))</f>
        <v/>
      </c>
      <c r="S1721">
        <f>IF(Q1721="","",IFERROR(MATCH(Q1721,$P$4:$P$2003,0),""))</f>
        <v/>
      </c>
    </row>
    <row r="1722">
      <c r="A1722" s="4">
        <f>IF($R1722="","",IF($R1722="T","Gesamtergebnis",IF($R1722="B",INDEX($M$4:$M$2003,$S1722),INDEX($L$4:$L$2003,$S1722))))</f>
        <v/>
      </c>
      <c r="B1722" s="4">
        <f>IF($R1722="","",IF($R1722="T",$K$3,IF($R1722="B",COUNTIFS($M$4:$M$2003,INDEX($M$4:$M$2003,$S1722),$N$4:$N$2003,1),1)))</f>
        <v/>
      </c>
      <c r="L1722">
        <f>IF($K$1="","",IFERROR(INDEX(Lines!$A:$AA,ROW()-2,$K$1),""))</f>
        <v/>
      </c>
      <c r="M1722">
        <f>IF($K$2="","",IFERROR(INDEX(Lines!$A:$AA,ROW()-2,$K$2),""))</f>
        <v/>
      </c>
      <c r="N1722">
        <f>IF(AND(L1722&lt;&gt;"",LEFT(L1722,1)="N",M1722&lt;&gt;"PICKING",M1722&lt;&gt;""),1,0)</f>
        <v/>
      </c>
      <c r="O1722">
        <f>IF(N1722=1,M1722&amp;"|"&amp;L1722,REPT("z",40))</f>
        <v/>
      </c>
      <c r="P1722">
        <f>IF(N1722=1,COUNTIF($O$4:$O$2003,"&lt;"&amp;O1722)+1,"")</f>
        <v/>
      </c>
      <c r="Q1722">
        <f>IF(OR($R1721="",$R1721="T"),"",IF($R1721="B",$Q1721,IF($Q1721+1&gt;$K$3,"",$Q1721+1)))</f>
        <v/>
      </c>
      <c r="R1722">
        <f>IF(OR($R1721="",$R1721="T"),"",IF($R1721="B","S",IF($Q1721+1&gt;$K$3,"T",IF(INDEX($M$4:$M$2003,MATCH($Q1721+1,$P$4:$P$2003,0))&lt;&gt;INDEX($M$4:$M$2003,MATCH($Q1721,$P$4:$P$2003,0)),"B","S"))))</f>
        <v/>
      </c>
      <c r="S1722">
        <f>IF(Q1722="","",IFERROR(MATCH(Q1722,$P$4:$P$2003,0),""))</f>
        <v/>
      </c>
    </row>
    <row r="1723">
      <c r="A1723" s="4">
        <f>IF($R1723="","",IF($R1723="T","Gesamtergebnis",IF($R1723="B",INDEX($M$4:$M$2003,$S1723),INDEX($L$4:$L$2003,$S1723))))</f>
        <v/>
      </c>
      <c r="B1723" s="4">
        <f>IF($R1723="","",IF($R1723="T",$K$3,IF($R1723="B",COUNTIFS($M$4:$M$2003,INDEX($M$4:$M$2003,$S1723),$N$4:$N$2003,1),1)))</f>
        <v/>
      </c>
      <c r="L1723">
        <f>IF($K$1="","",IFERROR(INDEX(Lines!$A:$AA,ROW()-2,$K$1),""))</f>
        <v/>
      </c>
      <c r="M1723">
        <f>IF($K$2="","",IFERROR(INDEX(Lines!$A:$AA,ROW()-2,$K$2),""))</f>
        <v/>
      </c>
      <c r="N1723">
        <f>IF(AND(L1723&lt;&gt;"",LEFT(L1723,1)="N",M1723&lt;&gt;"PICKING",M1723&lt;&gt;""),1,0)</f>
        <v/>
      </c>
      <c r="O1723">
        <f>IF(N1723=1,M1723&amp;"|"&amp;L1723,REPT("z",40))</f>
        <v/>
      </c>
      <c r="P1723">
        <f>IF(N1723=1,COUNTIF($O$4:$O$2003,"&lt;"&amp;O1723)+1,"")</f>
        <v/>
      </c>
      <c r="Q1723">
        <f>IF(OR($R1722="",$R1722="T"),"",IF($R1722="B",$Q1722,IF($Q1722+1&gt;$K$3,"",$Q1722+1)))</f>
        <v/>
      </c>
      <c r="R1723">
        <f>IF(OR($R1722="",$R1722="T"),"",IF($R1722="B","S",IF($Q1722+1&gt;$K$3,"T",IF(INDEX($M$4:$M$2003,MATCH($Q1722+1,$P$4:$P$2003,0))&lt;&gt;INDEX($M$4:$M$2003,MATCH($Q1722,$P$4:$P$2003,0)),"B","S"))))</f>
        <v/>
      </c>
      <c r="S1723">
        <f>IF(Q1723="","",IFERROR(MATCH(Q1723,$P$4:$P$2003,0),""))</f>
        <v/>
      </c>
    </row>
    <row r="1724">
      <c r="A1724" s="4">
        <f>IF($R1724="","",IF($R1724="T","Gesamtergebnis",IF($R1724="B",INDEX($M$4:$M$2003,$S1724),INDEX($L$4:$L$2003,$S1724))))</f>
        <v/>
      </c>
      <c r="B1724" s="4">
        <f>IF($R1724="","",IF($R1724="T",$K$3,IF($R1724="B",COUNTIFS($M$4:$M$2003,INDEX($M$4:$M$2003,$S1724),$N$4:$N$2003,1),1)))</f>
        <v/>
      </c>
      <c r="L1724">
        <f>IF($K$1="","",IFERROR(INDEX(Lines!$A:$AA,ROW()-2,$K$1),""))</f>
        <v/>
      </c>
      <c r="M1724">
        <f>IF($K$2="","",IFERROR(INDEX(Lines!$A:$AA,ROW()-2,$K$2),""))</f>
        <v/>
      </c>
      <c r="N1724">
        <f>IF(AND(L1724&lt;&gt;"",LEFT(L1724,1)="N",M1724&lt;&gt;"PICKING",M1724&lt;&gt;""),1,0)</f>
        <v/>
      </c>
      <c r="O1724">
        <f>IF(N1724=1,M1724&amp;"|"&amp;L1724,REPT("z",40))</f>
        <v/>
      </c>
      <c r="P1724">
        <f>IF(N1724=1,COUNTIF($O$4:$O$2003,"&lt;"&amp;O1724)+1,"")</f>
        <v/>
      </c>
      <c r="Q1724">
        <f>IF(OR($R1723="",$R1723="T"),"",IF($R1723="B",$Q1723,IF($Q1723+1&gt;$K$3,"",$Q1723+1)))</f>
        <v/>
      </c>
      <c r="R1724">
        <f>IF(OR($R1723="",$R1723="T"),"",IF($R1723="B","S",IF($Q1723+1&gt;$K$3,"T",IF(INDEX($M$4:$M$2003,MATCH($Q1723+1,$P$4:$P$2003,0))&lt;&gt;INDEX($M$4:$M$2003,MATCH($Q1723,$P$4:$P$2003,0)),"B","S"))))</f>
        <v/>
      </c>
      <c r="S1724">
        <f>IF(Q1724="","",IFERROR(MATCH(Q1724,$P$4:$P$2003,0),""))</f>
        <v/>
      </c>
    </row>
    <row r="1725">
      <c r="A1725" s="4">
        <f>IF($R1725="","",IF($R1725="T","Gesamtergebnis",IF($R1725="B",INDEX($M$4:$M$2003,$S1725),INDEX($L$4:$L$2003,$S1725))))</f>
        <v/>
      </c>
      <c r="B1725" s="4">
        <f>IF($R1725="","",IF($R1725="T",$K$3,IF($R1725="B",COUNTIFS($M$4:$M$2003,INDEX($M$4:$M$2003,$S1725),$N$4:$N$2003,1),1)))</f>
        <v/>
      </c>
      <c r="L1725">
        <f>IF($K$1="","",IFERROR(INDEX(Lines!$A:$AA,ROW()-2,$K$1),""))</f>
        <v/>
      </c>
      <c r="M1725">
        <f>IF($K$2="","",IFERROR(INDEX(Lines!$A:$AA,ROW()-2,$K$2),""))</f>
        <v/>
      </c>
      <c r="N1725">
        <f>IF(AND(L1725&lt;&gt;"",LEFT(L1725,1)="N",M1725&lt;&gt;"PICKING",M1725&lt;&gt;""),1,0)</f>
        <v/>
      </c>
      <c r="O1725">
        <f>IF(N1725=1,M1725&amp;"|"&amp;L1725,REPT("z",40))</f>
        <v/>
      </c>
      <c r="P1725">
        <f>IF(N1725=1,COUNTIF($O$4:$O$2003,"&lt;"&amp;O1725)+1,"")</f>
        <v/>
      </c>
      <c r="Q1725">
        <f>IF(OR($R1724="",$R1724="T"),"",IF($R1724="B",$Q1724,IF($Q1724+1&gt;$K$3,"",$Q1724+1)))</f>
        <v/>
      </c>
      <c r="R1725">
        <f>IF(OR($R1724="",$R1724="T"),"",IF($R1724="B","S",IF($Q1724+1&gt;$K$3,"T",IF(INDEX($M$4:$M$2003,MATCH($Q1724+1,$P$4:$P$2003,0))&lt;&gt;INDEX($M$4:$M$2003,MATCH($Q1724,$P$4:$P$2003,0)),"B","S"))))</f>
        <v/>
      </c>
      <c r="S1725">
        <f>IF(Q1725="","",IFERROR(MATCH(Q1725,$P$4:$P$2003,0),""))</f>
        <v/>
      </c>
    </row>
    <row r="1726">
      <c r="A1726" s="4">
        <f>IF($R1726="","",IF($R1726="T","Gesamtergebnis",IF($R1726="B",INDEX($M$4:$M$2003,$S1726),INDEX($L$4:$L$2003,$S1726))))</f>
        <v/>
      </c>
      <c r="B1726" s="4">
        <f>IF($R1726="","",IF($R1726="T",$K$3,IF($R1726="B",COUNTIFS($M$4:$M$2003,INDEX($M$4:$M$2003,$S1726),$N$4:$N$2003,1),1)))</f>
        <v/>
      </c>
      <c r="L1726">
        <f>IF($K$1="","",IFERROR(INDEX(Lines!$A:$AA,ROW()-2,$K$1),""))</f>
        <v/>
      </c>
      <c r="M1726">
        <f>IF($K$2="","",IFERROR(INDEX(Lines!$A:$AA,ROW()-2,$K$2),""))</f>
        <v/>
      </c>
      <c r="N1726">
        <f>IF(AND(L1726&lt;&gt;"",LEFT(L1726,1)="N",M1726&lt;&gt;"PICKING",M1726&lt;&gt;""),1,0)</f>
        <v/>
      </c>
      <c r="O1726">
        <f>IF(N1726=1,M1726&amp;"|"&amp;L1726,REPT("z",40))</f>
        <v/>
      </c>
      <c r="P1726">
        <f>IF(N1726=1,COUNTIF($O$4:$O$2003,"&lt;"&amp;O1726)+1,"")</f>
        <v/>
      </c>
      <c r="Q1726">
        <f>IF(OR($R1725="",$R1725="T"),"",IF($R1725="B",$Q1725,IF($Q1725+1&gt;$K$3,"",$Q1725+1)))</f>
        <v/>
      </c>
      <c r="R1726">
        <f>IF(OR($R1725="",$R1725="T"),"",IF($R1725="B","S",IF($Q1725+1&gt;$K$3,"T",IF(INDEX($M$4:$M$2003,MATCH($Q1725+1,$P$4:$P$2003,0))&lt;&gt;INDEX($M$4:$M$2003,MATCH($Q1725,$P$4:$P$2003,0)),"B","S"))))</f>
        <v/>
      </c>
      <c r="S1726">
        <f>IF(Q1726="","",IFERROR(MATCH(Q1726,$P$4:$P$2003,0),""))</f>
        <v/>
      </c>
    </row>
    <row r="1727">
      <c r="A1727" s="4">
        <f>IF($R1727="","",IF($R1727="T","Gesamtergebnis",IF($R1727="B",INDEX($M$4:$M$2003,$S1727),INDEX($L$4:$L$2003,$S1727))))</f>
        <v/>
      </c>
      <c r="B1727" s="4">
        <f>IF($R1727="","",IF($R1727="T",$K$3,IF($R1727="B",COUNTIFS($M$4:$M$2003,INDEX($M$4:$M$2003,$S1727),$N$4:$N$2003,1),1)))</f>
        <v/>
      </c>
      <c r="L1727">
        <f>IF($K$1="","",IFERROR(INDEX(Lines!$A:$AA,ROW()-2,$K$1),""))</f>
        <v/>
      </c>
      <c r="M1727">
        <f>IF($K$2="","",IFERROR(INDEX(Lines!$A:$AA,ROW()-2,$K$2),""))</f>
        <v/>
      </c>
      <c r="N1727">
        <f>IF(AND(L1727&lt;&gt;"",LEFT(L1727,1)="N",M1727&lt;&gt;"PICKING",M1727&lt;&gt;""),1,0)</f>
        <v/>
      </c>
      <c r="O1727">
        <f>IF(N1727=1,M1727&amp;"|"&amp;L1727,REPT("z",40))</f>
        <v/>
      </c>
      <c r="P1727">
        <f>IF(N1727=1,COUNTIF($O$4:$O$2003,"&lt;"&amp;O1727)+1,"")</f>
        <v/>
      </c>
      <c r="Q1727">
        <f>IF(OR($R1726="",$R1726="T"),"",IF($R1726="B",$Q1726,IF($Q1726+1&gt;$K$3,"",$Q1726+1)))</f>
        <v/>
      </c>
      <c r="R1727">
        <f>IF(OR($R1726="",$R1726="T"),"",IF($R1726="B","S",IF($Q1726+1&gt;$K$3,"T",IF(INDEX($M$4:$M$2003,MATCH($Q1726+1,$P$4:$P$2003,0))&lt;&gt;INDEX($M$4:$M$2003,MATCH($Q1726,$P$4:$P$2003,0)),"B","S"))))</f>
        <v/>
      </c>
      <c r="S1727">
        <f>IF(Q1727="","",IFERROR(MATCH(Q1727,$P$4:$P$2003,0),""))</f>
        <v/>
      </c>
    </row>
    <row r="1728">
      <c r="A1728" s="4">
        <f>IF($R1728="","",IF($R1728="T","Gesamtergebnis",IF($R1728="B",INDEX($M$4:$M$2003,$S1728),INDEX($L$4:$L$2003,$S1728))))</f>
        <v/>
      </c>
      <c r="B1728" s="4">
        <f>IF($R1728="","",IF($R1728="T",$K$3,IF($R1728="B",COUNTIFS($M$4:$M$2003,INDEX($M$4:$M$2003,$S1728),$N$4:$N$2003,1),1)))</f>
        <v/>
      </c>
      <c r="L1728">
        <f>IF($K$1="","",IFERROR(INDEX(Lines!$A:$AA,ROW()-2,$K$1),""))</f>
        <v/>
      </c>
      <c r="M1728">
        <f>IF($K$2="","",IFERROR(INDEX(Lines!$A:$AA,ROW()-2,$K$2),""))</f>
        <v/>
      </c>
      <c r="N1728">
        <f>IF(AND(L1728&lt;&gt;"",LEFT(L1728,1)="N",M1728&lt;&gt;"PICKING",M1728&lt;&gt;""),1,0)</f>
        <v/>
      </c>
      <c r="O1728">
        <f>IF(N1728=1,M1728&amp;"|"&amp;L1728,REPT("z",40))</f>
        <v/>
      </c>
      <c r="P1728">
        <f>IF(N1728=1,COUNTIF($O$4:$O$2003,"&lt;"&amp;O1728)+1,"")</f>
        <v/>
      </c>
      <c r="Q1728">
        <f>IF(OR($R1727="",$R1727="T"),"",IF($R1727="B",$Q1727,IF($Q1727+1&gt;$K$3,"",$Q1727+1)))</f>
        <v/>
      </c>
      <c r="R1728">
        <f>IF(OR($R1727="",$R1727="T"),"",IF($R1727="B","S",IF($Q1727+1&gt;$K$3,"T",IF(INDEX($M$4:$M$2003,MATCH($Q1727+1,$P$4:$P$2003,0))&lt;&gt;INDEX($M$4:$M$2003,MATCH($Q1727,$P$4:$P$2003,0)),"B","S"))))</f>
        <v/>
      </c>
      <c r="S1728">
        <f>IF(Q1728="","",IFERROR(MATCH(Q1728,$P$4:$P$2003,0),""))</f>
        <v/>
      </c>
    </row>
    <row r="1729">
      <c r="A1729" s="4">
        <f>IF($R1729="","",IF($R1729="T","Gesamtergebnis",IF($R1729="B",INDEX($M$4:$M$2003,$S1729),INDEX($L$4:$L$2003,$S1729))))</f>
        <v/>
      </c>
      <c r="B1729" s="4">
        <f>IF($R1729="","",IF($R1729="T",$K$3,IF($R1729="B",COUNTIFS($M$4:$M$2003,INDEX($M$4:$M$2003,$S1729),$N$4:$N$2003,1),1)))</f>
        <v/>
      </c>
      <c r="L1729">
        <f>IF($K$1="","",IFERROR(INDEX(Lines!$A:$AA,ROW()-2,$K$1),""))</f>
        <v/>
      </c>
      <c r="M1729">
        <f>IF($K$2="","",IFERROR(INDEX(Lines!$A:$AA,ROW()-2,$K$2),""))</f>
        <v/>
      </c>
      <c r="N1729">
        <f>IF(AND(L1729&lt;&gt;"",LEFT(L1729,1)="N",M1729&lt;&gt;"PICKING",M1729&lt;&gt;""),1,0)</f>
        <v/>
      </c>
      <c r="O1729">
        <f>IF(N1729=1,M1729&amp;"|"&amp;L1729,REPT("z",40))</f>
        <v/>
      </c>
      <c r="P1729">
        <f>IF(N1729=1,COUNTIF($O$4:$O$2003,"&lt;"&amp;O1729)+1,"")</f>
        <v/>
      </c>
      <c r="Q1729">
        <f>IF(OR($R1728="",$R1728="T"),"",IF($R1728="B",$Q1728,IF($Q1728+1&gt;$K$3,"",$Q1728+1)))</f>
        <v/>
      </c>
      <c r="R1729">
        <f>IF(OR($R1728="",$R1728="T"),"",IF($R1728="B","S",IF($Q1728+1&gt;$K$3,"T",IF(INDEX($M$4:$M$2003,MATCH($Q1728+1,$P$4:$P$2003,0))&lt;&gt;INDEX($M$4:$M$2003,MATCH($Q1728,$P$4:$P$2003,0)),"B","S"))))</f>
        <v/>
      </c>
      <c r="S1729">
        <f>IF(Q1729="","",IFERROR(MATCH(Q1729,$P$4:$P$2003,0),""))</f>
        <v/>
      </c>
    </row>
    <row r="1730">
      <c r="A1730" s="4">
        <f>IF($R1730="","",IF($R1730="T","Gesamtergebnis",IF($R1730="B",INDEX($M$4:$M$2003,$S1730),INDEX($L$4:$L$2003,$S1730))))</f>
        <v/>
      </c>
      <c r="B1730" s="4">
        <f>IF($R1730="","",IF($R1730="T",$K$3,IF($R1730="B",COUNTIFS($M$4:$M$2003,INDEX($M$4:$M$2003,$S1730),$N$4:$N$2003,1),1)))</f>
        <v/>
      </c>
      <c r="L1730">
        <f>IF($K$1="","",IFERROR(INDEX(Lines!$A:$AA,ROW()-2,$K$1),""))</f>
        <v/>
      </c>
      <c r="M1730">
        <f>IF($K$2="","",IFERROR(INDEX(Lines!$A:$AA,ROW()-2,$K$2),""))</f>
        <v/>
      </c>
      <c r="N1730">
        <f>IF(AND(L1730&lt;&gt;"",LEFT(L1730,1)="N",M1730&lt;&gt;"PICKING",M1730&lt;&gt;""),1,0)</f>
        <v/>
      </c>
      <c r="O1730">
        <f>IF(N1730=1,M1730&amp;"|"&amp;L1730,REPT("z",40))</f>
        <v/>
      </c>
      <c r="P1730">
        <f>IF(N1730=1,COUNTIF($O$4:$O$2003,"&lt;"&amp;O1730)+1,"")</f>
        <v/>
      </c>
      <c r="Q1730">
        <f>IF(OR($R1729="",$R1729="T"),"",IF($R1729="B",$Q1729,IF($Q1729+1&gt;$K$3,"",$Q1729+1)))</f>
        <v/>
      </c>
      <c r="R1730">
        <f>IF(OR($R1729="",$R1729="T"),"",IF($R1729="B","S",IF($Q1729+1&gt;$K$3,"T",IF(INDEX($M$4:$M$2003,MATCH($Q1729+1,$P$4:$P$2003,0))&lt;&gt;INDEX($M$4:$M$2003,MATCH($Q1729,$P$4:$P$2003,0)),"B","S"))))</f>
        <v/>
      </c>
      <c r="S1730">
        <f>IF(Q1730="","",IFERROR(MATCH(Q1730,$P$4:$P$2003,0),""))</f>
        <v/>
      </c>
    </row>
    <row r="1731">
      <c r="A1731" s="4">
        <f>IF($R1731="","",IF($R1731="T","Gesamtergebnis",IF($R1731="B",INDEX($M$4:$M$2003,$S1731),INDEX($L$4:$L$2003,$S1731))))</f>
        <v/>
      </c>
      <c r="B1731" s="4">
        <f>IF($R1731="","",IF($R1731="T",$K$3,IF($R1731="B",COUNTIFS($M$4:$M$2003,INDEX($M$4:$M$2003,$S1731),$N$4:$N$2003,1),1)))</f>
        <v/>
      </c>
      <c r="L1731">
        <f>IF($K$1="","",IFERROR(INDEX(Lines!$A:$AA,ROW()-2,$K$1),""))</f>
        <v/>
      </c>
      <c r="M1731">
        <f>IF($K$2="","",IFERROR(INDEX(Lines!$A:$AA,ROW()-2,$K$2),""))</f>
        <v/>
      </c>
      <c r="N1731">
        <f>IF(AND(L1731&lt;&gt;"",LEFT(L1731,1)="N",M1731&lt;&gt;"PICKING",M1731&lt;&gt;""),1,0)</f>
        <v/>
      </c>
      <c r="O1731">
        <f>IF(N1731=1,M1731&amp;"|"&amp;L1731,REPT("z",40))</f>
        <v/>
      </c>
      <c r="P1731">
        <f>IF(N1731=1,COUNTIF($O$4:$O$2003,"&lt;"&amp;O1731)+1,"")</f>
        <v/>
      </c>
      <c r="Q1731">
        <f>IF(OR($R1730="",$R1730="T"),"",IF($R1730="B",$Q1730,IF($Q1730+1&gt;$K$3,"",$Q1730+1)))</f>
        <v/>
      </c>
      <c r="R1731">
        <f>IF(OR($R1730="",$R1730="T"),"",IF($R1730="B","S",IF($Q1730+1&gt;$K$3,"T",IF(INDEX($M$4:$M$2003,MATCH($Q1730+1,$P$4:$P$2003,0))&lt;&gt;INDEX($M$4:$M$2003,MATCH($Q1730,$P$4:$P$2003,0)),"B","S"))))</f>
        <v/>
      </c>
      <c r="S1731">
        <f>IF(Q1731="","",IFERROR(MATCH(Q1731,$P$4:$P$2003,0),""))</f>
        <v/>
      </c>
    </row>
    <row r="1732">
      <c r="A1732" s="4">
        <f>IF($R1732="","",IF($R1732="T","Gesamtergebnis",IF($R1732="B",INDEX($M$4:$M$2003,$S1732),INDEX($L$4:$L$2003,$S1732))))</f>
        <v/>
      </c>
      <c r="B1732" s="4">
        <f>IF($R1732="","",IF($R1732="T",$K$3,IF($R1732="B",COUNTIFS($M$4:$M$2003,INDEX($M$4:$M$2003,$S1732),$N$4:$N$2003,1),1)))</f>
        <v/>
      </c>
      <c r="L1732">
        <f>IF($K$1="","",IFERROR(INDEX(Lines!$A:$AA,ROW()-2,$K$1),""))</f>
        <v/>
      </c>
      <c r="M1732">
        <f>IF($K$2="","",IFERROR(INDEX(Lines!$A:$AA,ROW()-2,$K$2),""))</f>
        <v/>
      </c>
      <c r="N1732">
        <f>IF(AND(L1732&lt;&gt;"",LEFT(L1732,1)="N",M1732&lt;&gt;"PICKING",M1732&lt;&gt;""),1,0)</f>
        <v/>
      </c>
      <c r="O1732">
        <f>IF(N1732=1,M1732&amp;"|"&amp;L1732,REPT("z",40))</f>
        <v/>
      </c>
      <c r="P1732">
        <f>IF(N1732=1,COUNTIF($O$4:$O$2003,"&lt;"&amp;O1732)+1,"")</f>
        <v/>
      </c>
      <c r="Q1732">
        <f>IF(OR($R1731="",$R1731="T"),"",IF($R1731="B",$Q1731,IF($Q1731+1&gt;$K$3,"",$Q1731+1)))</f>
        <v/>
      </c>
      <c r="R1732">
        <f>IF(OR($R1731="",$R1731="T"),"",IF($R1731="B","S",IF($Q1731+1&gt;$K$3,"T",IF(INDEX($M$4:$M$2003,MATCH($Q1731+1,$P$4:$P$2003,0))&lt;&gt;INDEX($M$4:$M$2003,MATCH($Q1731,$P$4:$P$2003,0)),"B","S"))))</f>
        <v/>
      </c>
      <c r="S1732">
        <f>IF(Q1732="","",IFERROR(MATCH(Q1732,$P$4:$P$2003,0),""))</f>
        <v/>
      </c>
    </row>
    <row r="1733">
      <c r="A1733" s="4">
        <f>IF($R1733="","",IF($R1733="T","Gesamtergebnis",IF($R1733="B",INDEX($M$4:$M$2003,$S1733),INDEX($L$4:$L$2003,$S1733))))</f>
        <v/>
      </c>
      <c r="B1733" s="4">
        <f>IF($R1733="","",IF($R1733="T",$K$3,IF($R1733="B",COUNTIFS($M$4:$M$2003,INDEX($M$4:$M$2003,$S1733),$N$4:$N$2003,1),1)))</f>
        <v/>
      </c>
      <c r="L1733">
        <f>IF($K$1="","",IFERROR(INDEX(Lines!$A:$AA,ROW()-2,$K$1),""))</f>
        <v/>
      </c>
      <c r="M1733">
        <f>IF($K$2="","",IFERROR(INDEX(Lines!$A:$AA,ROW()-2,$K$2),""))</f>
        <v/>
      </c>
      <c r="N1733">
        <f>IF(AND(L1733&lt;&gt;"",LEFT(L1733,1)="N",M1733&lt;&gt;"PICKING",M1733&lt;&gt;""),1,0)</f>
        <v/>
      </c>
      <c r="O1733">
        <f>IF(N1733=1,M1733&amp;"|"&amp;L1733,REPT("z",40))</f>
        <v/>
      </c>
      <c r="P1733">
        <f>IF(N1733=1,COUNTIF($O$4:$O$2003,"&lt;"&amp;O1733)+1,"")</f>
        <v/>
      </c>
      <c r="Q1733">
        <f>IF(OR($R1732="",$R1732="T"),"",IF($R1732="B",$Q1732,IF($Q1732+1&gt;$K$3,"",$Q1732+1)))</f>
        <v/>
      </c>
      <c r="R1733">
        <f>IF(OR($R1732="",$R1732="T"),"",IF($R1732="B","S",IF($Q1732+1&gt;$K$3,"T",IF(INDEX($M$4:$M$2003,MATCH($Q1732+1,$P$4:$P$2003,0))&lt;&gt;INDEX($M$4:$M$2003,MATCH($Q1732,$P$4:$P$2003,0)),"B","S"))))</f>
        <v/>
      </c>
      <c r="S1733">
        <f>IF(Q1733="","",IFERROR(MATCH(Q1733,$P$4:$P$2003,0),""))</f>
        <v/>
      </c>
    </row>
    <row r="1734">
      <c r="A1734" s="4">
        <f>IF($R1734="","",IF($R1734="T","Gesamtergebnis",IF($R1734="B",INDEX($M$4:$M$2003,$S1734),INDEX($L$4:$L$2003,$S1734))))</f>
        <v/>
      </c>
      <c r="B1734" s="4">
        <f>IF($R1734="","",IF($R1734="T",$K$3,IF($R1734="B",COUNTIFS($M$4:$M$2003,INDEX($M$4:$M$2003,$S1734),$N$4:$N$2003,1),1)))</f>
        <v/>
      </c>
      <c r="L1734">
        <f>IF($K$1="","",IFERROR(INDEX(Lines!$A:$AA,ROW()-2,$K$1),""))</f>
        <v/>
      </c>
      <c r="M1734">
        <f>IF($K$2="","",IFERROR(INDEX(Lines!$A:$AA,ROW()-2,$K$2),""))</f>
        <v/>
      </c>
      <c r="N1734">
        <f>IF(AND(L1734&lt;&gt;"",LEFT(L1734,1)="N",M1734&lt;&gt;"PICKING",M1734&lt;&gt;""),1,0)</f>
        <v/>
      </c>
      <c r="O1734">
        <f>IF(N1734=1,M1734&amp;"|"&amp;L1734,REPT("z",40))</f>
        <v/>
      </c>
      <c r="P1734">
        <f>IF(N1734=1,COUNTIF($O$4:$O$2003,"&lt;"&amp;O1734)+1,"")</f>
        <v/>
      </c>
      <c r="Q1734">
        <f>IF(OR($R1733="",$R1733="T"),"",IF($R1733="B",$Q1733,IF($Q1733+1&gt;$K$3,"",$Q1733+1)))</f>
        <v/>
      </c>
      <c r="R1734">
        <f>IF(OR($R1733="",$R1733="T"),"",IF($R1733="B","S",IF($Q1733+1&gt;$K$3,"T",IF(INDEX($M$4:$M$2003,MATCH($Q1733+1,$P$4:$P$2003,0))&lt;&gt;INDEX($M$4:$M$2003,MATCH($Q1733,$P$4:$P$2003,0)),"B","S"))))</f>
        <v/>
      </c>
      <c r="S1734">
        <f>IF(Q1734="","",IFERROR(MATCH(Q1734,$P$4:$P$2003,0),""))</f>
        <v/>
      </c>
    </row>
    <row r="1735">
      <c r="A1735" s="4">
        <f>IF($R1735="","",IF($R1735="T","Gesamtergebnis",IF($R1735="B",INDEX($M$4:$M$2003,$S1735),INDEX($L$4:$L$2003,$S1735))))</f>
        <v/>
      </c>
      <c r="B1735" s="4">
        <f>IF($R1735="","",IF($R1735="T",$K$3,IF($R1735="B",COUNTIFS($M$4:$M$2003,INDEX($M$4:$M$2003,$S1735),$N$4:$N$2003,1),1)))</f>
        <v/>
      </c>
      <c r="L1735">
        <f>IF($K$1="","",IFERROR(INDEX(Lines!$A:$AA,ROW()-2,$K$1),""))</f>
        <v/>
      </c>
      <c r="M1735">
        <f>IF($K$2="","",IFERROR(INDEX(Lines!$A:$AA,ROW()-2,$K$2),""))</f>
        <v/>
      </c>
      <c r="N1735">
        <f>IF(AND(L1735&lt;&gt;"",LEFT(L1735,1)="N",M1735&lt;&gt;"PICKING",M1735&lt;&gt;""),1,0)</f>
        <v/>
      </c>
      <c r="O1735">
        <f>IF(N1735=1,M1735&amp;"|"&amp;L1735,REPT("z",40))</f>
        <v/>
      </c>
      <c r="P1735">
        <f>IF(N1735=1,COUNTIF($O$4:$O$2003,"&lt;"&amp;O1735)+1,"")</f>
        <v/>
      </c>
      <c r="Q1735">
        <f>IF(OR($R1734="",$R1734="T"),"",IF($R1734="B",$Q1734,IF($Q1734+1&gt;$K$3,"",$Q1734+1)))</f>
        <v/>
      </c>
      <c r="R1735">
        <f>IF(OR($R1734="",$R1734="T"),"",IF($R1734="B","S",IF($Q1734+1&gt;$K$3,"T",IF(INDEX($M$4:$M$2003,MATCH($Q1734+1,$P$4:$P$2003,0))&lt;&gt;INDEX($M$4:$M$2003,MATCH($Q1734,$P$4:$P$2003,0)),"B","S"))))</f>
        <v/>
      </c>
      <c r="S1735">
        <f>IF(Q1735="","",IFERROR(MATCH(Q1735,$P$4:$P$2003,0),""))</f>
        <v/>
      </c>
    </row>
    <row r="1736">
      <c r="A1736" s="4">
        <f>IF($R1736="","",IF($R1736="T","Gesamtergebnis",IF($R1736="B",INDEX($M$4:$M$2003,$S1736),INDEX($L$4:$L$2003,$S1736))))</f>
        <v/>
      </c>
      <c r="B1736" s="4">
        <f>IF($R1736="","",IF($R1736="T",$K$3,IF($R1736="B",COUNTIFS($M$4:$M$2003,INDEX($M$4:$M$2003,$S1736),$N$4:$N$2003,1),1)))</f>
        <v/>
      </c>
      <c r="L1736">
        <f>IF($K$1="","",IFERROR(INDEX(Lines!$A:$AA,ROW()-2,$K$1),""))</f>
        <v/>
      </c>
      <c r="M1736">
        <f>IF($K$2="","",IFERROR(INDEX(Lines!$A:$AA,ROW()-2,$K$2),""))</f>
        <v/>
      </c>
      <c r="N1736">
        <f>IF(AND(L1736&lt;&gt;"",LEFT(L1736,1)="N",M1736&lt;&gt;"PICKING",M1736&lt;&gt;""),1,0)</f>
        <v/>
      </c>
      <c r="O1736">
        <f>IF(N1736=1,M1736&amp;"|"&amp;L1736,REPT("z",40))</f>
        <v/>
      </c>
      <c r="P1736">
        <f>IF(N1736=1,COUNTIF($O$4:$O$2003,"&lt;"&amp;O1736)+1,"")</f>
        <v/>
      </c>
      <c r="Q1736">
        <f>IF(OR($R1735="",$R1735="T"),"",IF($R1735="B",$Q1735,IF($Q1735+1&gt;$K$3,"",$Q1735+1)))</f>
        <v/>
      </c>
      <c r="R1736">
        <f>IF(OR($R1735="",$R1735="T"),"",IF($R1735="B","S",IF($Q1735+1&gt;$K$3,"T",IF(INDEX($M$4:$M$2003,MATCH($Q1735+1,$P$4:$P$2003,0))&lt;&gt;INDEX($M$4:$M$2003,MATCH($Q1735,$P$4:$P$2003,0)),"B","S"))))</f>
        <v/>
      </c>
      <c r="S1736">
        <f>IF(Q1736="","",IFERROR(MATCH(Q1736,$P$4:$P$2003,0),""))</f>
        <v/>
      </c>
    </row>
    <row r="1737">
      <c r="A1737" s="4">
        <f>IF($R1737="","",IF($R1737="T","Gesamtergebnis",IF($R1737="B",INDEX($M$4:$M$2003,$S1737),INDEX($L$4:$L$2003,$S1737))))</f>
        <v/>
      </c>
      <c r="B1737" s="4">
        <f>IF($R1737="","",IF($R1737="T",$K$3,IF($R1737="B",COUNTIFS($M$4:$M$2003,INDEX($M$4:$M$2003,$S1737),$N$4:$N$2003,1),1)))</f>
        <v/>
      </c>
      <c r="L1737">
        <f>IF($K$1="","",IFERROR(INDEX(Lines!$A:$AA,ROW()-2,$K$1),""))</f>
        <v/>
      </c>
      <c r="M1737">
        <f>IF($K$2="","",IFERROR(INDEX(Lines!$A:$AA,ROW()-2,$K$2),""))</f>
        <v/>
      </c>
      <c r="N1737">
        <f>IF(AND(L1737&lt;&gt;"",LEFT(L1737,1)="N",M1737&lt;&gt;"PICKING",M1737&lt;&gt;""),1,0)</f>
        <v/>
      </c>
      <c r="O1737">
        <f>IF(N1737=1,M1737&amp;"|"&amp;L1737,REPT("z",40))</f>
        <v/>
      </c>
      <c r="P1737">
        <f>IF(N1737=1,COUNTIF($O$4:$O$2003,"&lt;"&amp;O1737)+1,"")</f>
        <v/>
      </c>
      <c r="Q1737">
        <f>IF(OR($R1736="",$R1736="T"),"",IF($R1736="B",$Q1736,IF($Q1736+1&gt;$K$3,"",$Q1736+1)))</f>
        <v/>
      </c>
      <c r="R1737">
        <f>IF(OR($R1736="",$R1736="T"),"",IF($R1736="B","S",IF($Q1736+1&gt;$K$3,"T",IF(INDEX($M$4:$M$2003,MATCH($Q1736+1,$P$4:$P$2003,0))&lt;&gt;INDEX($M$4:$M$2003,MATCH($Q1736,$P$4:$P$2003,0)),"B","S"))))</f>
        <v/>
      </c>
      <c r="S1737">
        <f>IF(Q1737="","",IFERROR(MATCH(Q1737,$P$4:$P$2003,0),""))</f>
        <v/>
      </c>
    </row>
    <row r="1738">
      <c r="A1738" s="4">
        <f>IF($R1738="","",IF($R1738="T","Gesamtergebnis",IF($R1738="B",INDEX($M$4:$M$2003,$S1738),INDEX($L$4:$L$2003,$S1738))))</f>
        <v/>
      </c>
      <c r="B1738" s="4">
        <f>IF($R1738="","",IF($R1738="T",$K$3,IF($R1738="B",COUNTIFS($M$4:$M$2003,INDEX($M$4:$M$2003,$S1738),$N$4:$N$2003,1),1)))</f>
        <v/>
      </c>
      <c r="L1738">
        <f>IF($K$1="","",IFERROR(INDEX(Lines!$A:$AA,ROW()-2,$K$1),""))</f>
        <v/>
      </c>
      <c r="M1738">
        <f>IF($K$2="","",IFERROR(INDEX(Lines!$A:$AA,ROW()-2,$K$2),""))</f>
        <v/>
      </c>
      <c r="N1738">
        <f>IF(AND(L1738&lt;&gt;"",LEFT(L1738,1)="N",M1738&lt;&gt;"PICKING",M1738&lt;&gt;""),1,0)</f>
        <v/>
      </c>
      <c r="O1738">
        <f>IF(N1738=1,M1738&amp;"|"&amp;L1738,REPT("z",40))</f>
        <v/>
      </c>
      <c r="P1738">
        <f>IF(N1738=1,COUNTIF($O$4:$O$2003,"&lt;"&amp;O1738)+1,"")</f>
        <v/>
      </c>
      <c r="Q1738">
        <f>IF(OR($R1737="",$R1737="T"),"",IF($R1737="B",$Q1737,IF($Q1737+1&gt;$K$3,"",$Q1737+1)))</f>
        <v/>
      </c>
      <c r="R1738">
        <f>IF(OR($R1737="",$R1737="T"),"",IF($R1737="B","S",IF($Q1737+1&gt;$K$3,"T",IF(INDEX($M$4:$M$2003,MATCH($Q1737+1,$P$4:$P$2003,0))&lt;&gt;INDEX($M$4:$M$2003,MATCH($Q1737,$P$4:$P$2003,0)),"B","S"))))</f>
        <v/>
      </c>
      <c r="S1738">
        <f>IF(Q1738="","",IFERROR(MATCH(Q1738,$P$4:$P$2003,0),""))</f>
        <v/>
      </c>
    </row>
    <row r="1739">
      <c r="A1739" s="4">
        <f>IF($R1739="","",IF($R1739="T","Gesamtergebnis",IF($R1739="B",INDEX($M$4:$M$2003,$S1739),INDEX($L$4:$L$2003,$S1739))))</f>
        <v/>
      </c>
      <c r="B1739" s="4">
        <f>IF($R1739="","",IF($R1739="T",$K$3,IF($R1739="B",COUNTIFS($M$4:$M$2003,INDEX($M$4:$M$2003,$S1739),$N$4:$N$2003,1),1)))</f>
        <v/>
      </c>
      <c r="L1739">
        <f>IF($K$1="","",IFERROR(INDEX(Lines!$A:$AA,ROW()-2,$K$1),""))</f>
        <v/>
      </c>
      <c r="M1739">
        <f>IF($K$2="","",IFERROR(INDEX(Lines!$A:$AA,ROW()-2,$K$2),""))</f>
        <v/>
      </c>
      <c r="N1739">
        <f>IF(AND(L1739&lt;&gt;"",LEFT(L1739,1)="N",M1739&lt;&gt;"PICKING",M1739&lt;&gt;""),1,0)</f>
        <v/>
      </c>
      <c r="O1739">
        <f>IF(N1739=1,M1739&amp;"|"&amp;L1739,REPT("z",40))</f>
        <v/>
      </c>
      <c r="P1739">
        <f>IF(N1739=1,COUNTIF($O$4:$O$2003,"&lt;"&amp;O1739)+1,"")</f>
        <v/>
      </c>
      <c r="Q1739">
        <f>IF(OR($R1738="",$R1738="T"),"",IF($R1738="B",$Q1738,IF($Q1738+1&gt;$K$3,"",$Q1738+1)))</f>
        <v/>
      </c>
      <c r="R1739">
        <f>IF(OR($R1738="",$R1738="T"),"",IF($R1738="B","S",IF($Q1738+1&gt;$K$3,"T",IF(INDEX($M$4:$M$2003,MATCH($Q1738+1,$P$4:$P$2003,0))&lt;&gt;INDEX($M$4:$M$2003,MATCH($Q1738,$P$4:$P$2003,0)),"B","S"))))</f>
        <v/>
      </c>
      <c r="S1739">
        <f>IF(Q1739="","",IFERROR(MATCH(Q1739,$P$4:$P$2003,0),""))</f>
        <v/>
      </c>
    </row>
    <row r="1740">
      <c r="A1740" s="4">
        <f>IF($R1740="","",IF($R1740="T","Gesamtergebnis",IF($R1740="B",INDEX($M$4:$M$2003,$S1740),INDEX($L$4:$L$2003,$S1740))))</f>
        <v/>
      </c>
      <c r="B1740" s="4">
        <f>IF($R1740="","",IF($R1740="T",$K$3,IF($R1740="B",COUNTIFS($M$4:$M$2003,INDEX($M$4:$M$2003,$S1740),$N$4:$N$2003,1),1)))</f>
        <v/>
      </c>
      <c r="L1740">
        <f>IF($K$1="","",IFERROR(INDEX(Lines!$A:$AA,ROW()-2,$K$1),""))</f>
        <v/>
      </c>
      <c r="M1740">
        <f>IF($K$2="","",IFERROR(INDEX(Lines!$A:$AA,ROW()-2,$K$2),""))</f>
        <v/>
      </c>
      <c r="N1740">
        <f>IF(AND(L1740&lt;&gt;"",LEFT(L1740,1)="N",M1740&lt;&gt;"PICKING",M1740&lt;&gt;""),1,0)</f>
        <v/>
      </c>
      <c r="O1740">
        <f>IF(N1740=1,M1740&amp;"|"&amp;L1740,REPT("z",40))</f>
        <v/>
      </c>
      <c r="P1740">
        <f>IF(N1740=1,COUNTIF($O$4:$O$2003,"&lt;"&amp;O1740)+1,"")</f>
        <v/>
      </c>
      <c r="Q1740">
        <f>IF(OR($R1739="",$R1739="T"),"",IF($R1739="B",$Q1739,IF($Q1739+1&gt;$K$3,"",$Q1739+1)))</f>
        <v/>
      </c>
      <c r="R1740">
        <f>IF(OR($R1739="",$R1739="T"),"",IF($R1739="B","S",IF($Q1739+1&gt;$K$3,"T",IF(INDEX($M$4:$M$2003,MATCH($Q1739+1,$P$4:$P$2003,0))&lt;&gt;INDEX($M$4:$M$2003,MATCH($Q1739,$P$4:$P$2003,0)),"B","S"))))</f>
        <v/>
      </c>
      <c r="S1740">
        <f>IF(Q1740="","",IFERROR(MATCH(Q1740,$P$4:$P$2003,0),""))</f>
        <v/>
      </c>
    </row>
    <row r="1741">
      <c r="A1741" s="4">
        <f>IF($R1741="","",IF($R1741="T","Gesamtergebnis",IF($R1741="B",INDEX($M$4:$M$2003,$S1741),INDEX($L$4:$L$2003,$S1741))))</f>
        <v/>
      </c>
      <c r="B1741" s="4">
        <f>IF($R1741="","",IF($R1741="T",$K$3,IF($R1741="B",COUNTIFS($M$4:$M$2003,INDEX($M$4:$M$2003,$S1741),$N$4:$N$2003,1),1)))</f>
        <v/>
      </c>
      <c r="L1741">
        <f>IF($K$1="","",IFERROR(INDEX(Lines!$A:$AA,ROW()-2,$K$1),""))</f>
        <v/>
      </c>
      <c r="M1741">
        <f>IF($K$2="","",IFERROR(INDEX(Lines!$A:$AA,ROW()-2,$K$2),""))</f>
        <v/>
      </c>
      <c r="N1741">
        <f>IF(AND(L1741&lt;&gt;"",LEFT(L1741,1)="N",M1741&lt;&gt;"PICKING",M1741&lt;&gt;""),1,0)</f>
        <v/>
      </c>
      <c r="O1741">
        <f>IF(N1741=1,M1741&amp;"|"&amp;L1741,REPT("z",40))</f>
        <v/>
      </c>
      <c r="P1741">
        <f>IF(N1741=1,COUNTIF($O$4:$O$2003,"&lt;"&amp;O1741)+1,"")</f>
        <v/>
      </c>
      <c r="Q1741">
        <f>IF(OR($R1740="",$R1740="T"),"",IF($R1740="B",$Q1740,IF($Q1740+1&gt;$K$3,"",$Q1740+1)))</f>
        <v/>
      </c>
      <c r="R1741">
        <f>IF(OR($R1740="",$R1740="T"),"",IF($R1740="B","S",IF($Q1740+1&gt;$K$3,"T",IF(INDEX($M$4:$M$2003,MATCH($Q1740+1,$P$4:$P$2003,0))&lt;&gt;INDEX($M$4:$M$2003,MATCH($Q1740,$P$4:$P$2003,0)),"B","S"))))</f>
        <v/>
      </c>
      <c r="S1741">
        <f>IF(Q1741="","",IFERROR(MATCH(Q1741,$P$4:$P$2003,0),""))</f>
        <v/>
      </c>
    </row>
    <row r="1742">
      <c r="A1742" s="4">
        <f>IF($R1742="","",IF($R1742="T","Gesamtergebnis",IF($R1742="B",INDEX($M$4:$M$2003,$S1742),INDEX($L$4:$L$2003,$S1742))))</f>
        <v/>
      </c>
      <c r="B1742" s="4">
        <f>IF($R1742="","",IF($R1742="T",$K$3,IF($R1742="B",COUNTIFS($M$4:$M$2003,INDEX($M$4:$M$2003,$S1742),$N$4:$N$2003,1),1)))</f>
        <v/>
      </c>
      <c r="L1742">
        <f>IF($K$1="","",IFERROR(INDEX(Lines!$A:$AA,ROW()-2,$K$1),""))</f>
        <v/>
      </c>
      <c r="M1742">
        <f>IF($K$2="","",IFERROR(INDEX(Lines!$A:$AA,ROW()-2,$K$2),""))</f>
        <v/>
      </c>
      <c r="N1742">
        <f>IF(AND(L1742&lt;&gt;"",LEFT(L1742,1)="N",M1742&lt;&gt;"PICKING",M1742&lt;&gt;""),1,0)</f>
        <v/>
      </c>
      <c r="O1742">
        <f>IF(N1742=1,M1742&amp;"|"&amp;L1742,REPT("z",40))</f>
        <v/>
      </c>
      <c r="P1742">
        <f>IF(N1742=1,COUNTIF($O$4:$O$2003,"&lt;"&amp;O1742)+1,"")</f>
        <v/>
      </c>
      <c r="Q1742">
        <f>IF(OR($R1741="",$R1741="T"),"",IF($R1741="B",$Q1741,IF($Q1741+1&gt;$K$3,"",$Q1741+1)))</f>
        <v/>
      </c>
      <c r="R1742">
        <f>IF(OR($R1741="",$R1741="T"),"",IF($R1741="B","S",IF($Q1741+1&gt;$K$3,"T",IF(INDEX($M$4:$M$2003,MATCH($Q1741+1,$P$4:$P$2003,0))&lt;&gt;INDEX($M$4:$M$2003,MATCH($Q1741,$P$4:$P$2003,0)),"B","S"))))</f>
        <v/>
      </c>
      <c r="S1742">
        <f>IF(Q1742="","",IFERROR(MATCH(Q1742,$P$4:$P$2003,0),""))</f>
        <v/>
      </c>
    </row>
    <row r="1743">
      <c r="A1743" s="4">
        <f>IF($R1743="","",IF($R1743="T","Gesamtergebnis",IF($R1743="B",INDEX($M$4:$M$2003,$S1743),INDEX($L$4:$L$2003,$S1743))))</f>
        <v/>
      </c>
      <c r="B1743" s="4">
        <f>IF($R1743="","",IF($R1743="T",$K$3,IF($R1743="B",COUNTIFS($M$4:$M$2003,INDEX($M$4:$M$2003,$S1743),$N$4:$N$2003,1),1)))</f>
        <v/>
      </c>
      <c r="L1743">
        <f>IF($K$1="","",IFERROR(INDEX(Lines!$A:$AA,ROW()-2,$K$1),""))</f>
        <v/>
      </c>
      <c r="M1743">
        <f>IF($K$2="","",IFERROR(INDEX(Lines!$A:$AA,ROW()-2,$K$2),""))</f>
        <v/>
      </c>
      <c r="N1743">
        <f>IF(AND(L1743&lt;&gt;"",LEFT(L1743,1)="N",M1743&lt;&gt;"PICKING",M1743&lt;&gt;""),1,0)</f>
        <v/>
      </c>
      <c r="O1743">
        <f>IF(N1743=1,M1743&amp;"|"&amp;L1743,REPT("z",40))</f>
        <v/>
      </c>
      <c r="P1743">
        <f>IF(N1743=1,COUNTIF($O$4:$O$2003,"&lt;"&amp;O1743)+1,"")</f>
        <v/>
      </c>
      <c r="Q1743">
        <f>IF(OR($R1742="",$R1742="T"),"",IF($R1742="B",$Q1742,IF($Q1742+1&gt;$K$3,"",$Q1742+1)))</f>
        <v/>
      </c>
      <c r="R1743">
        <f>IF(OR($R1742="",$R1742="T"),"",IF($R1742="B","S",IF($Q1742+1&gt;$K$3,"T",IF(INDEX($M$4:$M$2003,MATCH($Q1742+1,$P$4:$P$2003,0))&lt;&gt;INDEX($M$4:$M$2003,MATCH($Q1742,$P$4:$P$2003,0)),"B","S"))))</f>
        <v/>
      </c>
      <c r="S1743">
        <f>IF(Q1743="","",IFERROR(MATCH(Q1743,$P$4:$P$2003,0),""))</f>
        <v/>
      </c>
    </row>
    <row r="1744">
      <c r="A1744" s="4">
        <f>IF($R1744="","",IF($R1744="T","Gesamtergebnis",IF($R1744="B",INDEX($M$4:$M$2003,$S1744),INDEX($L$4:$L$2003,$S1744))))</f>
        <v/>
      </c>
      <c r="B1744" s="4">
        <f>IF($R1744="","",IF($R1744="T",$K$3,IF($R1744="B",COUNTIFS($M$4:$M$2003,INDEX($M$4:$M$2003,$S1744),$N$4:$N$2003,1),1)))</f>
        <v/>
      </c>
      <c r="L1744">
        <f>IF($K$1="","",IFERROR(INDEX(Lines!$A:$AA,ROW()-2,$K$1),""))</f>
        <v/>
      </c>
      <c r="M1744">
        <f>IF($K$2="","",IFERROR(INDEX(Lines!$A:$AA,ROW()-2,$K$2),""))</f>
        <v/>
      </c>
      <c r="N1744">
        <f>IF(AND(L1744&lt;&gt;"",LEFT(L1744,1)="N",M1744&lt;&gt;"PICKING",M1744&lt;&gt;""),1,0)</f>
        <v/>
      </c>
      <c r="O1744">
        <f>IF(N1744=1,M1744&amp;"|"&amp;L1744,REPT("z",40))</f>
        <v/>
      </c>
      <c r="P1744">
        <f>IF(N1744=1,COUNTIF($O$4:$O$2003,"&lt;"&amp;O1744)+1,"")</f>
        <v/>
      </c>
      <c r="Q1744">
        <f>IF(OR($R1743="",$R1743="T"),"",IF($R1743="B",$Q1743,IF($Q1743+1&gt;$K$3,"",$Q1743+1)))</f>
        <v/>
      </c>
      <c r="R1744">
        <f>IF(OR($R1743="",$R1743="T"),"",IF($R1743="B","S",IF($Q1743+1&gt;$K$3,"T",IF(INDEX($M$4:$M$2003,MATCH($Q1743+1,$P$4:$P$2003,0))&lt;&gt;INDEX($M$4:$M$2003,MATCH($Q1743,$P$4:$P$2003,0)),"B","S"))))</f>
        <v/>
      </c>
      <c r="S1744">
        <f>IF(Q1744="","",IFERROR(MATCH(Q1744,$P$4:$P$2003,0),""))</f>
        <v/>
      </c>
    </row>
    <row r="1745">
      <c r="A1745" s="4">
        <f>IF($R1745="","",IF($R1745="T","Gesamtergebnis",IF($R1745="B",INDEX($M$4:$M$2003,$S1745),INDEX($L$4:$L$2003,$S1745))))</f>
        <v/>
      </c>
      <c r="B1745" s="4">
        <f>IF($R1745="","",IF($R1745="T",$K$3,IF($R1745="B",COUNTIFS($M$4:$M$2003,INDEX($M$4:$M$2003,$S1745),$N$4:$N$2003,1),1)))</f>
        <v/>
      </c>
      <c r="L1745">
        <f>IF($K$1="","",IFERROR(INDEX(Lines!$A:$AA,ROW()-2,$K$1),""))</f>
        <v/>
      </c>
      <c r="M1745">
        <f>IF($K$2="","",IFERROR(INDEX(Lines!$A:$AA,ROW()-2,$K$2),""))</f>
        <v/>
      </c>
      <c r="N1745">
        <f>IF(AND(L1745&lt;&gt;"",LEFT(L1745,1)="N",M1745&lt;&gt;"PICKING",M1745&lt;&gt;""),1,0)</f>
        <v/>
      </c>
      <c r="O1745">
        <f>IF(N1745=1,M1745&amp;"|"&amp;L1745,REPT("z",40))</f>
        <v/>
      </c>
      <c r="P1745">
        <f>IF(N1745=1,COUNTIF($O$4:$O$2003,"&lt;"&amp;O1745)+1,"")</f>
        <v/>
      </c>
      <c r="Q1745">
        <f>IF(OR($R1744="",$R1744="T"),"",IF($R1744="B",$Q1744,IF($Q1744+1&gt;$K$3,"",$Q1744+1)))</f>
        <v/>
      </c>
      <c r="R1745">
        <f>IF(OR($R1744="",$R1744="T"),"",IF($R1744="B","S",IF($Q1744+1&gt;$K$3,"T",IF(INDEX($M$4:$M$2003,MATCH($Q1744+1,$P$4:$P$2003,0))&lt;&gt;INDEX($M$4:$M$2003,MATCH($Q1744,$P$4:$P$2003,0)),"B","S"))))</f>
        <v/>
      </c>
      <c r="S1745">
        <f>IF(Q1745="","",IFERROR(MATCH(Q1745,$P$4:$P$2003,0),""))</f>
        <v/>
      </c>
    </row>
    <row r="1746">
      <c r="A1746" s="4">
        <f>IF($R1746="","",IF($R1746="T","Gesamtergebnis",IF($R1746="B",INDEX($M$4:$M$2003,$S1746),INDEX($L$4:$L$2003,$S1746))))</f>
        <v/>
      </c>
      <c r="B1746" s="4">
        <f>IF($R1746="","",IF($R1746="T",$K$3,IF($R1746="B",COUNTIFS($M$4:$M$2003,INDEX($M$4:$M$2003,$S1746),$N$4:$N$2003,1),1)))</f>
        <v/>
      </c>
      <c r="L1746">
        <f>IF($K$1="","",IFERROR(INDEX(Lines!$A:$AA,ROW()-2,$K$1),""))</f>
        <v/>
      </c>
      <c r="M1746">
        <f>IF($K$2="","",IFERROR(INDEX(Lines!$A:$AA,ROW()-2,$K$2),""))</f>
        <v/>
      </c>
      <c r="N1746">
        <f>IF(AND(L1746&lt;&gt;"",LEFT(L1746,1)="N",M1746&lt;&gt;"PICKING",M1746&lt;&gt;""),1,0)</f>
        <v/>
      </c>
      <c r="O1746">
        <f>IF(N1746=1,M1746&amp;"|"&amp;L1746,REPT("z",40))</f>
        <v/>
      </c>
      <c r="P1746">
        <f>IF(N1746=1,COUNTIF($O$4:$O$2003,"&lt;"&amp;O1746)+1,"")</f>
        <v/>
      </c>
      <c r="Q1746">
        <f>IF(OR($R1745="",$R1745="T"),"",IF($R1745="B",$Q1745,IF($Q1745+1&gt;$K$3,"",$Q1745+1)))</f>
        <v/>
      </c>
      <c r="R1746">
        <f>IF(OR($R1745="",$R1745="T"),"",IF($R1745="B","S",IF($Q1745+1&gt;$K$3,"T",IF(INDEX($M$4:$M$2003,MATCH($Q1745+1,$P$4:$P$2003,0))&lt;&gt;INDEX($M$4:$M$2003,MATCH($Q1745,$P$4:$P$2003,0)),"B","S"))))</f>
        <v/>
      </c>
      <c r="S1746">
        <f>IF(Q1746="","",IFERROR(MATCH(Q1746,$P$4:$P$2003,0),""))</f>
        <v/>
      </c>
    </row>
    <row r="1747">
      <c r="A1747" s="4">
        <f>IF($R1747="","",IF($R1747="T","Gesamtergebnis",IF($R1747="B",INDEX($M$4:$M$2003,$S1747),INDEX($L$4:$L$2003,$S1747))))</f>
        <v/>
      </c>
      <c r="B1747" s="4">
        <f>IF($R1747="","",IF($R1747="T",$K$3,IF($R1747="B",COUNTIFS($M$4:$M$2003,INDEX($M$4:$M$2003,$S1747),$N$4:$N$2003,1),1)))</f>
        <v/>
      </c>
      <c r="L1747">
        <f>IF($K$1="","",IFERROR(INDEX(Lines!$A:$AA,ROW()-2,$K$1),""))</f>
        <v/>
      </c>
      <c r="M1747">
        <f>IF($K$2="","",IFERROR(INDEX(Lines!$A:$AA,ROW()-2,$K$2),""))</f>
        <v/>
      </c>
      <c r="N1747">
        <f>IF(AND(L1747&lt;&gt;"",LEFT(L1747,1)="N",M1747&lt;&gt;"PICKING",M1747&lt;&gt;""),1,0)</f>
        <v/>
      </c>
      <c r="O1747">
        <f>IF(N1747=1,M1747&amp;"|"&amp;L1747,REPT("z",40))</f>
        <v/>
      </c>
      <c r="P1747">
        <f>IF(N1747=1,COUNTIF($O$4:$O$2003,"&lt;"&amp;O1747)+1,"")</f>
        <v/>
      </c>
      <c r="Q1747">
        <f>IF(OR($R1746="",$R1746="T"),"",IF($R1746="B",$Q1746,IF($Q1746+1&gt;$K$3,"",$Q1746+1)))</f>
        <v/>
      </c>
      <c r="R1747">
        <f>IF(OR($R1746="",$R1746="T"),"",IF($R1746="B","S",IF($Q1746+1&gt;$K$3,"T",IF(INDEX($M$4:$M$2003,MATCH($Q1746+1,$P$4:$P$2003,0))&lt;&gt;INDEX($M$4:$M$2003,MATCH($Q1746,$P$4:$P$2003,0)),"B","S"))))</f>
        <v/>
      </c>
      <c r="S1747">
        <f>IF(Q1747="","",IFERROR(MATCH(Q1747,$P$4:$P$2003,0),""))</f>
        <v/>
      </c>
    </row>
    <row r="1748">
      <c r="A1748" s="4">
        <f>IF($R1748="","",IF($R1748="T","Gesamtergebnis",IF($R1748="B",INDEX($M$4:$M$2003,$S1748),INDEX($L$4:$L$2003,$S1748))))</f>
        <v/>
      </c>
      <c r="B1748" s="4">
        <f>IF($R1748="","",IF($R1748="T",$K$3,IF($R1748="B",COUNTIFS($M$4:$M$2003,INDEX($M$4:$M$2003,$S1748),$N$4:$N$2003,1),1)))</f>
        <v/>
      </c>
      <c r="L1748">
        <f>IF($K$1="","",IFERROR(INDEX(Lines!$A:$AA,ROW()-2,$K$1),""))</f>
        <v/>
      </c>
      <c r="M1748">
        <f>IF($K$2="","",IFERROR(INDEX(Lines!$A:$AA,ROW()-2,$K$2),""))</f>
        <v/>
      </c>
      <c r="N1748">
        <f>IF(AND(L1748&lt;&gt;"",LEFT(L1748,1)="N",M1748&lt;&gt;"PICKING",M1748&lt;&gt;""),1,0)</f>
        <v/>
      </c>
      <c r="O1748">
        <f>IF(N1748=1,M1748&amp;"|"&amp;L1748,REPT("z",40))</f>
        <v/>
      </c>
      <c r="P1748">
        <f>IF(N1748=1,COUNTIF($O$4:$O$2003,"&lt;"&amp;O1748)+1,"")</f>
        <v/>
      </c>
      <c r="Q1748">
        <f>IF(OR($R1747="",$R1747="T"),"",IF($R1747="B",$Q1747,IF($Q1747+1&gt;$K$3,"",$Q1747+1)))</f>
        <v/>
      </c>
      <c r="R1748">
        <f>IF(OR($R1747="",$R1747="T"),"",IF($R1747="B","S",IF($Q1747+1&gt;$K$3,"T",IF(INDEX($M$4:$M$2003,MATCH($Q1747+1,$P$4:$P$2003,0))&lt;&gt;INDEX($M$4:$M$2003,MATCH($Q1747,$P$4:$P$2003,0)),"B","S"))))</f>
        <v/>
      </c>
      <c r="S1748">
        <f>IF(Q1748="","",IFERROR(MATCH(Q1748,$P$4:$P$2003,0),""))</f>
        <v/>
      </c>
    </row>
    <row r="1749">
      <c r="A1749" s="4">
        <f>IF($R1749="","",IF($R1749="T","Gesamtergebnis",IF($R1749="B",INDEX($M$4:$M$2003,$S1749),INDEX($L$4:$L$2003,$S1749))))</f>
        <v/>
      </c>
      <c r="B1749" s="4">
        <f>IF($R1749="","",IF($R1749="T",$K$3,IF($R1749="B",COUNTIFS($M$4:$M$2003,INDEX($M$4:$M$2003,$S1749),$N$4:$N$2003,1),1)))</f>
        <v/>
      </c>
      <c r="L1749">
        <f>IF($K$1="","",IFERROR(INDEX(Lines!$A:$AA,ROW()-2,$K$1),""))</f>
        <v/>
      </c>
      <c r="M1749">
        <f>IF($K$2="","",IFERROR(INDEX(Lines!$A:$AA,ROW()-2,$K$2),""))</f>
        <v/>
      </c>
      <c r="N1749">
        <f>IF(AND(L1749&lt;&gt;"",LEFT(L1749,1)="N",M1749&lt;&gt;"PICKING",M1749&lt;&gt;""),1,0)</f>
        <v/>
      </c>
      <c r="O1749">
        <f>IF(N1749=1,M1749&amp;"|"&amp;L1749,REPT("z",40))</f>
        <v/>
      </c>
      <c r="P1749">
        <f>IF(N1749=1,COUNTIF($O$4:$O$2003,"&lt;"&amp;O1749)+1,"")</f>
        <v/>
      </c>
      <c r="Q1749">
        <f>IF(OR($R1748="",$R1748="T"),"",IF($R1748="B",$Q1748,IF($Q1748+1&gt;$K$3,"",$Q1748+1)))</f>
        <v/>
      </c>
      <c r="R1749">
        <f>IF(OR($R1748="",$R1748="T"),"",IF($R1748="B","S",IF($Q1748+1&gt;$K$3,"T",IF(INDEX($M$4:$M$2003,MATCH($Q1748+1,$P$4:$P$2003,0))&lt;&gt;INDEX($M$4:$M$2003,MATCH($Q1748,$P$4:$P$2003,0)),"B","S"))))</f>
        <v/>
      </c>
      <c r="S1749">
        <f>IF(Q1749="","",IFERROR(MATCH(Q1749,$P$4:$P$2003,0),""))</f>
        <v/>
      </c>
    </row>
    <row r="1750">
      <c r="A1750" s="4">
        <f>IF($R1750="","",IF($R1750="T","Gesamtergebnis",IF($R1750="B",INDEX($M$4:$M$2003,$S1750),INDEX($L$4:$L$2003,$S1750))))</f>
        <v/>
      </c>
      <c r="B1750" s="4">
        <f>IF($R1750="","",IF($R1750="T",$K$3,IF($R1750="B",COUNTIFS($M$4:$M$2003,INDEX($M$4:$M$2003,$S1750),$N$4:$N$2003,1),1)))</f>
        <v/>
      </c>
      <c r="L1750">
        <f>IF($K$1="","",IFERROR(INDEX(Lines!$A:$AA,ROW()-2,$K$1),""))</f>
        <v/>
      </c>
      <c r="M1750">
        <f>IF($K$2="","",IFERROR(INDEX(Lines!$A:$AA,ROW()-2,$K$2),""))</f>
        <v/>
      </c>
      <c r="N1750">
        <f>IF(AND(L1750&lt;&gt;"",LEFT(L1750,1)="N",M1750&lt;&gt;"PICKING",M1750&lt;&gt;""),1,0)</f>
        <v/>
      </c>
      <c r="O1750">
        <f>IF(N1750=1,M1750&amp;"|"&amp;L1750,REPT("z",40))</f>
        <v/>
      </c>
      <c r="P1750">
        <f>IF(N1750=1,COUNTIF($O$4:$O$2003,"&lt;"&amp;O1750)+1,"")</f>
        <v/>
      </c>
      <c r="Q1750">
        <f>IF(OR($R1749="",$R1749="T"),"",IF($R1749="B",$Q1749,IF($Q1749+1&gt;$K$3,"",$Q1749+1)))</f>
        <v/>
      </c>
      <c r="R1750">
        <f>IF(OR($R1749="",$R1749="T"),"",IF($R1749="B","S",IF($Q1749+1&gt;$K$3,"T",IF(INDEX($M$4:$M$2003,MATCH($Q1749+1,$P$4:$P$2003,0))&lt;&gt;INDEX($M$4:$M$2003,MATCH($Q1749,$P$4:$P$2003,0)),"B","S"))))</f>
        <v/>
      </c>
      <c r="S1750">
        <f>IF(Q1750="","",IFERROR(MATCH(Q1750,$P$4:$P$2003,0),""))</f>
        <v/>
      </c>
    </row>
    <row r="1751">
      <c r="A1751" s="4">
        <f>IF($R1751="","",IF($R1751="T","Gesamtergebnis",IF($R1751="B",INDEX($M$4:$M$2003,$S1751),INDEX($L$4:$L$2003,$S1751))))</f>
        <v/>
      </c>
      <c r="B1751" s="4">
        <f>IF($R1751="","",IF($R1751="T",$K$3,IF($R1751="B",COUNTIFS($M$4:$M$2003,INDEX($M$4:$M$2003,$S1751),$N$4:$N$2003,1),1)))</f>
        <v/>
      </c>
      <c r="L1751">
        <f>IF($K$1="","",IFERROR(INDEX(Lines!$A:$AA,ROW()-2,$K$1),""))</f>
        <v/>
      </c>
      <c r="M1751">
        <f>IF($K$2="","",IFERROR(INDEX(Lines!$A:$AA,ROW()-2,$K$2),""))</f>
        <v/>
      </c>
      <c r="N1751">
        <f>IF(AND(L1751&lt;&gt;"",LEFT(L1751,1)="N",M1751&lt;&gt;"PICKING",M1751&lt;&gt;""),1,0)</f>
        <v/>
      </c>
      <c r="O1751">
        <f>IF(N1751=1,M1751&amp;"|"&amp;L1751,REPT("z",40))</f>
        <v/>
      </c>
      <c r="P1751">
        <f>IF(N1751=1,COUNTIF($O$4:$O$2003,"&lt;"&amp;O1751)+1,"")</f>
        <v/>
      </c>
      <c r="Q1751">
        <f>IF(OR($R1750="",$R1750="T"),"",IF($R1750="B",$Q1750,IF($Q1750+1&gt;$K$3,"",$Q1750+1)))</f>
        <v/>
      </c>
      <c r="R1751">
        <f>IF(OR($R1750="",$R1750="T"),"",IF($R1750="B","S",IF($Q1750+1&gt;$K$3,"T",IF(INDEX($M$4:$M$2003,MATCH($Q1750+1,$P$4:$P$2003,0))&lt;&gt;INDEX($M$4:$M$2003,MATCH($Q1750,$P$4:$P$2003,0)),"B","S"))))</f>
        <v/>
      </c>
      <c r="S1751">
        <f>IF(Q1751="","",IFERROR(MATCH(Q1751,$P$4:$P$2003,0),""))</f>
        <v/>
      </c>
    </row>
    <row r="1752">
      <c r="A1752" s="4">
        <f>IF($R1752="","",IF($R1752="T","Gesamtergebnis",IF($R1752="B",INDEX($M$4:$M$2003,$S1752),INDEX($L$4:$L$2003,$S1752))))</f>
        <v/>
      </c>
      <c r="B1752" s="4">
        <f>IF($R1752="","",IF($R1752="T",$K$3,IF($R1752="B",COUNTIFS($M$4:$M$2003,INDEX($M$4:$M$2003,$S1752),$N$4:$N$2003,1),1)))</f>
        <v/>
      </c>
      <c r="L1752">
        <f>IF($K$1="","",IFERROR(INDEX(Lines!$A:$AA,ROW()-2,$K$1),""))</f>
        <v/>
      </c>
      <c r="M1752">
        <f>IF($K$2="","",IFERROR(INDEX(Lines!$A:$AA,ROW()-2,$K$2),""))</f>
        <v/>
      </c>
      <c r="N1752">
        <f>IF(AND(L1752&lt;&gt;"",LEFT(L1752,1)="N",M1752&lt;&gt;"PICKING",M1752&lt;&gt;""),1,0)</f>
        <v/>
      </c>
      <c r="O1752">
        <f>IF(N1752=1,M1752&amp;"|"&amp;L1752,REPT("z",40))</f>
        <v/>
      </c>
      <c r="P1752">
        <f>IF(N1752=1,COUNTIF($O$4:$O$2003,"&lt;"&amp;O1752)+1,"")</f>
        <v/>
      </c>
      <c r="Q1752">
        <f>IF(OR($R1751="",$R1751="T"),"",IF($R1751="B",$Q1751,IF($Q1751+1&gt;$K$3,"",$Q1751+1)))</f>
        <v/>
      </c>
      <c r="R1752">
        <f>IF(OR($R1751="",$R1751="T"),"",IF($R1751="B","S",IF($Q1751+1&gt;$K$3,"T",IF(INDEX($M$4:$M$2003,MATCH($Q1751+1,$P$4:$P$2003,0))&lt;&gt;INDEX($M$4:$M$2003,MATCH($Q1751,$P$4:$P$2003,0)),"B","S"))))</f>
        <v/>
      </c>
      <c r="S1752">
        <f>IF(Q1752="","",IFERROR(MATCH(Q1752,$P$4:$P$2003,0),""))</f>
        <v/>
      </c>
    </row>
    <row r="1753">
      <c r="A1753" s="4">
        <f>IF($R1753="","",IF($R1753="T","Gesamtergebnis",IF($R1753="B",INDEX($M$4:$M$2003,$S1753),INDEX($L$4:$L$2003,$S1753))))</f>
        <v/>
      </c>
      <c r="B1753" s="4">
        <f>IF($R1753="","",IF($R1753="T",$K$3,IF($R1753="B",COUNTIFS($M$4:$M$2003,INDEX($M$4:$M$2003,$S1753),$N$4:$N$2003,1),1)))</f>
        <v/>
      </c>
      <c r="L1753">
        <f>IF($K$1="","",IFERROR(INDEX(Lines!$A:$AA,ROW()-2,$K$1),""))</f>
        <v/>
      </c>
      <c r="M1753">
        <f>IF($K$2="","",IFERROR(INDEX(Lines!$A:$AA,ROW()-2,$K$2),""))</f>
        <v/>
      </c>
      <c r="N1753">
        <f>IF(AND(L1753&lt;&gt;"",LEFT(L1753,1)="N",M1753&lt;&gt;"PICKING",M1753&lt;&gt;""),1,0)</f>
        <v/>
      </c>
      <c r="O1753">
        <f>IF(N1753=1,M1753&amp;"|"&amp;L1753,REPT("z",40))</f>
        <v/>
      </c>
      <c r="P1753">
        <f>IF(N1753=1,COUNTIF($O$4:$O$2003,"&lt;"&amp;O1753)+1,"")</f>
        <v/>
      </c>
      <c r="Q1753">
        <f>IF(OR($R1752="",$R1752="T"),"",IF($R1752="B",$Q1752,IF($Q1752+1&gt;$K$3,"",$Q1752+1)))</f>
        <v/>
      </c>
      <c r="R1753">
        <f>IF(OR($R1752="",$R1752="T"),"",IF($R1752="B","S",IF($Q1752+1&gt;$K$3,"T",IF(INDEX($M$4:$M$2003,MATCH($Q1752+1,$P$4:$P$2003,0))&lt;&gt;INDEX($M$4:$M$2003,MATCH($Q1752,$P$4:$P$2003,0)),"B","S"))))</f>
        <v/>
      </c>
      <c r="S1753">
        <f>IF(Q1753="","",IFERROR(MATCH(Q1753,$P$4:$P$2003,0),""))</f>
        <v/>
      </c>
    </row>
    <row r="1754">
      <c r="A1754" s="4">
        <f>IF($R1754="","",IF($R1754="T","Gesamtergebnis",IF($R1754="B",INDEX($M$4:$M$2003,$S1754),INDEX($L$4:$L$2003,$S1754))))</f>
        <v/>
      </c>
      <c r="B1754" s="4">
        <f>IF($R1754="","",IF($R1754="T",$K$3,IF($R1754="B",COUNTIFS($M$4:$M$2003,INDEX($M$4:$M$2003,$S1754),$N$4:$N$2003,1),1)))</f>
        <v/>
      </c>
      <c r="L1754">
        <f>IF($K$1="","",IFERROR(INDEX(Lines!$A:$AA,ROW()-2,$K$1),""))</f>
        <v/>
      </c>
      <c r="M1754">
        <f>IF($K$2="","",IFERROR(INDEX(Lines!$A:$AA,ROW()-2,$K$2),""))</f>
        <v/>
      </c>
      <c r="N1754">
        <f>IF(AND(L1754&lt;&gt;"",LEFT(L1754,1)="N",M1754&lt;&gt;"PICKING",M1754&lt;&gt;""),1,0)</f>
        <v/>
      </c>
      <c r="O1754">
        <f>IF(N1754=1,M1754&amp;"|"&amp;L1754,REPT("z",40))</f>
        <v/>
      </c>
      <c r="P1754">
        <f>IF(N1754=1,COUNTIF($O$4:$O$2003,"&lt;"&amp;O1754)+1,"")</f>
        <v/>
      </c>
      <c r="Q1754">
        <f>IF(OR($R1753="",$R1753="T"),"",IF($R1753="B",$Q1753,IF($Q1753+1&gt;$K$3,"",$Q1753+1)))</f>
        <v/>
      </c>
      <c r="R1754">
        <f>IF(OR($R1753="",$R1753="T"),"",IF($R1753="B","S",IF($Q1753+1&gt;$K$3,"T",IF(INDEX($M$4:$M$2003,MATCH($Q1753+1,$P$4:$P$2003,0))&lt;&gt;INDEX($M$4:$M$2003,MATCH($Q1753,$P$4:$P$2003,0)),"B","S"))))</f>
        <v/>
      </c>
      <c r="S1754">
        <f>IF(Q1754="","",IFERROR(MATCH(Q1754,$P$4:$P$2003,0),""))</f>
        <v/>
      </c>
    </row>
    <row r="1755">
      <c r="A1755" s="4">
        <f>IF($R1755="","",IF($R1755="T","Gesamtergebnis",IF($R1755="B",INDEX($M$4:$M$2003,$S1755),INDEX($L$4:$L$2003,$S1755))))</f>
        <v/>
      </c>
      <c r="B1755" s="4">
        <f>IF($R1755="","",IF($R1755="T",$K$3,IF($R1755="B",COUNTIFS($M$4:$M$2003,INDEX($M$4:$M$2003,$S1755),$N$4:$N$2003,1),1)))</f>
        <v/>
      </c>
      <c r="L1755">
        <f>IF($K$1="","",IFERROR(INDEX(Lines!$A:$AA,ROW()-2,$K$1),""))</f>
        <v/>
      </c>
      <c r="M1755">
        <f>IF($K$2="","",IFERROR(INDEX(Lines!$A:$AA,ROW()-2,$K$2),""))</f>
        <v/>
      </c>
      <c r="N1755">
        <f>IF(AND(L1755&lt;&gt;"",LEFT(L1755,1)="N",M1755&lt;&gt;"PICKING",M1755&lt;&gt;""),1,0)</f>
        <v/>
      </c>
      <c r="O1755">
        <f>IF(N1755=1,M1755&amp;"|"&amp;L1755,REPT("z",40))</f>
        <v/>
      </c>
      <c r="P1755">
        <f>IF(N1755=1,COUNTIF($O$4:$O$2003,"&lt;"&amp;O1755)+1,"")</f>
        <v/>
      </c>
      <c r="Q1755">
        <f>IF(OR($R1754="",$R1754="T"),"",IF($R1754="B",$Q1754,IF($Q1754+1&gt;$K$3,"",$Q1754+1)))</f>
        <v/>
      </c>
      <c r="R1755">
        <f>IF(OR($R1754="",$R1754="T"),"",IF($R1754="B","S",IF($Q1754+1&gt;$K$3,"T",IF(INDEX($M$4:$M$2003,MATCH($Q1754+1,$P$4:$P$2003,0))&lt;&gt;INDEX($M$4:$M$2003,MATCH($Q1754,$P$4:$P$2003,0)),"B","S"))))</f>
        <v/>
      </c>
      <c r="S1755">
        <f>IF(Q1755="","",IFERROR(MATCH(Q1755,$P$4:$P$2003,0),""))</f>
        <v/>
      </c>
    </row>
    <row r="1756">
      <c r="A1756" s="4">
        <f>IF($R1756="","",IF($R1756="T","Gesamtergebnis",IF($R1756="B",INDEX($M$4:$M$2003,$S1756),INDEX($L$4:$L$2003,$S1756))))</f>
        <v/>
      </c>
      <c r="B1756" s="4">
        <f>IF($R1756="","",IF($R1756="T",$K$3,IF($R1756="B",COUNTIFS($M$4:$M$2003,INDEX($M$4:$M$2003,$S1756),$N$4:$N$2003,1),1)))</f>
        <v/>
      </c>
      <c r="L1756">
        <f>IF($K$1="","",IFERROR(INDEX(Lines!$A:$AA,ROW()-2,$K$1),""))</f>
        <v/>
      </c>
      <c r="M1756">
        <f>IF($K$2="","",IFERROR(INDEX(Lines!$A:$AA,ROW()-2,$K$2),""))</f>
        <v/>
      </c>
      <c r="N1756">
        <f>IF(AND(L1756&lt;&gt;"",LEFT(L1756,1)="N",M1756&lt;&gt;"PICKING",M1756&lt;&gt;""),1,0)</f>
        <v/>
      </c>
      <c r="O1756">
        <f>IF(N1756=1,M1756&amp;"|"&amp;L1756,REPT("z",40))</f>
        <v/>
      </c>
      <c r="P1756">
        <f>IF(N1756=1,COUNTIF($O$4:$O$2003,"&lt;"&amp;O1756)+1,"")</f>
        <v/>
      </c>
      <c r="Q1756">
        <f>IF(OR($R1755="",$R1755="T"),"",IF($R1755="B",$Q1755,IF($Q1755+1&gt;$K$3,"",$Q1755+1)))</f>
        <v/>
      </c>
      <c r="R1756">
        <f>IF(OR($R1755="",$R1755="T"),"",IF($R1755="B","S",IF($Q1755+1&gt;$K$3,"T",IF(INDEX($M$4:$M$2003,MATCH($Q1755+1,$P$4:$P$2003,0))&lt;&gt;INDEX($M$4:$M$2003,MATCH($Q1755,$P$4:$P$2003,0)),"B","S"))))</f>
        <v/>
      </c>
      <c r="S1756">
        <f>IF(Q1756="","",IFERROR(MATCH(Q1756,$P$4:$P$2003,0),""))</f>
        <v/>
      </c>
    </row>
    <row r="1757">
      <c r="A1757" s="4">
        <f>IF($R1757="","",IF($R1757="T","Gesamtergebnis",IF($R1757="B",INDEX($M$4:$M$2003,$S1757),INDEX($L$4:$L$2003,$S1757))))</f>
        <v/>
      </c>
      <c r="B1757" s="4">
        <f>IF($R1757="","",IF($R1757="T",$K$3,IF($R1757="B",COUNTIFS($M$4:$M$2003,INDEX($M$4:$M$2003,$S1757),$N$4:$N$2003,1),1)))</f>
        <v/>
      </c>
      <c r="L1757">
        <f>IF($K$1="","",IFERROR(INDEX(Lines!$A:$AA,ROW()-2,$K$1),""))</f>
        <v/>
      </c>
      <c r="M1757">
        <f>IF($K$2="","",IFERROR(INDEX(Lines!$A:$AA,ROW()-2,$K$2),""))</f>
        <v/>
      </c>
      <c r="N1757">
        <f>IF(AND(L1757&lt;&gt;"",LEFT(L1757,1)="N",M1757&lt;&gt;"PICKING",M1757&lt;&gt;""),1,0)</f>
        <v/>
      </c>
      <c r="O1757">
        <f>IF(N1757=1,M1757&amp;"|"&amp;L1757,REPT("z",40))</f>
        <v/>
      </c>
      <c r="P1757">
        <f>IF(N1757=1,COUNTIF($O$4:$O$2003,"&lt;"&amp;O1757)+1,"")</f>
        <v/>
      </c>
      <c r="Q1757">
        <f>IF(OR($R1756="",$R1756="T"),"",IF($R1756="B",$Q1756,IF($Q1756+1&gt;$K$3,"",$Q1756+1)))</f>
        <v/>
      </c>
      <c r="R1757">
        <f>IF(OR($R1756="",$R1756="T"),"",IF($R1756="B","S",IF($Q1756+1&gt;$K$3,"T",IF(INDEX($M$4:$M$2003,MATCH($Q1756+1,$P$4:$P$2003,0))&lt;&gt;INDEX($M$4:$M$2003,MATCH($Q1756,$P$4:$P$2003,0)),"B","S"))))</f>
        <v/>
      </c>
      <c r="S1757">
        <f>IF(Q1757="","",IFERROR(MATCH(Q1757,$P$4:$P$2003,0),""))</f>
        <v/>
      </c>
    </row>
    <row r="1758">
      <c r="A1758" s="4">
        <f>IF($R1758="","",IF($R1758="T","Gesamtergebnis",IF($R1758="B",INDEX($M$4:$M$2003,$S1758),INDEX($L$4:$L$2003,$S1758))))</f>
        <v/>
      </c>
      <c r="B1758" s="4">
        <f>IF($R1758="","",IF($R1758="T",$K$3,IF($R1758="B",COUNTIFS($M$4:$M$2003,INDEX($M$4:$M$2003,$S1758),$N$4:$N$2003,1),1)))</f>
        <v/>
      </c>
      <c r="L1758">
        <f>IF($K$1="","",IFERROR(INDEX(Lines!$A:$AA,ROW()-2,$K$1),""))</f>
        <v/>
      </c>
      <c r="M1758">
        <f>IF($K$2="","",IFERROR(INDEX(Lines!$A:$AA,ROW()-2,$K$2),""))</f>
        <v/>
      </c>
      <c r="N1758">
        <f>IF(AND(L1758&lt;&gt;"",LEFT(L1758,1)="N",M1758&lt;&gt;"PICKING",M1758&lt;&gt;""),1,0)</f>
        <v/>
      </c>
      <c r="O1758">
        <f>IF(N1758=1,M1758&amp;"|"&amp;L1758,REPT("z",40))</f>
        <v/>
      </c>
      <c r="P1758">
        <f>IF(N1758=1,COUNTIF($O$4:$O$2003,"&lt;"&amp;O1758)+1,"")</f>
        <v/>
      </c>
      <c r="Q1758">
        <f>IF(OR($R1757="",$R1757="T"),"",IF($R1757="B",$Q1757,IF($Q1757+1&gt;$K$3,"",$Q1757+1)))</f>
        <v/>
      </c>
      <c r="R1758">
        <f>IF(OR($R1757="",$R1757="T"),"",IF($R1757="B","S",IF($Q1757+1&gt;$K$3,"T",IF(INDEX($M$4:$M$2003,MATCH($Q1757+1,$P$4:$P$2003,0))&lt;&gt;INDEX($M$4:$M$2003,MATCH($Q1757,$P$4:$P$2003,0)),"B","S"))))</f>
        <v/>
      </c>
      <c r="S1758">
        <f>IF(Q1758="","",IFERROR(MATCH(Q1758,$P$4:$P$2003,0),""))</f>
        <v/>
      </c>
    </row>
    <row r="1759">
      <c r="A1759" s="4">
        <f>IF($R1759="","",IF($R1759="T","Gesamtergebnis",IF($R1759="B",INDEX($M$4:$M$2003,$S1759),INDEX($L$4:$L$2003,$S1759))))</f>
        <v/>
      </c>
      <c r="B1759" s="4">
        <f>IF($R1759="","",IF($R1759="T",$K$3,IF($R1759="B",COUNTIFS($M$4:$M$2003,INDEX($M$4:$M$2003,$S1759),$N$4:$N$2003,1),1)))</f>
        <v/>
      </c>
      <c r="L1759">
        <f>IF($K$1="","",IFERROR(INDEX(Lines!$A:$AA,ROW()-2,$K$1),""))</f>
        <v/>
      </c>
      <c r="M1759">
        <f>IF($K$2="","",IFERROR(INDEX(Lines!$A:$AA,ROW()-2,$K$2),""))</f>
        <v/>
      </c>
      <c r="N1759">
        <f>IF(AND(L1759&lt;&gt;"",LEFT(L1759,1)="N",M1759&lt;&gt;"PICKING",M1759&lt;&gt;""),1,0)</f>
        <v/>
      </c>
      <c r="O1759">
        <f>IF(N1759=1,M1759&amp;"|"&amp;L1759,REPT("z",40))</f>
        <v/>
      </c>
      <c r="P1759">
        <f>IF(N1759=1,COUNTIF($O$4:$O$2003,"&lt;"&amp;O1759)+1,"")</f>
        <v/>
      </c>
      <c r="Q1759">
        <f>IF(OR($R1758="",$R1758="T"),"",IF($R1758="B",$Q1758,IF($Q1758+1&gt;$K$3,"",$Q1758+1)))</f>
        <v/>
      </c>
      <c r="R1759">
        <f>IF(OR($R1758="",$R1758="T"),"",IF($R1758="B","S",IF($Q1758+1&gt;$K$3,"T",IF(INDEX($M$4:$M$2003,MATCH($Q1758+1,$P$4:$P$2003,0))&lt;&gt;INDEX($M$4:$M$2003,MATCH($Q1758,$P$4:$P$2003,0)),"B","S"))))</f>
        <v/>
      </c>
      <c r="S1759">
        <f>IF(Q1759="","",IFERROR(MATCH(Q1759,$P$4:$P$2003,0),""))</f>
        <v/>
      </c>
    </row>
    <row r="1760">
      <c r="A1760" s="4">
        <f>IF($R1760="","",IF($R1760="T","Gesamtergebnis",IF($R1760="B",INDEX($M$4:$M$2003,$S1760),INDEX($L$4:$L$2003,$S1760))))</f>
        <v/>
      </c>
      <c r="B1760" s="4">
        <f>IF($R1760="","",IF($R1760="T",$K$3,IF($R1760="B",COUNTIFS($M$4:$M$2003,INDEX($M$4:$M$2003,$S1760),$N$4:$N$2003,1),1)))</f>
        <v/>
      </c>
      <c r="L1760">
        <f>IF($K$1="","",IFERROR(INDEX(Lines!$A:$AA,ROW()-2,$K$1),""))</f>
        <v/>
      </c>
      <c r="M1760">
        <f>IF($K$2="","",IFERROR(INDEX(Lines!$A:$AA,ROW()-2,$K$2),""))</f>
        <v/>
      </c>
      <c r="N1760">
        <f>IF(AND(L1760&lt;&gt;"",LEFT(L1760,1)="N",M1760&lt;&gt;"PICKING",M1760&lt;&gt;""),1,0)</f>
        <v/>
      </c>
      <c r="O1760">
        <f>IF(N1760=1,M1760&amp;"|"&amp;L1760,REPT("z",40))</f>
        <v/>
      </c>
      <c r="P1760">
        <f>IF(N1760=1,COUNTIF($O$4:$O$2003,"&lt;"&amp;O1760)+1,"")</f>
        <v/>
      </c>
      <c r="Q1760">
        <f>IF(OR($R1759="",$R1759="T"),"",IF($R1759="B",$Q1759,IF($Q1759+1&gt;$K$3,"",$Q1759+1)))</f>
        <v/>
      </c>
      <c r="R1760">
        <f>IF(OR($R1759="",$R1759="T"),"",IF($R1759="B","S",IF($Q1759+1&gt;$K$3,"T",IF(INDEX($M$4:$M$2003,MATCH($Q1759+1,$P$4:$P$2003,0))&lt;&gt;INDEX($M$4:$M$2003,MATCH($Q1759,$P$4:$P$2003,0)),"B","S"))))</f>
        <v/>
      </c>
      <c r="S1760">
        <f>IF(Q1760="","",IFERROR(MATCH(Q1760,$P$4:$P$2003,0),""))</f>
        <v/>
      </c>
    </row>
    <row r="1761">
      <c r="A1761" s="4">
        <f>IF($R1761="","",IF($R1761="T","Gesamtergebnis",IF($R1761="B",INDEX($M$4:$M$2003,$S1761),INDEX($L$4:$L$2003,$S1761))))</f>
        <v/>
      </c>
      <c r="B1761" s="4">
        <f>IF($R1761="","",IF($R1761="T",$K$3,IF($R1761="B",COUNTIFS($M$4:$M$2003,INDEX($M$4:$M$2003,$S1761),$N$4:$N$2003,1),1)))</f>
        <v/>
      </c>
      <c r="L1761">
        <f>IF($K$1="","",IFERROR(INDEX(Lines!$A:$AA,ROW()-2,$K$1),""))</f>
        <v/>
      </c>
      <c r="M1761">
        <f>IF($K$2="","",IFERROR(INDEX(Lines!$A:$AA,ROW()-2,$K$2),""))</f>
        <v/>
      </c>
      <c r="N1761">
        <f>IF(AND(L1761&lt;&gt;"",LEFT(L1761,1)="N",M1761&lt;&gt;"PICKING",M1761&lt;&gt;""),1,0)</f>
        <v/>
      </c>
      <c r="O1761">
        <f>IF(N1761=1,M1761&amp;"|"&amp;L1761,REPT("z",40))</f>
        <v/>
      </c>
      <c r="P1761">
        <f>IF(N1761=1,COUNTIF($O$4:$O$2003,"&lt;"&amp;O1761)+1,"")</f>
        <v/>
      </c>
      <c r="Q1761">
        <f>IF(OR($R1760="",$R1760="T"),"",IF($R1760="B",$Q1760,IF($Q1760+1&gt;$K$3,"",$Q1760+1)))</f>
        <v/>
      </c>
      <c r="R1761">
        <f>IF(OR($R1760="",$R1760="T"),"",IF($R1760="B","S",IF($Q1760+1&gt;$K$3,"T",IF(INDEX($M$4:$M$2003,MATCH($Q1760+1,$P$4:$P$2003,0))&lt;&gt;INDEX($M$4:$M$2003,MATCH($Q1760,$P$4:$P$2003,0)),"B","S"))))</f>
        <v/>
      </c>
      <c r="S1761">
        <f>IF(Q1761="","",IFERROR(MATCH(Q1761,$P$4:$P$2003,0),""))</f>
        <v/>
      </c>
    </row>
    <row r="1762">
      <c r="A1762" s="4">
        <f>IF($R1762="","",IF($R1762="T","Gesamtergebnis",IF($R1762="B",INDEX($M$4:$M$2003,$S1762),INDEX($L$4:$L$2003,$S1762))))</f>
        <v/>
      </c>
      <c r="B1762" s="4">
        <f>IF($R1762="","",IF($R1762="T",$K$3,IF($R1762="B",COUNTIFS($M$4:$M$2003,INDEX($M$4:$M$2003,$S1762),$N$4:$N$2003,1),1)))</f>
        <v/>
      </c>
      <c r="L1762">
        <f>IF($K$1="","",IFERROR(INDEX(Lines!$A:$AA,ROW()-2,$K$1),""))</f>
        <v/>
      </c>
      <c r="M1762">
        <f>IF($K$2="","",IFERROR(INDEX(Lines!$A:$AA,ROW()-2,$K$2),""))</f>
        <v/>
      </c>
      <c r="N1762">
        <f>IF(AND(L1762&lt;&gt;"",LEFT(L1762,1)="N",M1762&lt;&gt;"PICKING",M1762&lt;&gt;""),1,0)</f>
        <v/>
      </c>
      <c r="O1762">
        <f>IF(N1762=1,M1762&amp;"|"&amp;L1762,REPT("z",40))</f>
        <v/>
      </c>
      <c r="P1762">
        <f>IF(N1762=1,COUNTIF($O$4:$O$2003,"&lt;"&amp;O1762)+1,"")</f>
        <v/>
      </c>
      <c r="Q1762">
        <f>IF(OR($R1761="",$R1761="T"),"",IF($R1761="B",$Q1761,IF($Q1761+1&gt;$K$3,"",$Q1761+1)))</f>
        <v/>
      </c>
      <c r="R1762">
        <f>IF(OR($R1761="",$R1761="T"),"",IF($R1761="B","S",IF($Q1761+1&gt;$K$3,"T",IF(INDEX($M$4:$M$2003,MATCH($Q1761+1,$P$4:$P$2003,0))&lt;&gt;INDEX($M$4:$M$2003,MATCH($Q1761,$P$4:$P$2003,0)),"B","S"))))</f>
        <v/>
      </c>
      <c r="S1762">
        <f>IF(Q1762="","",IFERROR(MATCH(Q1762,$P$4:$P$2003,0),""))</f>
        <v/>
      </c>
    </row>
    <row r="1763">
      <c r="A1763" s="4">
        <f>IF($R1763="","",IF($R1763="T","Gesamtergebnis",IF($R1763="B",INDEX($M$4:$M$2003,$S1763),INDEX($L$4:$L$2003,$S1763))))</f>
        <v/>
      </c>
      <c r="B1763" s="4">
        <f>IF($R1763="","",IF($R1763="T",$K$3,IF($R1763="B",COUNTIFS($M$4:$M$2003,INDEX($M$4:$M$2003,$S1763),$N$4:$N$2003,1),1)))</f>
        <v/>
      </c>
      <c r="L1763">
        <f>IF($K$1="","",IFERROR(INDEX(Lines!$A:$AA,ROW()-2,$K$1),""))</f>
        <v/>
      </c>
      <c r="M1763">
        <f>IF($K$2="","",IFERROR(INDEX(Lines!$A:$AA,ROW()-2,$K$2),""))</f>
        <v/>
      </c>
      <c r="N1763">
        <f>IF(AND(L1763&lt;&gt;"",LEFT(L1763,1)="N",M1763&lt;&gt;"PICKING",M1763&lt;&gt;""),1,0)</f>
        <v/>
      </c>
      <c r="O1763">
        <f>IF(N1763=1,M1763&amp;"|"&amp;L1763,REPT("z",40))</f>
        <v/>
      </c>
      <c r="P1763">
        <f>IF(N1763=1,COUNTIF($O$4:$O$2003,"&lt;"&amp;O1763)+1,"")</f>
        <v/>
      </c>
      <c r="Q1763">
        <f>IF(OR($R1762="",$R1762="T"),"",IF($R1762="B",$Q1762,IF($Q1762+1&gt;$K$3,"",$Q1762+1)))</f>
        <v/>
      </c>
      <c r="R1763">
        <f>IF(OR($R1762="",$R1762="T"),"",IF($R1762="B","S",IF($Q1762+1&gt;$K$3,"T",IF(INDEX($M$4:$M$2003,MATCH($Q1762+1,$P$4:$P$2003,0))&lt;&gt;INDEX($M$4:$M$2003,MATCH($Q1762,$P$4:$P$2003,0)),"B","S"))))</f>
        <v/>
      </c>
      <c r="S1763">
        <f>IF(Q1763="","",IFERROR(MATCH(Q1763,$P$4:$P$2003,0),""))</f>
        <v/>
      </c>
    </row>
    <row r="1764">
      <c r="A1764" s="4">
        <f>IF($R1764="","",IF($R1764="T","Gesamtergebnis",IF($R1764="B",INDEX($M$4:$M$2003,$S1764),INDEX($L$4:$L$2003,$S1764))))</f>
        <v/>
      </c>
      <c r="B1764" s="4">
        <f>IF($R1764="","",IF($R1764="T",$K$3,IF($R1764="B",COUNTIFS($M$4:$M$2003,INDEX($M$4:$M$2003,$S1764),$N$4:$N$2003,1),1)))</f>
        <v/>
      </c>
      <c r="L1764">
        <f>IF($K$1="","",IFERROR(INDEX(Lines!$A:$AA,ROW()-2,$K$1),""))</f>
        <v/>
      </c>
      <c r="M1764">
        <f>IF($K$2="","",IFERROR(INDEX(Lines!$A:$AA,ROW()-2,$K$2),""))</f>
        <v/>
      </c>
      <c r="N1764">
        <f>IF(AND(L1764&lt;&gt;"",LEFT(L1764,1)="N",M1764&lt;&gt;"PICKING",M1764&lt;&gt;""),1,0)</f>
        <v/>
      </c>
      <c r="O1764">
        <f>IF(N1764=1,M1764&amp;"|"&amp;L1764,REPT("z",40))</f>
        <v/>
      </c>
      <c r="P1764">
        <f>IF(N1764=1,COUNTIF($O$4:$O$2003,"&lt;"&amp;O1764)+1,"")</f>
        <v/>
      </c>
      <c r="Q1764">
        <f>IF(OR($R1763="",$R1763="T"),"",IF($R1763="B",$Q1763,IF($Q1763+1&gt;$K$3,"",$Q1763+1)))</f>
        <v/>
      </c>
      <c r="R1764">
        <f>IF(OR($R1763="",$R1763="T"),"",IF($R1763="B","S",IF($Q1763+1&gt;$K$3,"T",IF(INDEX($M$4:$M$2003,MATCH($Q1763+1,$P$4:$P$2003,0))&lt;&gt;INDEX($M$4:$M$2003,MATCH($Q1763,$P$4:$P$2003,0)),"B","S"))))</f>
        <v/>
      </c>
      <c r="S1764">
        <f>IF(Q1764="","",IFERROR(MATCH(Q1764,$P$4:$P$2003,0),""))</f>
        <v/>
      </c>
    </row>
    <row r="1765">
      <c r="A1765" s="4">
        <f>IF($R1765="","",IF($R1765="T","Gesamtergebnis",IF($R1765="B",INDEX($M$4:$M$2003,$S1765),INDEX($L$4:$L$2003,$S1765))))</f>
        <v/>
      </c>
      <c r="B1765" s="4">
        <f>IF($R1765="","",IF($R1765="T",$K$3,IF($R1765="B",COUNTIFS($M$4:$M$2003,INDEX($M$4:$M$2003,$S1765),$N$4:$N$2003,1),1)))</f>
        <v/>
      </c>
      <c r="L1765">
        <f>IF($K$1="","",IFERROR(INDEX(Lines!$A:$AA,ROW()-2,$K$1),""))</f>
        <v/>
      </c>
      <c r="M1765">
        <f>IF($K$2="","",IFERROR(INDEX(Lines!$A:$AA,ROW()-2,$K$2),""))</f>
        <v/>
      </c>
      <c r="N1765">
        <f>IF(AND(L1765&lt;&gt;"",LEFT(L1765,1)="N",M1765&lt;&gt;"PICKING",M1765&lt;&gt;""),1,0)</f>
        <v/>
      </c>
      <c r="O1765">
        <f>IF(N1765=1,M1765&amp;"|"&amp;L1765,REPT("z",40))</f>
        <v/>
      </c>
      <c r="P1765">
        <f>IF(N1765=1,COUNTIF($O$4:$O$2003,"&lt;"&amp;O1765)+1,"")</f>
        <v/>
      </c>
      <c r="Q1765">
        <f>IF(OR($R1764="",$R1764="T"),"",IF($R1764="B",$Q1764,IF($Q1764+1&gt;$K$3,"",$Q1764+1)))</f>
        <v/>
      </c>
      <c r="R1765">
        <f>IF(OR($R1764="",$R1764="T"),"",IF($R1764="B","S",IF($Q1764+1&gt;$K$3,"T",IF(INDEX($M$4:$M$2003,MATCH($Q1764+1,$P$4:$P$2003,0))&lt;&gt;INDEX($M$4:$M$2003,MATCH($Q1764,$P$4:$P$2003,0)),"B","S"))))</f>
        <v/>
      </c>
      <c r="S1765">
        <f>IF(Q1765="","",IFERROR(MATCH(Q1765,$P$4:$P$2003,0),""))</f>
        <v/>
      </c>
    </row>
    <row r="1766">
      <c r="A1766" s="4">
        <f>IF($R1766="","",IF($R1766="T","Gesamtergebnis",IF($R1766="B",INDEX($M$4:$M$2003,$S1766),INDEX($L$4:$L$2003,$S1766))))</f>
        <v/>
      </c>
      <c r="B1766" s="4">
        <f>IF($R1766="","",IF($R1766="T",$K$3,IF($R1766="B",COUNTIFS($M$4:$M$2003,INDEX($M$4:$M$2003,$S1766),$N$4:$N$2003,1),1)))</f>
        <v/>
      </c>
      <c r="L1766">
        <f>IF($K$1="","",IFERROR(INDEX(Lines!$A:$AA,ROW()-2,$K$1),""))</f>
        <v/>
      </c>
      <c r="M1766">
        <f>IF($K$2="","",IFERROR(INDEX(Lines!$A:$AA,ROW()-2,$K$2),""))</f>
        <v/>
      </c>
      <c r="N1766">
        <f>IF(AND(L1766&lt;&gt;"",LEFT(L1766,1)="N",M1766&lt;&gt;"PICKING",M1766&lt;&gt;""),1,0)</f>
        <v/>
      </c>
      <c r="O1766">
        <f>IF(N1766=1,M1766&amp;"|"&amp;L1766,REPT("z",40))</f>
        <v/>
      </c>
      <c r="P1766">
        <f>IF(N1766=1,COUNTIF($O$4:$O$2003,"&lt;"&amp;O1766)+1,"")</f>
        <v/>
      </c>
      <c r="Q1766">
        <f>IF(OR($R1765="",$R1765="T"),"",IF($R1765="B",$Q1765,IF($Q1765+1&gt;$K$3,"",$Q1765+1)))</f>
        <v/>
      </c>
      <c r="R1766">
        <f>IF(OR($R1765="",$R1765="T"),"",IF($R1765="B","S",IF($Q1765+1&gt;$K$3,"T",IF(INDEX($M$4:$M$2003,MATCH($Q1765+1,$P$4:$P$2003,0))&lt;&gt;INDEX($M$4:$M$2003,MATCH($Q1765,$P$4:$P$2003,0)),"B","S"))))</f>
        <v/>
      </c>
      <c r="S1766">
        <f>IF(Q1766="","",IFERROR(MATCH(Q1766,$P$4:$P$2003,0),""))</f>
        <v/>
      </c>
    </row>
    <row r="1767">
      <c r="A1767" s="4">
        <f>IF($R1767="","",IF($R1767="T","Gesamtergebnis",IF($R1767="B",INDEX($M$4:$M$2003,$S1767),INDEX($L$4:$L$2003,$S1767))))</f>
        <v/>
      </c>
      <c r="B1767" s="4">
        <f>IF($R1767="","",IF($R1767="T",$K$3,IF($R1767="B",COUNTIFS($M$4:$M$2003,INDEX($M$4:$M$2003,$S1767),$N$4:$N$2003,1),1)))</f>
        <v/>
      </c>
      <c r="L1767">
        <f>IF($K$1="","",IFERROR(INDEX(Lines!$A:$AA,ROW()-2,$K$1),""))</f>
        <v/>
      </c>
      <c r="M1767">
        <f>IF($K$2="","",IFERROR(INDEX(Lines!$A:$AA,ROW()-2,$K$2),""))</f>
        <v/>
      </c>
      <c r="N1767">
        <f>IF(AND(L1767&lt;&gt;"",LEFT(L1767,1)="N",M1767&lt;&gt;"PICKING",M1767&lt;&gt;""),1,0)</f>
        <v/>
      </c>
      <c r="O1767">
        <f>IF(N1767=1,M1767&amp;"|"&amp;L1767,REPT("z",40))</f>
        <v/>
      </c>
      <c r="P1767">
        <f>IF(N1767=1,COUNTIF($O$4:$O$2003,"&lt;"&amp;O1767)+1,"")</f>
        <v/>
      </c>
      <c r="Q1767">
        <f>IF(OR($R1766="",$R1766="T"),"",IF($R1766="B",$Q1766,IF($Q1766+1&gt;$K$3,"",$Q1766+1)))</f>
        <v/>
      </c>
      <c r="R1767">
        <f>IF(OR($R1766="",$R1766="T"),"",IF($R1766="B","S",IF($Q1766+1&gt;$K$3,"T",IF(INDEX($M$4:$M$2003,MATCH($Q1766+1,$P$4:$P$2003,0))&lt;&gt;INDEX($M$4:$M$2003,MATCH($Q1766,$P$4:$P$2003,0)),"B","S"))))</f>
        <v/>
      </c>
      <c r="S1767">
        <f>IF(Q1767="","",IFERROR(MATCH(Q1767,$P$4:$P$2003,0),""))</f>
        <v/>
      </c>
    </row>
    <row r="1768">
      <c r="A1768" s="4">
        <f>IF($R1768="","",IF($R1768="T","Gesamtergebnis",IF($R1768="B",INDEX($M$4:$M$2003,$S1768),INDEX($L$4:$L$2003,$S1768))))</f>
        <v/>
      </c>
      <c r="B1768" s="4">
        <f>IF($R1768="","",IF($R1768="T",$K$3,IF($R1768="B",COUNTIFS($M$4:$M$2003,INDEX($M$4:$M$2003,$S1768),$N$4:$N$2003,1),1)))</f>
        <v/>
      </c>
      <c r="L1768">
        <f>IF($K$1="","",IFERROR(INDEX(Lines!$A:$AA,ROW()-2,$K$1),""))</f>
        <v/>
      </c>
      <c r="M1768">
        <f>IF($K$2="","",IFERROR(INDEX(Lines!$A:$AA,ROW()-2,$K$2),""))</f>
        <v/>
      </c>
      <c r="N1768">
        <f>IF(AND(L1768&lt;&gt;"",LEFT(L1768,1)="N",M1768&lt;&gt;"PICKING",M1768&lt;&gt;""),1,0)</f>
        <v/>
      </c>
      <c r="O1768">
        <f>IF(N1768=1,M1768&amp;"|"&amp;L1768,REPT("z",40))</f>
        <v/>
      </c>
      <c r="P1768">
        <f>IF(N1768=1,COUNTIF($O$4:$O$2003,"&lt;"&amp;O1768)+1,"")</f>
        <v/>
      </c>
      <c r="Q1768">
        <f>IF(OR($R1767="",$R1767="T"),"",IF($R1767="B",$Q1767,IF($Q1767+1&gt;$K$3,"",$Q1767+1)))</f>
        <v/>
      </c>
      <c r="R1768">
        <f>IF(OR($R1767="",$R1767="T"),"",IF($R1767="B","S",IF($Q1767+1&gt;$K$3,"T",IF(INDEX($M$4:$M$2003,MATCH($Q1767+1,$P$4:$P$2003,0))&lt;&gt;INDEX($M$4:$M$2003,MATCH($Q1767,$P$4:$P$2003,0)),"B","S"))))</f>
        <v/>
      </c>
      <c r="S1768">
        <f>IF(Q1768="","",IFERROR(MATCH(Q1768,$P$4:$P$2003,0),""))</f>
        <v/>
      </c>
    </row>
    <row r="1769">
      <c r="A1769" s="4">
        <f>IF($R1769="","",IF($R1769="T","Gesamtergebnis",IF($R1769="B",INDEX($M$4:$M$2003,$S1769),INDEX($L$4:$L$2003,$S1769))))</f>
        <v/>
      </c>
      <c r="B1769" s="4">
        <f>IF($R1769="","",IF($R1769="T",$K$3,IF($R1769="B",COUNTIFS($M$4:$M$2003,INDEX($M$4:$M$2003,$S1769),$N$4:$N$2003,1),1)))</f>
        <v/>
      </c>
      <c r="L1769">
        <f>IF($K$1="","",IFERROR(INDEX(Lines!$A:$AA,ROW()-2,$K$1),""))</f>
        <v/>
      </c>
      <c r="M1769">
        <f>IF($K$2="","",IFERROR(INDEX(Lines!$A:$AA,ROW()-2,$K$2),""))</f>
        <v/>
      </c>
      <c r="N1769">
        <f>IF(AND(L1769&lt;&gt;"",LEFT(L1769,1)="N",M1769&lt;&gt;"PICKING",M1769&lt;&gt;""),1,0)</f>
        <v/>
      </c>
      <c r="O1769">
        <f>IF(N1769=1,M1769&amp;"|"&amp;L1769,REPT("z",40))</f>
        <v/>
      </c>
      <c r="P1769">
        <f>IF(N1769=1,COUNTIF($O$4:$O$2003,"&lt;"&amp;O1769)+1,"")</f>
        <v/>
      </c>
      <c r="Q1769">
        <f>IF(OR($R1768="",$R1768="T"),"",IF($R1768="B",$Q1768,IF($Q1768+1&gt;$K$3,"",$Q1768+1)))</f>
        <v/>
      </c>
      <c r="R1769">
        <f>IF(OR($R1768="",$R1768="T"),"",IF($R1768="B","S",IF($Q1768+1&gt;$K$3,"T",IF(INDEX($M$4:$M$2003,MATCH($Q1768+1,$P$4:$P$2003,0))&lt;&gt;INDEX($M$4:$M$2003,MATCH($Q1768,$P$4:$P$2003,0)),"B","S"))))</f>
        <v/>
      </c>
      <c r="S1769">
        <f>IF(Q1769="","",IFERROR(MATCH(Q1769,$P$4:$P$2003,0),""))</f>
        <v/>
      </c>
    </row>
    <row r="1770">
      <c r="A1770" s="4">
        <f>IF($R1770="","",IF($R1770="T","Gesamtergebnis",IF($R1770="B",INDEX($M$4:$M$2003,$S1770),INDEX($L$4:$L$2003,$S1770))))</f>
        <v/>
      </c>
      <c r="B1770" s="4">
        <f>IF($R1770="","",IF($R1770="T",$K$3,IF($R1770="B",COUNTIFS($M$4:$M$2003,INDEX($M$4:$M$2003,$S1770),$N$4:$N$2003,1),1)))</f>
        <v/>
      </c>
      <c r="L1770">
        <f>IF($K$1="","",IFERROR(INDEX(Lines!$A:$AA,ROW()-2,$K$1),""))</f>
        <v/>
      </c>
      <c r="M1770">
        <f>IF($K$2="","",IFERROR(INDEX(Lines!$A:$AA,ROW()-2,$K$2),""))</f>
        <v/>
      </c>
      <c r="N1770">
        <f>IF(AND(L1770&lt;&gt;"",LEFT(L1770,1)="N",M1770&lt;&gt;"PICKING",M1770&lt;&gt;""),1,0)</f>
        <v/>
      </c>
      <c r="O1770">
        <f>IF(N1770=1,M1770&amp;"|"&amp;L1770,REPT("z",40))</f>
        <v/>
      </c>
      <c r="P1770">
        <f>IF(N1770=1,COUNTIF($O$4:$O$2003,"&lt;"&amp;O1770)+1,"")</f>
        <v/>
      </c>
      <c r="Q1770">
        <f>IF(OR($R1769="",$R1769="T"),"",IF($R1769="B",$Q1769,IF($Q1769+1&gt;$K$3,"",$Q1769+1)))</f>
        <v/>
      </c>
      <c r="R1770">
        <f>IF(OR($R1769="",$R1769="T"),"",IF($R1769="B","S",IF($Q1769+1&gt;$K$3,"T",IF(INDEX($M$4:$M$2003,MATCH($Q1769+1,$P$4:$P$2003,0))&lt;&gt;INDEX($M$4:$M$2003,MATCH($Q1769,$P$4:$P$2003,0)),"B","S"))))</f>
        <v/>
      </c>
      <c r="S1770">
        <f>IF(Q1770="","",IFERROR(MATCH(Q1770,$P$4:$P$2003,0),""))</f>
        <v/>
      </c>
    </row>
    <row r="1771">
      <c r="A1771" s="4">
        <f>IF($R1771="","",IF($R1771="T","Gesamtergebnis",IF($R1771="B",INDEX($M$4:$M$2003,$S1771),INDEX($L$4:$L$2003,$S1771))))</f>
        <v/>
      </c>
      <c r="B1771" s="4">
        <f>IF($R1771="","",IF($R1771="T",$K$3,IF($R1771="B",COUNTIFS($M$4:$M$2003,INDEX($M$4:$M$2003,$S1771),$N$4:$N$2003,1),1)))</f>
        <v/>
      </c>
      <c r="L1771">
        <f>IF($K$1="","",IFERROR(INDEX(Lines!$A:$AA,ROW()-2,$K$1),""))</f>
        <v/>
      </c>
      <c r="M1771">
        <f>IF($K$2="","",IFERROR(INDEX(Lines!$A:$AA,ROW()-2,$K$2),""))</f>
        <v/>
      </c>
      <c r="N1771">
        <f>IF(AND(L1771&lt;&gt;"",LEFT(L1771,1)="N",M1771&lt;&gt;"PICKING",M1771&lt;&gt;""),1,0)</f>
        <v/>
      </c>
      <c r="O1771">
        <f>IF(N1771=1,M1771&amp;"|"&amp;L1771,REPT("z",40))</f>
        <v/>
      </c>
      <c r="P1771">
        <f>IF(N1771=1,COUNTIF($O$4:$O$2003,"&lt;"&amp;O1771)+1,"")</f>
        <v/>
      </c>
      <c r="Q1771">
        <f>IF(OR($R1770="",$R1770="T"),"",IF($R1770="B",$Q1770,IF($Q1770+1&gt;$K$3,"",$Q1770+1)))</f>
        <v/>
      </c>
      <c r="R1771">
        <f>IF(OR($R1770="",$R1770="T"),"",IF($R1770="B","S",IF($Q1770+1&gt;$K$3,"T",IF(INDEX($M$4:$M$2003,MATCH($Q1770+1,$P$4:$P$2003,0))&lt;&gt;INDEX($M$4:$M$2003,MATCH($Q1770,$P$4:$P$2003,0)),"B","S"))))</f>
        <v/>
      </c>
      <c r="S1771">
        <f>IF(Q1771="","",IFERROR(MATCH(Q1771,$P$4:$P$2003,0),""))</f>
        <v/>
      </c>
    </row>
    <row r="1772">
      <c r="A1772" s="4">
        <f>IF($R1772="","",IF($R1772="T","Gesamtergebnis",IF($R1772="B",INDEX($M$4:$M$2003,$S1772),INDEX($L$4:$L$2003,$S1772))))</f>
        <v/>
      </c>
      <c r="B1772" s="4">
        <f>IF($R1772="","",IF($R1772="T",$K$3,IF($R1772="B",COUNTIFS($M$4:$M$2003,INDEX($M$4:$M$2003,$S1772),$N$4:$N$2003,1),1)))</f>
        <v/>
      </c>
      <c r="L1772">
        <f>IF($K$1="","",IFERROR(INDEX(Lines!$A:$AA,ROW()-2,$K$1),""))</f>
        <v/>
      </c>
      <c r="M1772">
        <f>IF($K$2="","",IFERROR(INDEX(Lines!$A:$AA,ROW()-2,$K$2),""))</f>
        <v/>
      </c>
      <c r="N1772">
        <f>IF(AND(L1772&lt;&gt;"",LEFT(L1772,1)="N",M1772&lt;&gt;"PICKING",M1772&lt;&gt;""),1,0)</f>
        <v/>
      </c>
      <c r="O1772">
        <f>IF(N1772=1,M1772&amp;"|"&amp;L1772,REPT("z",40))</f>
        <v/>
      </c>
      <c r="P1772">
        <f>IF(N1772=1,COUNTIF($O$4:$O$2003,"&lt;"&amp;O1772)+1,"")</f>
        <v/>
      </c>
      <c r="Q1772">
        <f>IF(OR($R1771="",$R1771="T"),"",IF($R1771="B",$Q1771,IF($Q1771+1&gt;$K$3,"",$Q1771+1)))</f>
        <v/>
      </c>
      <c r="R1772">
        <f>IF(OR($R1771="",$R1771="T"),"",IF($R1771="B","S",IF($Q1771+1&gt;$K$3,"T",IF(INDEX($M$4:$M$2003,MATCH($Q1771+1,$P$4:$P$2003,0))&lt;&gt;INDEX($M$4:$M$2003,MATCH($Q1771,$P$4:$P$2003,0)),"B","S"))))</f>
        <v/>
      </c>
      <c r="S1772">
        <f>IF(Q1772="","",IFERROR(MATCH(Q1772,$P$4:$P$2003,0),""))</f>
        <v/>
      </c>
    </row>
    <row r="1773">
      <c r="A1773" s="4">
        <f>IF($R1773="","",IF($R1773="T","Gesamtergebnis",IF($R1773="B",INDEX($M$4:$M$2003,$S1773),INDEX($L$4:$L$2003,$S1773))))</f>
        <v/>
      </c>
      <c r="B1773" s="4">
        <f>IF($R1773="","",IF($R1773="T",$K$3,IF($R1773="B",COUNTIFS($M$4:$M$2003,INDEX($M$4:$M$2003,$S1773),$N$4:$N$2003,1),1)))</f>
        <v/>
      </c>
      <c r="L1773">
        <f>IF($K$1="","",IFERROR(INDEX(Lines!$A:$AA,ROW()-2,$K$1),""))</f>
        <v/>
      </c>
      <c r="M1773">
        <f>IF($K$2="","",IFERROR(INDEX(Lines!$A:$AA,ROW()-2,$K$2),""))</f>
        <v/>
      </c>
      <c r="N1773">
        <f>IF(AND(L1773&lt;&gt;"",LEFT(L1773,1)="N",M1773&lt;&gt;"PICKING",M1773&lt;&gt;""),1,0)</f>
        <v/>
      </c>
      <c r="O1773">
        <f>IF(N1773=1,M1773&amp;"|"&amp;L1773,REPT("z",40))</f>
        <v/>
      </c>
      <c r="P1773">
        <f>IF(N1773=1,COUNTIF($O$4:$O$2003,"&lt;"&amp;O1773)+1,"")</f>
        <v/>
      </c>
      <c r="Q1773">
        <f>IF(OR($R1772="",$R1772="T"),"",IF($R1772="B",$Q1772,IF($Q1772+1&gt;$K$3,"",$Q1772+1)))</f>
        <v/>
      </c>
      <c r="R1773">
        <f>IF(OR($R1772="",$R1772="T"),"",IF($R1772="B","S",IF($Q1772+1&gt;$K$3,"T",IF(INDEX($M$4:$M$2003,MATCH($Q1772+1,$P$4:$P$2003,0))&lt;&gt;INDEX($M$4:$M$2003,MATCH($Q1772,$P$4:$P$2003,0)),"B","S"))))</f>
        <v/>
      </c>
      <c r="S1773">
        <f>IF(Q1773="","",IFERROR(MATCH(Q1773,$P$4:$P$2003,0),""))</f>
        <v/>
      </c>
    </row>
    <row r="1774">
      <c r="A1774" s="4">
        <f>IF($R1774="","",IF($R1774="T","Gesamtergebnis",IF($R1774="B",INDEX($M$4:$M$2003,$S1774),INDEX($L$4:$L$2003,$S1774))))</f>
        <v/>
      </c>
      <c r="B1774" s="4">
        <f>IF($R1774="","",IF($R1774="T",$K$3,IF($R1774="B",COUNTIFS($M$4:$M$2003,INDEX($M$4:$M$2003,$S1774),$N$4:$N$2003,1),1)))</f>
        <v/>
      </c>
      <c r="L1774">
        <f>IF($K$1="","",IFERROR(INDEX(Lines!$A:$AA,ROW()-2,$K$1),""))</f>
        <v/>
      </c>
      <c r="M1774">
        <f>IF($K$2="","",IFERROR(INDEX(Lines!$A:$AA,ROW()-2,$K$2),""))</f>
        <v/>
      </c>
      <c r="N1774">
        <f>IF(AND(L1774&lt;&gt;"",LEFT(L1774,1)="N",M1774&lt;&gt;"PICKING",M1774&lt;&gt;""),1,0)</f>
        <v/>
      </c>
      <c r="O1774">
        <f>IF(N1774=1,M1774&amp;"|"&amp;L1774,REPT("z",40))</f>
        <v/>
      </c>
      <c r="P1774">
        <f>IF(N1774=1,COUNTIF($O$4:$O$2003,"&lt;"&amp;O1774)+1,"")</f>
        <v/>
      </c>
      <c r="Q1774">
        <f>IF(OR($R1773="",$R1773="T"),"",IF($R1773="B",$Q1773,IF($Q1773+1&gt;$K$3,"",$Q1773+1)))</f>
        <v/>
      </c>
      <c r="R1774">
        <f>IF(OR($R1773="",$R1773="T"),"",IF($R1773="B","S",IF($Q1773+1&gt;$K$3,"T",IF(INDEX($M$4:$M$2003,MATCH($Q1773+1,$P$4:$P$2003,0))&lt;&gt;INDEX($M$4:$M$2003,MATCH($Q1773,$P$4:$P$2003,0)),"B","S"))))</f>
        <v/>
      </c>
      <c r="S1774">
        <f>IF(Q1774="","",IFERROR(MATCH(Q1774,$P$4:$P$2003,0),""))</f>
        <v/>
      </c>
    </row>
    <row r="1775">
      <c r="A1775" s="4">
        <f>IF($R1775="","",IF($R1775="T","Gesamtergebnis",IF($R1775="B",INDEX($M$4:$M$2003,$S1775),INDEX($L$4:$L$2003,$S1775))))</f>
        <v/>
      </c>
      <c r="B1775" s="4">
        <f>IF($R1775="","",IF($R1775="T",$K$3,IF($R1775="B",COUNTIFS($M$4:$M$2003,INDEX($M$4:$M$2003,$S1775),$N$4:$N$2003,1),1)))</f>
        <v/>
      </c>
      <c r="L1775">
        <f>IF($K$1="","",IFERROR(INDEX(Lines!$A:$AA,ROW()-2,$K$1),""))</f>
        <v/>
      </c>
      <c r="M1775">
        <f>IF($K$2="","",IFERROR(INDEX(Lines!$A:$AA,ROW()-2,$K$2),""))</f>
        <v/>
      </c>
      <c r="N1775">
        <f>IF(AND(L1775&lt;&gt;"",LEFT(L1775,1)="N",M1775&lt;&gt;"PICKING",M1775&lt;&gt;""),1,0)</f>
        <v/>
      </c>
      <c r="O1775">
        <f>IF(N1775=1,M1775&amp;"|"&amp;L1775,REPT("z",40))</f>
        <v/>
      </c>
      <c r="P1775">
        <f>IF(N1775=1,COUNTIF($O$4:$O$2003,"&lt;"&amp;O1775)+1,"")</f>
        <v/>
      </c>
      <c r="Q1775">
        <f>IF(OR($R1774="",$R1774="T"),"",IF($R1774="B",$Q1774,IF($Q1774+1&gt;$K$3,"",$Q1774+1)))</f>
        <v/>
      </c>
      <c r="R1775">
        <f>IF(OR($R1774="",$R1774="T"),"",IF($R1774="B","S",IF($Q1774+1&gt;$K$3,"T",IF(INDEX($M$4:$M$2003,MATCH($Q1774+1,$P$4:$P$2003,0))&lt;&gt;INDEX($M$4:$M$2003,MATCH($Q1774,$P$4:$P$2003,0)),"B","S"))))</f>
        <v/>
      </c>
      <c r="S1775">
        <f>IF(Q1775="","",IFERROR(MATCH(Q1775,$P$4:$P$2003,0),""))</f>
        <v/>
      </c>
    </row>
    <row r="1776">
      <c r="A1776" s="4">
        <f>IF($R1776="","",IF($R1776="T","Gesamtergebnis",IF($R1776="B",INDEX($M$4:$M$2003,$S1776),INDEX($L$4:$L$2003,$S1776))))</f>
        <v/>
      </c>
      <c r="B1776" s="4">
        <f>IF($R1776="","",IF($R1776="T",$K$3,IF($R1776="B",COUNTIFS($M$4:$M$2003,INDEX($M$4:$M$2003,$S1776),$N$4:$N$2003,1),1)))</f>
        <v/>
      </c>
      <c r="L1776">
        <f>IF($K$1="","",IFERROR(INDEX(Lines!$A:$AA,ROW()-2,$K$1),""))</f>
        <v/>
      </c>
      <c r="M1776">
        <f>IF($K$2="","",IFERROR(INDEX(Lines!$A:$AA,ROW()-2,$K$2),""))</f>
        <v/>
      </c>
      <c r="N1776">
        <f>IF(AND(L1776&lt;&gt;"",LEFT(L1776,1)="N",M1776&lt;&gt;"PICKING",M1776&lt;&gt;""),1,0)</f>
        <v/>
      </c>
      <c r="O1776">
        <f>IF(N1776=1,M1776&amp;"|"&amp;L1776,REPT("z",40))</f>
        <v/>
      </c>
      <c r="P1776">
        <f>IF(N1776=1,COUNTIF($O$4:$O$2003,"&lt;"&amp;O1776)+1,"")</f>
        <v/>
      </c>
      <c r="Q1776">
        <f>IF(OR($R1775="",$R1775="T"),"",IF($R1775="B",$Q1775,IF($Q1775+1&gt;$K$3,"",$Q1775+1)))</f>
        <v/>
      </c>
      <c r="R1776">
        <f>IF(OR($R1775="",$R1775="T"),"",IF($R1775="B","S",IF($Q1775+1&gt;$K$3,"T",IF(INDEX($M$4:$M$2003,MATCH($Q1775+1,$P$4:$P$2003,0))&lt;&gt;INDEX($M$4:$M$2003,MATCH($Q1775,$P$4:$P$2003,0)),"B","S"))))</f>
        <v/>
      </c>
      <c r="S1776">
        <f>IF(Q1776="","",IFERROR(MATCH(Q1776,$P$4:$P$2003,0),""))</f>
        <v/>
      </c>
    </row>
    <row r="1777">
      <c r="A1777" s="4">
        <f>IF($R1777="","",IF($R1777="T","Gesamtergebnis",IF($R1777="B",INDEX($M$4:$M$2003,$S1777),INDEX($L$4:$L$2003,$S1777))))</f>
        <v/>
      </c>
      <c r="B1777" s="4">
        <f>IF($R1777="","",IF($R1777="T",$K$3,IF($R1777="B",COUNTIFS($M$4:$M$2003,INDEX($M$4:$M$2003,$S1777),$N$4:$N$2003,1),1)))</f>
        <v/>
      </c>
      <c r="L1777">
        <f>IF($K$1="","",IFERROR(INDEX(Lines!$A:$AA,ROW()-2,$K$1),""))</f>
        <v/>
      </c>
      <c r="M1777">
        <f>IF($K$2="","",IFERROR(INDEX(Lines!$A:$AA,ROW()-2,$K$2),""))</f>
        <v/>
      </c>
      <c r="N1777">
        <f>IF(AND(L1777&lt;&gt;"",LEFT(L1777,1)="N",M1777&lt;&gt;"PICKING",M1777&lt;&gt;""),1,0)</f>
        <v/>
      </c>
      <c r="O1777">
        <f>IF(N1777=1,M1777&amp;"|"&amp;L1777,REPT("z",40))</f>
        <v/>
      </c>
      <c r="P1777">
        <f>IF(N1777=1,COUNTIF($O$4:$O$2003,"&lt;"&amp;O1777)+1,"")</f>
        <v/>
      </c>
      <c r="Q1777">
        <f>IF(OR($R1776="",$R1776="T"),"",IF($R1776="B",$Q1776,IF($Q1776+1&gt;$K$3,"",$Q1776+1)))</f>
        <v/>
      </c>
      <c r="R1777">
        <f>IF(OR($R1776="",$R1776="T"),"",IF($R1776="B","S",IF($Q1776+1&gt;$K$3,"T",IF(INDEX($M$4:$M$2003,MATCH($Q1776+1,$P$4:$P$2003,0))&lt;&gt;INDEX($M$4:$M$2003,MATCH($Q1776,$P$4:$P$2003,0)),"B","S"))))</f>
        <v/>
      </c>
      <c r="S1777">
        <f>IF(Q1777="","",IFERROR(MATCH(Q1777,$P$4:$P$2003,0),""))</f>
        <v/>
      </c>
    </row>
    <row r="1778">
      <c r="A1778" s="4">
        <f>IF($R1778="","",IF($R1778="T","Gesamtergebnis",IF($R1778="B",INDEX($M$4:$M$2003,$S1778),INDEX($L$4:$L$2003,$S1778))))</f>
        <v/>
      </c>
      <c r="B1778" s="4">
        <f>IF($R1778="","",IF($R1778="T",$K$3,IF($R1778="B",COUNTIFS($M$4:$M$2003,INDEX($M$4:$M$2003,$S1778),$N$4:$N$2003,1),1)))</f>
        <v/>
      </c>
      <c r="L1778">
        <f>IF($K$1="","",IFERROR(INDEX(Lines!$A:$AA,ROW()-2,$K$1),""))</f>
        <v/>
      </c>
      <c r="M1778">
        <f>IF($K$2="","",IFERROR(INDEX(Lines!$A:$AA,ROW()-2,$K$2),""))</f>
        <v/>
      </c>
      <c r="N1778">
        <f>IF(AND(L1778&lt;&gt;"",LEFT(L1778,1)="N",M1778&lt;&gt;"PICKING",M1778&lt;&gt;""),1,0)</f>
        <v/>
      </c>
      <c r="O1778">
        <f>IF(N1778=1,M1778&amp;"|"&amp;L1778,REPT("z",40))</f>
        <v/>
      </c>
      <c r="P1778">
        <f>IF(N1778=1,COUNTIF($O$4:$O$2003,"&lt;"&amp;O1778)+1,"")</f>
        <v/>
      </c>
      <c r="Q1778">
        <f>IF(OR($R1777="",$R1777="T"),"",IF($R1777="B",$Q1777,IF($Q1777+1&gt;$K$3,"",$Q1777+1)))</f>
        <v/>
      </c>
      <c r="R1778">
        <f>IF(OR($R1777="",$R1777="T"),"",IF($R1777="B","S",IF($Q1777+1&gt;$K$3,"T",IF(INDEX($M$4:$M$2003,MATCH($Q1777+1,$P$4:$P$2003,0))&lt;&gt;INDEX($M$4:$M$2003,MATCH($Q1777,$P$4:$P$2003,0)),"B","S"))))</f>
        <v/>
      </c>
      <c r="S1778">
        <f>IF(Q1778="","",IFERROR(MATCH(Q1778,$P$4:$P$2003,0),""))</f>
        <v/>
      </c>
    </row>
    <row r="1779">
      <c r="A1779" s="4">
        <f>IF($R1779="","",IF($R1779="T","Gesamtergebnis",IF($R1779="B",INDEX($M$4:$M$2003,$S1779),INDEX($L$4:$L$2003,$S1779))))</f>
        <v/>
      </c>
      <c r="B1779" s="4">
        <f>IF($R1779="","",IF($R1779="T",$K$3,IF($R1779="B",COUNTIFS($M$4:$M$2003,INDEX($M$4:$M$2003,$S1779),$N$4:$N$2003,1),1)))</f>
        <v/>
      </c>
      <c r="L1779">
        <f>IF($K$1="","",IFERROR(INDEX(Lines!$A:$AA,ROW()-2,$K$1),""))</f>
        <v/>
      </c>
      <c r="M1779">
        <f>IF($K$2="","",IFERROR(INDEX(Lines!$A:$AA,ROW()-2,$K$2),""))</f>
        <v/>
      </c>
      <c r="N1779">
        <f>IF(AND(L1779&lt;&gt;"",LEFT(L1779,1)="N",M1779&lt;&gt;"PICKING",M1779&lt;&gt;""),1,0)</f>
        <v/>
      </c>
      <c r="O1779">
        <f>IF(N1779=1,M1779&amp;"|"&amp;L1779,REPT("z",40))</f>
        <v/>
      </c>
      <c r="P1779">
        <f>IF(N1779=1,COUNTIF($O$4:$O$2003,"&lt;"&amp;O1779)+1,"")</f>
        <v/>
      </c>
      <c r="Q1779">
        <f>IF(OR($R1778="",$R1778="T"),"",IF($R1778="B",$Q1778,IF($Q1778+1&gt;$K$3,"",$Q1778+1)))</f>
        <v/>
      </c>
      <c r="R1779">
        <f>IF(OR($R1778="",$R1778="T"),"",IF($R1778="B","S",IF($Q1778+1&gt;$K$3,"T",IF(INDEX($M$4:$M$2003,MATCH($Q1778+1,$P$4:$P$2003,0))&lt;&gt;INDEX($M$4:$M$2003,MATCH($Q1778,$P$4:$P$2003,0)),"B","S"))))</f>
        <v/>
      </c>
      <c r="S1779">
        <f>IF(Q1779="","",IFERROR(MATCH(Q1779,$P$4:$P$2003,0),""))</f>
        <v/>
      </c>
    </row>
    <row r="1780">
      <c r="A1780" s="4">
        <f>IF($R1780="","",IF($R1780="T","Gesamtergebnis",IF($R1780="B",INDEX($M$4:$M$2003,$S1780),INDEX($L$4:$L$2003,$S1780))))</f>
        <v/>
      </c>
      <c r="B1780" s="4">
        <f>IF($R1780="","",IF($R1780="T",$K$3,IF($R1780="B",COUNTIFS($M$4:$M$2003,INDEX($M$4:$M$2003,$S1780),$N$4:$N$2003,1),1)))</f>
        <v/>
      </c>
      <c r="L1780">
        <f>IF($K$1="","",IFERROR(INDEX(Lines!$A:$AA,ROW()-2,$K$1),""))</f>
        <v/>
      </c>
      <c r="M1780">
        <f>IF($K$2="","",IFERROR(INDEX(Lines!$A:$AA,ROW()-2,$K$2),""))</f>
        <v/>
      </c>
      <c r="N1780">
        <f>IF(AND(L1780&lt;&gt;"",LEFT(L1780,1)="N",M1780&lt;&gt;"PICKING",M1780&lt;&gt;""),1,0)</f>
        <v/>
      </c>
      <c r="O1780">
        <f>IF(N1780=1,M1780&amp;"|"&amp;L1780,REPT("z",40))</f>
        <v/>
      </c>
      <c r="P1780">
        <f>IF(N1780=1,COUNTIF($O$4:$O$2003,"&lt;"&amp;O1780)+1,"")</f>
        <v/>
      </c>
      <c r="Q1780">
        <f>IF(OR($R1779="",$R1779="T"),"",IF($R1779="B",$Q1779,IF($Q1779+1&gt;$K$3,"",$Q1779+1)))</f>
        <v/>
      </c>
      <c r="R1780">
        <f>IF(OR($R1779="",$R1779="T"),"",IF($R1779="B","S",IF($Q1779+1&gt;$K$3,"T",IF(INDEX($M$4:$M$2003,MATCH($Q1779+1,$P$4:$P$2003,0))&lt;&gt;INDEX($M$4:$M$2003,MATCH($Q1779,$P$4:$P$2003,0)),"B","S"))))</f>
        <v/>
      </c>
      <c r="S1780">
        <f>IF(Q1780="","",IFERROR(MATCH(Q1780,$P$4:$P$2003,0),""))</f>
        <v/>
      </c>
    </row>
    <row r="1781">
      <c r="A1781" s="4">
        <f>IF($R1781="","",IF($R1781="T","Gesamtergebnis",IF($R1781="B",INDEX($M$4:$M$2003,$S1781),INDEX($L$4:$L$2003,$S1781))))</f>
        <v/>
      </c>
      <c r="B1781" s="4">
        <f>IF($R1781="","",IF($R1781="T",$K$3,IF($R1781="B",COUNTIFS($M$4:$M$2003,INDEX($M$4:$M$2003,$S1781),$N$4:$N$2003,1),1)))</f>
        <v/>
      </c>
      <c r="L1781">
        <f>IF($K$1="","",IFERROR(INDEX(Lines!$A:$AA,ROW()-2,$K$1),""))</f>
        <v/>
      </c>
      <c r="M1781">
        <f>IF($K$2="","",IFERROR(INDEX(Lines!$A:$AA,ROW()-2,$K$2),""))</f>
        <v/>
      </c>
      <c r="N1781">
        <f>IF(AND(L1781&lt;&gt;"",LEFT(L1781,1)="N",M1781&lt;&gt;"PICKING",M1781&lt;&gt;""),1,0)</f>
        <v/>
      </c>
      <c r="O1781">
        <f>IF(N1781=1,M1781&amp;"|"&amp;L1781,REPT("z",40))</f>
        <v/>
      </c>
      <c r="P1781">
        <f>IF(N1781=1,COUNTIF($O$4:$O$2003,"&lt;"&amp;O1781)+1,"")</f>
        <v/>
      </c>
      <c r="Q1781">
        <f>IF(OR($R1780="",$R1780="T"),"",IF($R1780="B",$Q1780,IF($Q1780+1&gt;$K$3,"",$Q1780+1)))</f>
        <v/>
      </c>
      <c r="R1781">
        <f>IF(OR($R1780="",$R1780="T"),"",IF($R1780="B","S",IF($Q1780+1&gt;$K$3,"T",IF(INDEX($M$4:$M$2003,MATCH($Q1780+1,$P$4:$P$2003,0))&lt;&gt;INDEX($M$4:$M$2003,MATCH($Q1780,$P$4:$P$2003,0)),"B","S"))))</f>
        <v/>
      </c>
      <c r="S1781">
        <f>IF(Q1781="","",IFERROR(MATCH(Q1781,$P$4:$P$2003,0),""))</f>
        <v/>
      </c>
    </row>
    <row r="1782">
      <c r="A1782" s="4">
        <f>IF($R1782="","",IF($R1782="T","Gesamtergebnis",IF($R1782="B",INDEX($M$4:$M$2003,$S1782),INDEX($L$4:$L$2003,$S1782))))</f>
        <v/>
      </c>
      <c r="B1782" s="4">
        <f>IF($R1782="","",IF($R1782="T",$K$3,IF($R1782="B",COUNTIFS($M$4:$M$2003,INDEX($M$4:$M$2003,$S1782),$N$4:$N$2003,1),1)))</f>
        <v/>
      </c>
      <c r="L1782">
        <f>IF($K$1="","",IFERROR(INDEX(Lines!$A:$AA,ROW()-2,$K$1),""))</f>
        <v/>
      </c>
      <c r="M1782">
        <f>IF($K$2="","",IFERROR(INDEX(Lines!$A:$AA,ROW()-2,$K$2),""))</f>
        <v/>
      </c>
      <c r="N1782">
        <f>IF(AND(L1782&lt;&gt;"",LEFT(L1782,1)="N",M1782&lt;&gt;"PICKING",M1782&lt;&gt;""),1,0)</f>
        <v/>
      </c>
      <c r="O1782">
        <f>IF(N1782=1,M1782&amp;"|"&amp;L1782,REPT("z",40))</f>
        <v/>
      </c>
      <c r="P1782">
        <f>IF(N1782=1,COUNTIF($O$4:$O$2003,"&lt;"&amp;O1782)+1,"")</f>
        <v/>
      </c>
      <c r="Q1782">
        <f>IF(OR($R1781="",$R1781="T"),"",IF($R1781="B",$Q1781,IF($Q1781+1&gt;$K$3,"",$Q1781+1)))</f>
        <v/>
      </c>
      <c r="R1782">
        <f>IF(OR($R1781="",$R1781="T"),"",IF($R1781="B","S",IF($Q1781+1&gt;$K$3,"T",IF(INDEX($M$4:$M$2003,MATCH($Q1781+1,$P$4:$P$2003,0))&lt;&gt;INDEX($M$4:$M$2003,MATCH($Q1781,$P$4:$P$2003,0)),"B","S"))))</f>
        <v/>
      </c>
      <c r="S1782">
        <f>IF(Q1782="","",IFERROR(MATCH(Q1782,$P$4:$P$2003,0),""))</f>
        <v/>
      </c>
    </row>
    <row r="1783">
      <c r="A1783" s="4">
        <f>IF($R1783="","",IF($R1783="T","Gesamtergebnis",IF($R1783="B",INDEX($M$4:$M$2003,$S1783),INDEX($L$4:$L$2003,$S1783))))</f>
        <v/>
      </c>
      <c r="B1783" s="4">
        <f>IF($R1783="","",IF($R1783="T",$K$3,IF($R1783="B",COUNTIFS($M$4:$M$2003,INDEX($M$4:$M$2003,$S1783),$N$4:$N$2003,1),1)))</f>
        <v/>
      </c>
      <c r="L1783">
        <f>IF($K$1="","",IFERROR(INDEX(Lines!$A:$AA,ROW()-2,$K$1),""))</f>
        <v/>
      </c>
      <c r="M1783">
        <f>IF($K$2="","",IFERROR(INDEX(Lines!$A:$AA,ROW()-2,$K$2),""))</f>
        <v/>
      </c>
      <c r="N1783">
        <f>IF(AND(L1783&lt;&gt;"",LEFT(L1783,1)="N",M1783&lt;&gt;"PICKING",M1783&lt;&gt;""),1,0)</f>
        <v/>
      </c>
      <c r="O1783">
        <f>IF(N1783=1,M1783&amp;"|"&amp;L1783,REPT("z",40))</f>
        <v/>
      </c>
      <c r="P1783">
        <f>IF(N1783=1,COUNTIF($O$4:$O$2003,"&lt;"&amp;O1783)+1,"")</f>
        <v/>
      </c>
      <c r="Q1783">
        <f>IF(OR($R1782="",$R1782="T"),"",IF($R1782="B",$Q1782,IF($Q1782+1&gt;$K$3,"",$Q1782+1)))</f>
        <v/>
      </c>
      <c r="R1783">
        <f>IF(OR($R1782="",$R1782="T"),"",IF($R1782="B","S",IF($Q1782+1&gt;$K$3,"T",IF(INDEX($M$4:$M$2003,MATCH($Q1782+1,$P$4:$P$2003,0))&lt;&gt;INDEX($M$4:$M$2003,MATCH($Q1782,$P$4:$P$2003,0)),"B","S"))))</f>
        <v/>
      </c>
      <c r="S1783">
        <f>IF(Q1783="","",IFERROR(MATCH(Q1783,$P$4:$P$2003,0),""))</f>
        <v/>
      </c>
    </row>
    <row r="1784">
      <c r="A1784" s="4">
        <f>IF($R1784="","",IF($R1784="T","Gesamtergebnis",IF($R1784="B",INDEX($M$4:$M$2003,$S1784),INDEX($L$4:$L$2003,$S1784))))</f>
        <v/>
      </c>
      <c r="B1784" s="4">
        <f>IF($R1784="","",IF($R1784="T",$K$3,IF($R1784="B",COUNTIFS($M$4:$M$2003,INDEX($M$4:$M$2003,$S1784),$N$4:$N$2003,1),1)))</f>
        <v/>
      </c>
      <c r="L1784">
        <f>IF($K$1="","",IFERROR(INDEX(Lines!$A:$AA,ROW()-2,$K$1),""))</f>
        <v/>
      </c>
      <c r="M1784">
        <f>IF($K$2="","",IFERROR(INDEX(Lines!$A:$AA,ROW()-2,$K$2),""))</f>
        <v/>
      </c>
      <c r="N1784">
        <f>IF(AND(L1784&lt;&gt;"",LEFT(L1784,1)="N",M1784&lt;&gt;"PICKING",M1784&lt;&gt;""),1,0)</f>
        <v/>
      </c>
      <c r="O1784">
        <f>IF(N1784=1,M1784&amp;"|"&amp;L1784,REPT("z",40))</f>
        <v/>
      </c>
      <c r="P1784">
        <f>IF(N1784=1,COUNTIF($O$4:$O$2003,"&lt;"&amp;O1784)+1,"")</f>
        <v/>
      </c>
      <c r="Q1784">
        <f>IF(OR($R1783="",$R1783="T"),"",IF($R1783="B",$Q1783,IF($Q1783+1&gt;$K$3,"",$Q1783+1)))</f>
        <v/>
      </c>
      <c r="R1784">
        <f>IF(OR($R1783="",$R1783="T"),"",IF($R1783="B","S",IF($Q1783+1&gt;$K$3,"T",IF(INDEX($M$4:$M$2003,MATCH($Q1783+1,$P$4:$P$2003,0))&lt;&gt;INDEX($M$4:$M$2003,MATCH($Q1783,$P$4:$P$2003,0)),"B","S"))))</f>
        <v/>
      </c>
      <c r="S1784">
        <f>IF(Q1784="","",IFERROR(MATCH(Q1784,$P$4:$P$2003,0),""))</f>
        <v/>
      </c>
    </row>
    <row r="1785">
      <c r="A1785" s="4">
        <f>IF($R1785="","",IF($R1785="T","Gesamtergebnis",IF($R1785="B",INDEX($M$4:$M$2003,$S1785),INDEX($L$4:$L$2003,$S1785))))</f>
        <v/>
      </c>
      <c r="B1785" s="4">
        <f>IF($R1785="","",IF($R1785="T",$K$3,IF($R1785="B",COUNTIFS($M$4:$M$2003,INDEX($M$4:$M$2003,$S1785),$N$4:$N$2003,1),1)))</f>
        <v/>
      </c>
      <c r="L1785">
        <f>IF($K$1="","",IFERROR(INDEX(Lines!$A:$AA,ROW()-2,$K$1),""))</f>
        <v/>
      </c>
      <c r="M1785">
        <f>IF($K$2="","",IFERROR(INDEX(Lines!$A:$AA,ROW()-2,$K$2),""))</f>
        <v/>
      </c>
      <c r="N1785">
        <f>IF(AND(L1785&lt;&gt;"",LEFT(L1785,1)="N",M1785&lt;&gt;"PICKING",M1785&lt;&gt;""),1,0)</f>
        <v/>
      </c>
      <c r="O1785">
        <f>IF(N1785=1,M1785&amp;"|"&amp;L1785,REPT("z",40))</f>
        <v/>
      </c>
      <c r="P1785">
        <f>IF(N1785=1,COUNTIF($O$4:$O$2003,"&lt;"&amp;O1785)+1,"")</f>
        <v/>
      </c>
      <c r="Q1785">
        <f>IF(OR($R1784="",$R1784="T"),"",IF($R1784="B",$Q1784,IF($Q1784+1&gt;$K$3,"",$Q1784+1)))</f>
        <v/>
      </c>
      <c r="R1785">
        <f>IF(OR($R1784="",$R1784="T"),"",IF($R1784="B","S",IF($Q1784+1&gt;$K$3,"T",IF(INDEX($M$4:$M$2003,MATCH($Q1784+1,$P$4:$P$2003,0))&lt;&gt;INDEX($M$4:$M$2003,MATCH($Q1784,$P$4:$P$2003,0)),"B","S"))))</f>
        <v/>
      </c>
      <c r="S1785">
        <f>IF(Q1785="","",IFERROR(MATCH(Q1785,$P$4:$P$2003,0),""))</f>
        <v/>
      </c>
    </row>
    <row r="1786">
      <c r="A1786" s="4">
        <f>IF($R1786="","",IF($R1786="T","Gesamtergebnis",IF($R1786="B",INDEX($M$4:$M$2003,$S1786),INDEX($L$4:$L$2003,$S1786))))</f>
        <v/>
      </c>
      <c r="B1786" s="4">
        <f>IF($R1786="","",IF($R1786="T",$K$3,IF($R1786="B",COUNTIFS($M$4:$M$2003,INDEX($M$4:$M$2003,$S1786),$N$4:$N$2003,1),1)))</f>
        <v/>
      </c>
      <c r="L1786">
        <f>IF($K$1="","",IFERROR(INDEX(Lines!$A:$AA,ROW()-2,$K$1),""))</f>
        <v/>
      </c>
      <c r="M1786">
        <f>IF($K$2="","",IFERROR(INDEX(Lines!$A:$AA,ROW()-2,$K$2),""))</f>
        <v/>
      </c>
      <c r="N1786">
        <f>IF(AND(L1786&lt;&gt;"",LEFT(L1786,1)="N",M1786&lt;&gt;"PICKING",M1786&lt;&gt;""),1,0)</f>
        <v/>
      </c>
      <c r="O1786">
        <f>IF(N1786=1,M1786&amp;"|"&amp;L1786,REPT("z",40))</f>
        <v/>
      </c>
      <c r="P1786">
        <f>IF(N1786=1,COUNTIF($O$4:$O$2003,"&lt;"&amp;O1786)+1,"")</f>
        <v/>
      </c>
      <c r="Q1786">
        <f>IF(OR($R1785="",$R1785="T"),"",IF($R1785="B",$Q1785,IF($Q1785+1&gt;$K$3,"",$Q1785+1)))</f>
        <v/>
      </c>
      <c r="R1786">
        <f>IF(OR($R1785="",$R1785="T"),"",IF($R1785="B","S",IF($Q1785+1&gt;$K$3,"T",IF(INDEX($M$4:$M$2003,MATCH($Q1785+1,$P$4:$P$2003,0))&lt;&gt;INDEX($M$4:$M$2003,MATCH($Q1785,$P$4:$P$2003,0)),"B","S"))))</f>
        <v/>
      </c>
      <c r="S1786">
        <f>IF(Q1786="","",IFERROR(MATCH(Q1786,$P$4:$P$2003,0),""))</f>
        <v/>
      </c>
    </row>
    <row r="1787">
      <c r="A1787" s="4">
        <f>IF($R1787="","",IF($R1787="T","Gesamtergebnis",IF($R1787="B",INDEX($M$4:$M$2003,$S1787),INDEX($L$4:$L$2003,$S1787))))</f>
        <v/>
      </c>
      <c r="B1787" s="4">
        <f>IF($R1787="","",IF($R1787="T",$K$3,IF($R1787="B",COUNTIFS($M$4:$M$2003,INDEX($M$4:$M$2003,$S1787),$N$4:$N$2003,1),1)))</f>
        <v/>
      </c>
      <c r="L1787">
        <f>IF($K$1="","",IFERROR(INDEX(Lines!$A:$AA,ROW()-2,$K$1),""))</f>
        <v/>
      </c>
      <c r="M1787">
        <f>IF($K$2="","",IFERROR(INDEX(Lines!$A:$AA,ROW()-2,$K$2),""))</f>
        <v/>
      </c>
      <c r="N1787">
        <f>IF(AND(L1787&lt;&gt;"",LEFT(L1787,1)="N",M1787&lt;&gt;"PICKING",M1787&lt;&gt;""),1,0)</f>
        <v/>
      </c>
      <c r="O1787">
        <f>IF(N1787=1,M1787&amp;"|"&amp;L1787,REPT("z",40))</f>
        <v/>
      </c>
      <c r="P1787">
        <f>IF(N1787=1,COUNTIF($O$4:$O$2003,"&lt;"&amp;O1787)+1,"")</f>
        <v/>
      </c>
      <c r="Q1787">
        <f>IF(OR($R1786="",$R1786="T"),"",IF($R1786="B",$Q1786,IF($Q1786+1&gt;$K$3,"",$Q1786+1)))</f>
        <v/>
      </c>
      <c r="R1787">
        <f>IF(OR($R1786="",$R1786="T"),"",IF($R1786="B","S",IF($Q1786+1&gt;$K$3,"T",IF(INDEX($M$4:$M$2003,MATCH($Q1786+1,$P$4:$P$2003,0))&lt;&gt;INDEX($M$4:$M$2003,MATCH($Q1786,$P$4:$P$2003,0)),"B","S"))))</f>
        <v/>
      </c>
      <c r="S1787">
        <f>IF(Q1787="","",IFERROR(MATCH(Q1787,$P$4:$P$2003,0),""))</f>
        <v/>
      </c>
    </row>
    <row r="1788">
      <c r="A1788" s="4">
        <f>IF($R1788="","",IF($R1788="T","Gesamtergebnis",IF($R1788="B",INDEX($M$4:$M$2003,$S1788),INDEX($L$4:$L$2003,$S1788))))</f>
        <v/>
      </c>
      <c r="B1788" s="4">
        <f>IF($R1788="","",IF($R1788="T",$K$3,IF($R1788="B",COUNTIFS($M$4:$M$2003,INDEX($M$4:$M$2003,$S1788),$N$4:$N$2003,1),1)))</f>
        <v/>
      </c>
      <c r="L1788">
        <f>IF($K$1="","",IFERROR(INDEX(Lines!$A:$AA,ROW()-2,$K$1),""))</f>
        <v/>
      </c>
      <c r="M1788">
        <f>IF($K$2="","",IFERROR(INDEX(Lines!$A:$AA,ROW()-2,$K$2),""))</f>
        <v/>
      </c>
      <c r="N1788">
        <f>IF(AND(L1788&lt;&gt;"",LEFT(L1788,1)="N",M1788&lt;&gt;"PICKING",M1788&lt;&gt;""),1,0)</f>
        <v/>
      </c>
      <c r="O1788">
        <f>IF(N1788=1,M1788&amp;"|"&amp;L1788,REPT("z",40))</f>
        <v/>
      </c>
      <c r="P1788">
        <f>IF(N1788=1,COUNTIF($O$4:$O$2003,"&lt;"&amp;O1788)+1,"")</f>
        <v/>
      </c>
      <c r="Q1788">
        <f>IF(OR($R1787="",$R1787="T"),"",IF($R1787="B",$Q1787,IF($Q1787+1&gt;$K$3,"",$Q1787+1)))</f>
        <v/>
      </c>
      <c r="R1788">
        <f>IF(OR($R1787="",$R1787="T"),"",IF($R1787="B","S",IF($Q1787+1&gt;$K$3,"T",IF(INDEX($M$4:$M$2003,MATCH($Q1787+1,$P$4:$P$2003,0))&lt;&gt;INDEX($M$4:$M$2003,MATCH($Q1787,$P$4:$P$2003,0)),"B","S"))))</f>
        <v/>
      </c>
      <c r="S1788">
        <f>IF(Q1788="","",IFERROR(MATCH(Q1788,$P$4:$P$2003,0),""))</f>
        <v/>
      </c>
    </row>
    <row r="1789">
      <c r="A1789" s="4">
        <f>IF($R1789="","",IF($R1789="T","Gesamtergebnis",IF($R1789="B",INDEX($M$4:$M$2003,$S1789),INDEX($L$4:$L$2003,$S1789))))</f>
        <v/>
      </c>
      <c r="B1789" s="4">
        <f>IF($R1789="","",IF($R1789="T",$K$3,IF($R1789="B",COUNTIFS($M$4:$M$2003,INDEX($M$4:$M$2003,$S1789),$N$4:$N$2003,1),1)))</f>
        <v/>
      </c>
      <c r="L1789">
        <f>IF($K$1="","",IFERROR(INDEX(Lines!$A:$AA,ROW()-2,$K$1),""))</f>
        <v/>
      </c>
      <c r="M1789">
        <f>IF($K$2="","",IFERROR(INDEX(Lines!$A:$AA,ROW()-2,$K$2),""))</f>
        <v/>
      </c>
      <c r="N1789">
        <f>IF(AND(L1789&lt;&gt;"",LEFT(L1789,1)="N",M1789&lt;&gt;"PICKING",M1789&lt;&gt;""),1,0)</f>
        <v/>
      </c>
      <c r="O1789">
        <f>IF(N1789=1,M1789&amp;"|"&amp;L1789,REPT("z",40))</f>
        <v/>
      </c>
      <c r="P1789">
        <f>IF(N1789=1,COUNTIF($O$4:$O$2003,"&lt;"&amp;O1789)+1,"")</f>
        <v/>
      </c>
      <c r="Q1789">
        <f>IF(OR($R1788="",$R1788="T"),"",IF($R1788="B",$Q1788,IF($Q1788+1&gt;$K$3,"",$Q1788+1)))</f>
        <v/>
      </c>
      <c r="R1789">
        <f>IF(OR($R1788="",$R1788="T"),"",IF($R1788="B","S",IF($Q1788+1&gt;$K$3,"T",IF(INDEX($M$4:$M$2003,MATCH($Q1788+1,$P$4:$P$2003,0))&lt;&gt;INDEX($M$4:$M$2003,MATCH($Q1788,$P$4:$P$2003,0)),"B","S"))))</f>
        <v/>
      </c>
      <c r="S1789">
        <f>IF(Q1789="","",IFERROR(MATCH(Q1789,$P$4:$P$2003,0),""))</f>
        <v/>
      </c>
    </row>
    <row r="1790">
      <c r="A1790" s="4">
        <f>IF($R1790="","",IF($R1790="T","Gesamtergebnis",IF($R1790="B",INDEX($M$4:$M$2003,$S1790),INDEX($L$4:$L$2003,$S1790))))</f>
        <v/>
      </c>
      <c r="B1790" s="4">
        <f>IF($R1790="","",IF($R1790="T",$K$3,IF($R1790="B",COUNTIFS($M$4:$M$2003,INDEX($M$4:$M$2003,$S1790),$N$4:$N$2003,1),1)))</f>
        <v/>
      </c>
      <c r="L1790">
        <f>IF($K$1="","",IFERROR(INDEX(Lines!$A:$AA,ROW()-2,$K$1),""))</f>
        <v/>
      </c>
      <c r="M1790">
        <f>IF($K$2="","",IFERROR(INDEX(Lines!$A:$AA,ROW()-2,$K$2),""))</f>
        <v/>
      </c>
      <c r="N1790">
        <f>IF(AND(L1790&lt;&gt;"",LEFT(L1790,1)="N",M1790&lt;&gt;"PICKING",M1790&lt;&gt;""),1,0)</f>
        <v/>
      </c>
      <c r="O1790">
        <f>IF(N1790=1,M1790&amp;"|"&amp;L1790,REPT("z",40))</f>
        <v/>
      </c>
      <c r="P1790">
        <f>IF(N1790=1,COUNTIF($O$4:$O$2003,"&lt;"&amp;O1790)+1,"")</f>
        <v/>
      </c>
      <c r="Q1790">
        <f>IF(OR($R1789="",$R1789="T"),"",IF($R1789="B",$Q1789,IF($Q1789+1&gt;$K$3,"",$Q1789+1)))</f>
        <v/>
      </c>
      <c r="R1790">
        <f>IF(OR($R1789="",$R1789="T"),"",IF($R1789="B","S",IF($Q1789+1&gt;$K$3,"T",IF(INDEX($M$4:$M$2003,MATCH($Q1789+1,$P$4:$P$2003,0))&lt;&gt;INDEX($M$4:$M$2003,MATCH($Q1789,$P$4:$P$2003,0)),"B","S"))))</f>
        <v/>
      </c>
      <c r="S1790">
        <f>IF(Q1790="","",IFERROR(MATCH(Q1790,$P$4:$P$2003,0),""))</f>
        <v/>
      </c>
    </row>
    <row r="1791">
      <c r="A1791" s="4">
        <f>IF($R1791="","",IF($R1791="T","Gesamtergebnis",IF($R1791="B",INDEX($M$4:$M$2003,$S1791),INDEX($L$4:$L$2003,$S1791))))</f>
        <v/>
      </c>
      <c r="B1791" s="4">
        <f>IF($R1791="","",IF($R1791="T",$K$3,IF($R1791="B",COUNTIFS($M$4:$M$2003,INDEX($M$4:$M$2003,$S1791),$N$4:$N$2003,1),1)))</f>
        <v/>
      </c>
      <c r="L1791">
        <f>IF($K$1="","",IFERROR(INDEX(Lines!$A:$AA,ROW()-2,$K$1),""))</f>
        <v/>
      </c>
      <c r="M1791">
        <f>IF($K$2="","",IFERROR(INDEX(Lines!$A:$AA,ROW()-2,$K$2),""))</f>
        <v/>
      </c>
      <c r="N1791">
        <f>IF(AND(L1791&lt;&gt;"",LEFT(L1791,1)="N",M1791&lt;&gt;"PICKING",M1791&lt;&gt;""),1,0)</f>
        <v/>
      </c>
      <c r="O1791">
        <f>IF(N1791=1,M1791&amp;"|"&amp;L1791,REPT("z",40))</f>
        <v/>
      </c>
      <c r="P1791">
        <f>IF(N1791=1,COUNTIF($O$4:$O$2003,"&lt;"&amp;O1791)+1,"")</f>
        <v/>
      </c>
      <c r="Q1791">
        <f>IF(OR($R1790="",$R1790="T"),"",IF($R1790="B",$Q1790,IF($Q1790+1&gt;$K$3,"",$Q1790+1)))</f>
        <v/>
      </c>
      <c r="R1791">
        <f>IF(OR($R1790="",$R1790="T"),"",IF($R1790="B","S",IF($Q1790+1&gt;$K$3,"T",IF(INDEX($M$4:$M$2003,MATCH($Q1790+1,$P$4:$P$2003,0))&lt;&gt;INDEX($M$4:$M$2003,MATCH($Q1790,$P$4:$P$2003,0)),"B","S"))))</f>
        <v/>
      </c>
      <c r="S1791">
        <f>IF(Q1791="","",IFERROR(MATCH(Q1791,$P$4:$P$2003,0),""))</f>
        <v/>
      </c>
    </row>
    <row r="1792">
      <c r="A1792" s="4">
        <f>IF($R1792="","",IF($R1792="T","Gesamtergebnis",IF($R1792="B",INDEX($M$4:$M$2003,$S1792),INDEX($L$4:$L$2003,$S1792))))</f>
        <v/>
      </c>
      <c r="B1792" s="4">
        <f>IF($R1792="","",IF($R1792="T",$K$3,IF($R1792="B",COUNTIFS($M$4:$M$2003,INDEX($M$4:$M$2003,$S1792),$N$4:$N$2003,1),1)))</f>
        <v/>
      </c>
      <c r="L1792">
        <f>IF($K$1="","",IFERROR(INDEX(Lines!$A:$AA,ROW()-2,$K$1),""))</f>
        <v/>
      </c>
      <c r="M1792">
        <f>IF($K$2="","",IFERROR(INDEX(Lines!$A:$AA,ROW()-2,$K$2),""))</f>
        <v/>
      </c>
      <c r="N1792">
        <f>IF(AND(L1792&lt;&gt;"",LEFT(L1792,1)="N",M1792&lt;&gt;"PICKING",M1792&lt;&gt;""),1,0)</f>
        <v/>
      </c>
      <c r="O1792">
        <f>IF(N1792=1,M1792&amp;"|"&amp;L1792,REPT("z",40))</f>
        <v/>
      </c>
      <c r="P1792">
        <f>IF(N1792=1,COUNTIF($O$4:$O$2003,"&lt;"&amp;O1792)+1,"")</f>
        <v/>
      </c>
      <c r="Q1792">
        <f>IF(OR($R1791="",$R1791="T"),"",IF($R1791="B",$Q1791,IF($Q1791+1&gt;$K$3,"",$Q1791+1)))</f>
        <v/>
      </c>
      <c r="R1792">
        <f>IF(OR($R1791="",$R1791="T"),"",IF($R1791="B","S",IF($Q1791+1&gt;$K$3,"T",IF(INDEX($M$4:$M$2003,MATCH($Q1791+1,$P$4:$P$2003,0))&lt;&gt;INDEX($M$4:$M$2003,MATCH($Q1791,$P$4:$P$2003,0)),"B","S"))))</f>
        <v/>
      </c>
      <c r="S1792">
        <f>IF(Q1792="","",IFERROR(MATCH(Q1792,$P$4:$P$2003,0),""))</f>
        <v/>
      </c>
    </row>
    <row r="1793">
      <c r="A1793" s="4">
        <f>IF($R1793="","",IF($R1793="T","Gesamtergebnis",IF($R1793="B",INDEX($M$4:$M$2003,$S1793),INDEX($L$4:$L$2003,$S1793))))</f>
        <v/>
      </c>
      <c r="B1793" s="4">
        <f>IF($R1793="","",IF($R1793="T",$K$3,IF($R1793="B",COUNTIFS($M$4:$M$2003,INDEX($M$4:$M$2003,$S1793),$N$4:$N$2003,1),1)))</f>
        <v/>
      </c>
      <c r="L1793">
        <f>IF($K$1="","",IFERROR(INDEX(Lines!$A:$AA,ROW()-2,$K$1),""))</f>
        <v/>
      </c>
      <c r="M1793">
        <f>IF($K$2="","",IFERROR(INDEX(Lines!$A:$AA,ROW()-2,$K$2),""))</f>
        <v/>
      </c>
      <c r="N1793">
        <f>IF(AND(L1793&lt;&gt;"",LEFT(L1793,1)="N",M1793&lt;&gt;"PICKING",M1793&lt;&gt;""),1,0)</f>
        <v/>
      </c>
      <c r="O1793">
        <f>IF(N1793=1,M1793&amp;"|"&amp;L1793,REPT("z",40))</f>
        <v/>
      </c>
      <c r="P1793">
        <f>IF(N1793=1,COUNTIF($O$4:$O$2003,"&lt;"&amp;O1793)+1,"")</f>
        <v/>
      </c>
      <c r="Q1793">
        <f>IF(OR($R1792="",$R1792="T"),"",IF($R1792="B",$Q1792,IF($Q1792+1&gt;$K$3,"",$Q1792+1)))</f>
        <v/>
      </c>
      <c r="R1793">
        <f>IF(OR($R1792="",$R1792="T"),"",IF($R1792="B","S",IF($Q1792+1&gt;$K$3,"T",IF(INDEX($M$4:$M$2003,MATCH($Q1792+1,$P$4:$P$2003,0))&lt;&gt;INDEX($M$4:$M$2003,MATCH($Q1792,$P$4:$P$2003,0)),"B","S"))))</f>
        <v/>
      </c>
      <c r="S1793">
        <f>IF(Q1793="","",IFERROR(MATCH(Q1793,$P$4:$P$2003,0),""))</f>
        <v/>
      </c>
    </row>
    <row r="1794">
      <c r="A1794" s="4">
        <f>IF($R1794="","",IF($R1794="T","Gesamtergebnis",IF($R1794="B",INDEX($M$4:$M$2003,$S1794),INDEX($L$4:$L$2003,$S1794))))</f>
        <v/>
      </c>
      <c r="B1794" s="4">
        <f>IF($R1794="","",IF($R1794="T",$K$3,IF($R1794="B",COUNTIFS($M$4:$M$2003,INDEX($M$4:$M$2003,$S1794),$N$4:$N$2003,1),1)))</f>
        <v/>
      </c>
      <c r="L1794">
        <f>IF($K$1="","",IFERROR(INDEX(Lines!$A:$AA,ROW()-2,$K$1),""))</f>
        <v/>
      </c>
      <c r="M1794">
        <f>IF($K$2="","",IFERROR(INDEX(Lines!$A:$AA,ROW()-2,$K$2),""))</f>
        <v/>
      </c>
      <c r="N1794">
        <f>IF(AND(L1794&lt;&gt;"",LEFT(L1794,1)="N",M1794&lt;&gt;"PICKING",M1794&lt;&gt;""),1,0)</f>
        <v/>
      </c>
      <c r="O1794">
        <f>IF(N1794=1,M1794&amp;"|"&amp;L1794,REPT("z",40))</f>
        <v/>
      </c>
      <c r="P1794">
        <f>IF(N1794=1,COUNTIF($O$4:$O$2003,"&lt;"&amp;O1794)+1,"")</f>
        <v/>
      </c>
      <c r="Q1794">
        <f>IF(OR($R1793="",$R1793="T"),"",IF($R1793="B",$Q1793,IF($Q1793+1&gt;$K$3,"",$Q1793+1)))</f>
        <v/>
      </c>
      <c r="R1794">
        <f>IF(OR($R1793="",$R1793="T"),"",IF($R1793="B","S",IF($Q1793+1&gt;$K$3,"T",IF(INDEX($M$4:$M$2003,MATCH($Q1793+1,$P$4:$P$2003,0))&lt;&gt;INDEX($M$4:$M$2003,MATCH($Q1793,$P$4:$P$2003,0)),"B","S"))))</f>
        <v/>
      </c>
      <c r="S1794">
        <f>IF(Q1794="","",IFERROR(MATCH(Q1794,$P$4:$P$2003,0),""))</f>
        <v/>
      </c>
    </row>
    <row r="1795">
      <c r="A1795" s="4">
        <f>IF($R1795="","",IF($R1795="T","Gesamtergebnis",IF($R1795="B",INDEX($M$4:$M$2003,$S1795),INDEX($L$4:$L$2003,$S1795))))</f>
        <v/>
      </c>
      <c r="B1795" s="4">
        <f>IF($R1795="","",IF($R1795="T",$K$3,IF($R1795="B",COUNTIFS($M$4:$M$2003,INDEX($M$4:$M$2003,$S1795),$N$4:$N$2003,1),1)))</f>
        <v/>
      </c>
      <c r="L1795">
        <f>IF($K$1="","",IFERROR(INDEX(Lines!$A:$AA,ROW()-2,$K$1),""))</f>
        <v/>
      </c>
      <c r="M1795">
        <f>IF($K$2="","",IFERROR(INDEX(Lines!$A:$AA,ROW()-2,$K$2),""))</f>
        <v/>
      </c>
      <c r="N1795">
        <f>IF(AND(L1795&lt;&gt;"",LEFT(L1795,1)="N",M1795&lt;&gt;"PICKING",M1795&lt;&gt;""),1,0)</f>
        <v/>
      </c>
      <c r="O1795">
        <f>IF(N1795=1,M1795&amp;"|"&amp;L1795,REPT("z",40))</f>
        <v/>
      </c>
      <c r="P1795">
        <f>IF(N1795=1,COUNTIF($O$4:$O$2003,"&lt;"&amp;O1795)+1,"")</f>
        <v/>
      </c>
      <c r="Q1795">
        <f>IF(OR($R1794="",$R1794="T"),"",IF($R1794="B",$Q1794,IF($Q1794+1&gt;$K$3,"",$Q1794+1)))</f>
        <v/>
      </c>
      <c r="R1795">
        <f>IF(OR($R1794="",$R1794="T"),"",IF($R1794="B","S",IF($Q1794+1&gt;$K$3,"T",IF(INDEX($M$4:$M$2003,MATCH($Q1794+1,$P$4:$P$2003,0))&lt;&gt;INDEX($M$4:$M$2003,MATCH($Q1794,$P$4:$P$2003,0)),"B","S"))))</f>
        <v/>
      </c>
      <c r="S1795">
        <f>IF(Q1795="","",IFERROR(MATCH(Q1795,$P$4:$P$2003,0),""))</f>
        <v/>
      </c>
    </row>
    <row r="1796">
      <c r="A1796" s="4">
        <f>IF($R1796="","",IF($R1796="T","Gesamtergebnis",IF($R1796="B",INDEX($M$4:$M$2003,$S1796),INDEX($L$4:$L$2003,$S1796))))</f>
        <v/>
      </c>
      <c r="B1796" s="4">
        <f>IF($R1796="","",IF($R1796="T",$K$3,IF($R1796="B",COUNTIFS($M$4:$M$2003,INDEX($M$4:$M$2003,$S1796),$N$4:$N$2003,1),1)))</f>
        <v/>
      </c>
      <c r="L1796">
        <f>IF($K$1="","",IFERROR(INDEX(Lines!$A:$AA,ROW()-2,$K$1),""))</f>
        <v/>
      </c>
      <c r="M1796">
        <f>IF($K$2="","",IFERROR(INDEX(Lines!$A:$AA,ROW()-2,$K$2),""))</f>
        <v/>
      </c>
      <c r="N1796">
        <f>IF(AND(L1796&lt;&gt;"",LEFT(L1796,1)="N",M1796&lt;&gt;"PICKING",M1796&lt;&gt;""),1,0)</f>
        <v/>
      </c>
      <c r="O1796">
        <f>IF(N1796=1,M1796&amp;"|"&amp;L1796,REPT("z",40))</f>
        <v/>
      </c>
      <c r="P1796">
        <f>IF(N1796=1,COUNTIF($O$4:$O$2003,"&lt;"&amp;O1796)+1,"")</f>
        <v/>
      </c>
      <c r="Q1796">
        <f>IF(OR($R1795="",$R1795="T"),"",IF($R1795="B",$Q1795,IF($Q1795+1&gt;$K$3,"",$Q1795+1)))</f>
        <v/>
      </c>
      <c r="R1796">
        <f>IF(OR($R1795="",$R1795="T"),"",IF($R1795="B","S",IF($Q1795+1&gt;$K$3,"T",IF(INDEX($M$4:$M$2003,MATCH($Q1795+1,$P$4:$P$2003,0))&lt;&gt;INDEX($M$4:$M$2003,MATCH($Q1795,$P$4:$P$2003,0)),"B","S"))))</f>
        <v/>
      </c>
      <c r="S1796">
        <f>IF(Q1796="","",IFERROR(MATCH(Q1796,$P$4:$P$2003,0),""))</f>
        <v/>
      </c>
    </row>
    <row r="1797">
      <c r="A1797" s="4">
        <f>IF($R1797="","",IF($R1797="T","Gesamtergebnis",IF($R1797="B",INDEX($M$4:$M$2003,$S1797),INDEX($L$4:$L$2003,$S1797))))</f>
        <v/>
      </c>
      <c r="B1797" s="4">
        <f>IF($R1797="","",IF($R1797="T",$K$3,IF($R1797="B",COUNTIFS($M$4:$M$2003,INDEX($M$4:$M$2003,$S1797),$N$4:$N$2003,1),1)))</f>
        <v/>
      </c>
      <c r="L1797">
        <f>IF($K$1="","",IFERROR(INDEX(Lines!$A:$AA,ROW()-2,$K$1),""))</f>
        <v/>
      </c>
      <c r="M1797">
        <f>IF($K$2="","",IFERROR(INDEX(Lines!$A:$AA,ROW()-2,$K$2),""))</f>
        <v/>
      </c>
      <c r="N1797">
        <f>IF(AND(L1797&lt;&gt;"",LEFT(L1797,1)="N",M1797&lt;&gt;"PICKING",M1797&lt;&gt;""),1,0)</f>
        <v/>
      </c>
      <c r="O1797">
        <f>IF(N1797=1,M1797&amp;"|"&amp;L1797,REPT("z",40))</f>
        <v/>
      </c>
      <c r="P1797">
        <f>IF(N1797=1,COUNTIF($O$4:$O$2003,"&lt;"&amp;O1797)+1,"")</f>
        <v/>
      </c>
      <c r="Q1797">
        <f>IF(OR($R1796="",$R1796="T"),"",IF($R1796="B",$Q1796,IF($Q1796+1&gt;$K$3,"",$Q1796+1)))</f>
        <v/>
      </c>
      <c r="R1797">
        <f>IF(OR($R1796="",$R1796="T"),"",IF($R1796="B","S",IF($Q1796+1&gt;$K$3,"T",IF(INDEX($M$4:$M$2003,MATCH($Q1796+1,$P$4:$P$2003,0))&lt;&gt;INDEX($M$4:$M$2003,MATCH($Q1796,$P$4:$P$2003,0)),"B","S"))))</f>
        <v/>
      </c>
      <c r="S1797">
        <f>IF(Q1797="","",IFERROR(MATCH(Q1797,$P$4:$P$2003,0),""))</f>
        <v/>
      </c>
    </row>
    <row r="1798">
      <c r="A1798" s="4">
        <f>IF($R1798="","",IF($R1798="T","Gesamtergebnis",IF($R1798="B",INDEX($M$4:$M$2003,$S1798),INDEX($L$4:$L$2003,$S1798))))</f>
        <v/>
      </c>
      <c r="B1798" s="4">
        <f>IF($R1798="","",IF($R1798="T",$K$3,IF($R1798="B",COUNTIFS($M$4:$M$2003,INDEX($M$4:$M$2003,$S1798),$N$4:$N$2003,1),1)))</f>
        <v/>
      </c>
      <c r="L1798">
        <f>IF($K$1="","",IFERROR(INDEX(Lines!$A:$AA,ROW()-2,$K$1),""))</f>
        <v/>
      </c>
      <c r="M1798">
        <f>IF($K$2="","",IFERROR(INDEX(Lines!$A:$AA,ROW()-2,$K$2),""))</f>
        <v/>
      </c>
      <c r="N1798">
        <f>IF(AND(L1798&lt;&gt;"",LEFT(L1798,1)="N",M1798&lt;&gt;"PICKING",M1798&lt;&gt;""),1,0)</f>
        <v/>
      </c>
      <c r="O1798">
        <f>IF(N1798=1,M1798&amp;"|"&amp;L1798,REPT("z",40))</f>
        <v/>
      </c>
      <c r="P1798">
        <f>IF(N1798=1,COUNTIF($O$4:$O$2003,"&lt;"&amp;O1798)+1,"")</f>
        <v/>
      </c>
      <c r="Q1798">
        <f>IF(OR($R1797="",$R1797="T"),"",IF($R1797="B",$Q1797,IF($Q1797+1&gt;$K$3,"",$Q1797+1)))</f>
        <v/>
      </c>
      <c r="R1798">
        <f>IF(OR($R1797="",$R1797="T"),"",IF($R1797="B","S",IF($Q1797+1&gt;$K$3,"T",IF(INDEX($M$4:$M$2003,MATCH($Q1797+1,$P$4:$P$2003,0))&lt;&gt;INDEX($M$4:$M$2003,MATCH($Q1797,$P$4:$P$2003,0)),"B","S"))))</f>
        <v/>
      </c>
      <c r="S1798">
        <f>IF(Q1798="","",IFERROR(MATCH(Q1798,$P$4:$P$2003,0),""))</f>
        <v/>
      </c>
    </row>
    <row r="1799">
      <c r="A1799" s="4">
        <f>IF($R1799="","",IF($R1799="T","Gesamtergebnis",IF($R1799="B",INDEX($M$4:$M$2003,$S1799),INDEX($L$4:$L$2003,$S1799))))</f>
        <v/>
      </c>
      <c r="B1799" s="4">
        <f>IF($R1799="","",IF($R1799="T",$K$3,IF($R1799="B",COUNTIFS($M$4:$M$2003,INDEX($M$4:$M$2003,$S1799),$N$4:$N$2003,1),1)))</f>
        <v/>
      </c>
      <c r="L1799">
        <f>IF($K$1="","",IFERROR(INDEX(Lines!$A:$AA,ROW()-2,$K$1),""))</f>
        <v/>
      </c>
      <c r="M1799">
        <f>IF($K$2="","",IFERROR(INDEX(Lines!$A:$AA,ROW()-2,$K$2),""))</f>
        <v/>
      </c>
      <c r="N1799">
        <f>IF(AND(L1799&lt;&gt;"",LEFT(L1799,1)="N",M1799&lt;&gt;"PICKING",M1799&lt;&gt;""),1,0)</f>
        <v/>
      </c>
      <c r="O1799">
        <f>IF(N1799=1,M1799&amp;"|"&amp;L1799,REPT("z",40))</f>
        <v/>
      </c>
      <c r="P1799">
        <f>IF(N1799=1,COUNTIF($O$4:$O$2003,"&lt;"&amp;O1799)+1,"")</f>
        <v/>
      </c>
      <c r="Q1799">
        <f>IF(OR($R1798="",$R1798="T"),"",IF($R1798="B",$Q1798,IF($Q1798+1&gt;$K$3,"",$Q1798+1)))</f>
        <v/>
      </c>
      <c r="R1799">
        <f>IF(OR($R1798="",$R1798="T"),"",IF($R1798="B","S",IF($Q1798+1&gt;$K$3,"T",IF(INDEX($M$4:$M$2003,MATCH($Q1798+1,$P$4:$P$2003,0))&lt;&gt;INDEX($M$4:$M$2003,MATCH($Q1798,$P$4:$P$2003,0)),"B","S"))))</f>
        <v/>
      </c>
      <c r="S1799">
        <f>IF(Q1799="","",IFERROR(MATCH(Q1799,$P$4:$P$2003,0),""))</f>
        <v/>
      </c>
    </row>
    <row r="1800">
      <c r="A1800" s="4">
        <f>IF($R1800="","",IF($R1800="T","Gesamtergebnis",IF($R1800="B",INDEX($M$4:$M$2003,$S1800),INDEX($L$4:$L$2003,$S1800))))</f>
        <v/>
      </c>
      <c r="B1800" s="4">
        <f>IF($R1800="","",IF($R1800="T",$K$3,IF($R1800="B",COUNTIFS($M$4:$M$2003,INDEX($M$4:$M$2003,$S1800),$N$4:$N$2003,1),1)))</f>
        <v/>
      </c>
      <c r="L1800">
        <f>IF($K$1="","",IFERROR(INDEX(Lines!$A:$AA,ROW()-2,$K$1),""))</f>
        <v/>
      </c>
      <c r="M1800">
        <f>IF($K$2="","",IFERROR(INDEX(Lines!$A:$AA,ROW()-2,$K$2),""))</f>
        <v/>
      </c>
      <c r="N1800">
        <f>IF(AND(L1800&lt;&gt;"",LEFT(L1800,1)="N",M1800&lt;&gt;"PICKING",M1800&lt;&gt;""),1,0)</f>
        <v/>
      </c>
      <c r="O1800">
        <f>IF(N1800=1,M1800&amp;"|"&amp;L1800,REPT("z",40))</f>
        <v/>
      </c>
      <c r="P1800">
        <f>IF(N1800=1,COUNTIF($O$4:$O$2003,"&lt;"&amp;O1800)+1,"")</f>
        <v/>
      </c>
      <c r="Q1800">
        <f>IF(OR($R1799="",$R1799="T"),"",IF($R1799="B",$Q1799,IF($Q1799+1&gt;$K$3,"",$Q1799+1)))</f>
        <v/>
      </c>
      <c r="R1800">
        <f>IF(OR($R1799="",$R1799="T"),"",IF($R1799="B","S",IF($Q1799+1&gt;$K$3,"T",IF(INDEX($M$4:$M$2003,MATCH($Q1799+1,$P$4:$P$2003,0))&lt;&gt;INDEX($M$4:$M$2003,MATCH($Q1799,$P$4:$P$2003,0)),"B","S"))))</f>
        <v/>
      </c>
      <c r="S1800">
        <f>IF(Q1800="","",IFERROR(MATCH(Q1800,$P$4:$P$2003,0),""))</f>
        <v/>
      </c>
    </row>
    <row r="1801">
      <c r="A1801" s="4">
        <f>IF($R1801="","",IF($R1801="T","Gesamtergebnis",IF($R1801="B",INDEX($M$4:$M$2003,$S1801),INDEX($L$4:$L$2003,$S1801))))</f>
        <v/>
      </c>
      <c r="B1801" s="4">
        <f>IF($R1801="","",IF($R1801="T",$K$3,IF($R1801="B",COUNTIFS($M$4:$M$2003,INDEX($M$4:$M$2003,$S1801),$N$4:$N$2003,1),1)))</f>
        <v/>
      </c>
      <c r="L1801">
        <f>IF($K$1="","",IFERROR(INDEX(Lines!$A:$AA,ROW()-2,$K$1),""))</f>
        <v/>
      </c>
      <c r="M1801">
        <f>IF($K$2="","",IFERROR(INDEX(Lines!$A:$AA,ROW()-2,$K$2),""))</f>
        <v/>
      </c>
      <c r="N1801">
        <f>IF(AND(L1801&lt;&gt;"",LEFT(L1801,1)="N",M1801&lt;&gt;"PICKING",M1801&lt;&gt;""),1,0)</f>
        <v/>
      </c>
      <c r="O1801">
        <f>IF(N1801=1,M1801&amp;"|"&amp;L1801,REPT("z",40))</f>
        <v/>
      </c>
      <c r="P1801">
        <f>IF(N1801=1,COUNTIF($O$4:$O$2003,"&lt;"&amp;O1801)+1,"")</f>
        <v/>
      </c>
      <c r="Q1801">
        <f>IF(OR($R1800="",$R1800="T"),"",IF($R1800="B",$Q1800,IF($Q1800+1&gt;$K$3,"",$Q1800+1)))</f>
        <v/>
      </c>
      <c r="R1801">
        <f>IF(OR($R1800="",$R1800="T"),"",IF($R1800="B","S",IF($Q1800+1&gt;$K$3,"T",IF(INDEX($M$4:$M$2003,MATCH($Q1800+1,$P$4:$P$2003,0))&lt;&gt;INDEX($M$4:$M$2003,MATCH($Q1800,$P$4:$P$2003,0)),"B","S"))))</f>
        <v/>
      </c>
      <c r="S1801">
        <f>IF(Q1801="","",IFERROR(MATCH(Q1801,$P$4:$P$2003,0),""))</f>
        <v/>
      </c>
    </row>
    <row r="1802">
      <c r="A1802" s="4">
        <f>IF($R1802="","",IF($R1802="T","Gesamtergebnis",IF($R1802="B",INDEX($M$4:$M$2003,$S1802),INDEX($L$4:$L$2003,$S1802))))</f>
        <v/>
      </c>
      <c r="B1802" s="4">
        <f>IF($R1802="","",IF($R1802="T",$K$3,IF($R1802="B",COUNTIFS($M$4:$M$2003,INDEX($M$4:$M$2003,$S1802),$N$4:$N$2003,1),1)))</f>
        <v/>
      </c>
      <c r="L1802">
        <f>IF($K$1="","",IFERROR(INDEX(Lines!$A:$AA,ROW()-2,$K$1),""))</f>
        <v/>
      </c>
      <c r="M1802">
        <f>IF($K$2="","",IFERROR(INDEX(Lines!$A:$AA,ROW()-2,$K$2),""))</f>
        <v/>
      </c>
      <c r="N1802">
        <f>IF(AND(L1802&lt;&gt;"",LEFT(L1802,1)="N",M1802&lt;&gt;"PICKING",M1802&lt;&gt;""),1,0)</f>
        <v/>
      </c>
      <c r="O1802">
        <f>IF(N1802=1,M1802&amp;"|"&amp;L1802,REPT("z",40))</f>
        <v/>
      </c>
      <c r="P1802">
        <f>IF(N1802=1,COUNTIF($O$4:$O$2003,"&lt;"&amp;O1802)+1,"")</f>
        <v/>
      </c>
      <c r="Q1802">
        <f>IF(OR($R1801="",$R1801="T"),"",IF($R1801="B",$Q1801,IF($Q1801+1&gt;$K$3,"",$Q1801+1)))</f>
        <v/>
      </c>
      <c r="R1802">
        <f>IF(OR($R1801="",$R1801="T"),"",IF($R1801="B","S",IF($Q1801+1&gt;$K$3,"T",IF(INDEX($M$4:$M$2003,MATCH($Q1801+1,$P$4:$P$2003,0))&lt;&gt;INDEX($M$4:$M$2003,MATCH($Q1801,$P$4:$P$2003,0)),"B","S"))))</f>
        <v/>
      </c>
      <c r="S1802">
        <f>IF(Q1802="","",IFERROR(MATCH(Q1802,$P$4:$P$2003,0),""))</f>
        <v/>
      </c>
    </row>
    <row r="1803">
      <c r="A1803" s="4">
        <f>IF($R1803="","",IF($R1803="T","Gesamtergebnis",IF($R1803="B",INDEX($M$4:$M$2003,$S1803),INDEX($L$4:$L$2003,$S1803))))</f>
        <v/>
      </c>
      <c r="B1803" s="4">
        <f>IF($R1803="","",IF($R1803="T",$K$3,IF($R1803="B",COUNTIFS($M$4:$M$2003,INDEX($M$4:$M$2003,$S1803),$N$4:$N$2003,1),1)))</f>
        <v/>
      </c>
      <c r="L1803">
        <f>IF($K$1="","",IFERROR(INDEX(Lines!$A:$AA,ROW()-2,$K$1),""))</f>
        <v/>
      </c>
      <c r="M1803">
        <f>IF($K$2="","",IFERROR(INDEX(Lines!$A:$AA,ROW()-2,$K$2),""))</f>
        <v/>
      </c>
      <c r="N1803">
        <f>IF(AND(L1803&lt;&gt;"",LEFT(L1803,1)="N",M1803&lt;&gt;"PICKING",M1803&lt;&gt;""),1,0)</f>
        <v/>
      </c>
      <c r="O1803">
        <f>IF(N1803=1,M1803&amp;"|"&amp;L1803,REPT("z",40))</f>
        <v/>
      </c>
      <c r="P1803">
        <f>IF(N1803=1,COUNTIF($O$4:$O$2003,"&lt;"&amp;O1803)+1,"")</f>
        <v/>
      </c>
      <c r="Q1803">
        <f>IF(OR($R1802="",$R1802="T"),"",IF($R1802="B",$Q1802,IF($Q1802+1&gt;$K$3,"",$Q1802+1)))</f>
        <v/>
      </c>
      <c r="R1803">
        <f>IF(OR($R1802="",$R1802="T"),"",IF($R1802="B","S",IF($Q1802+1&gt;$K$3,"T",IF(INDEX($M$4:$M$2003,MATCH($Q1802+1,$P$4:$P$2003,0))&lt;&gt;INDEX($M$4:$M$2003,MATCH($Q1802,$P$4:$P$2003,0)),"B","S"))))</f>
        <v/>
      </c>
      <c r="S1803">
        <f>IF(Q1803="","",IFERROR(MATCH(Q1803,$P$4:$P$2003,0),""))</f>
        <v/>
      </c>
    </row>
    <row r="1804">
      <c r="A1804" s="4">
        <f>IF($R1804="","",IF($R1804="T","Gesamtergebnis",IF($R1804="B",INDEX($M$4:$M$2003,$S1804),INDEX($L$4:$L$2003,$S1804))))</f>
        <v/>
      </c>
      <c r="B1804" s="4">
        <f>IF($R1804="","",IF($R1804="T",$K$3,IF($R1804="B",COUNTIFS($M$4:$M$2003,INDEX($M$4:$M$2003,$S1804),$N$4:$N$2003,1),1)))</f>
        <v/>
      </c>
      <c r="L1804">
        <f>IF($K$1="","",IFERROR(INDEX(Lines!$A:$AA,ROW()-2,$K$1),""))</f>
        <v/>
      </c>
      <c r="M1804">
        <f>IF($K$2="","",IFERROR(INDEX(Lines!$A:$AA,ROW()-2,$K$2),""))</f>
        <v/>
      </c>
      <c r="N1804">
        <f>IF(AND(L1804&lt;&gt;"",LEFT(L1804,1)="N",M1804&lt;&gt;"PICKING",M1804&lt;&gt;""),1,0)</f>
        <v/>
      </c>
      <c r="O1804">
        <f>IF(N1804=1,M1804&amp;"|"&amp;L1804,REPT("z",40))</f>
        <v/>
      </c>
      <c r="P1804">
        <f>IF(N1804=1,COUNTIF($O$4:$O$2003,"&lt;"&amp;O1804)+1,"")</f>
        <v/>
      </c>
      <c r="Q1804">
        <f>IF(OR($R1803="",$R1803="T"),"",IF($R1803="B",$Q1803,IF($Q1803+1&gt;$K$3,"",$Q1803+1)))</f>
        <v/>
      </c>
      <c r="R1804">
        <f>IF(OR($R1803="",$R1803="T"),"",IF($R1803="B","S",IF($Q1803+1&gt;$K$3,"T",IF(INDEX($M$4:$M$2003,MATCH($Q1803+1,$P$4:$P$2003,0))&lt;&gt;INDEX($M$4:$M$2003,MATCH($Q1803,$P$4:$P$2003,0)),"B","S"))))</f>
        <v/>
      </c>
      <c r="S1804">
        <f>IF(Q1804="","",IFERROR(MATCH(Q1804,$P$4:$P$2003,0),""))</f>
        <v/>
      </c>
    </row>
    <row r="1805">
      <c r="A1805" s="4">
        <f>IF($R1805="","",IF($R1805="T","Gesamtergebnis",IF($R1805="B",INDEX($M$4:$M$2003,$S1805),INDEX($L$4:$L$2003,$S1805))))</f>
        <v/>
      </c>
      <c r="B1805" s="4">
        <f>IF($R1805="","",IF($R1805="T",$K$3,IF($R1805="B",COUNTIFS($M$4:$M$2003,INDEX($M$4:$M$2003,$S1805),$N$4:$N$2003,1),1)))</f>
        <v/>
      </c>
      <c r="L1805">
        <f>IF($K$1="","",IFERROR(INDEX(Lines!$A:$AA,ROW()-2,$K$1),""))</f>
        <v/>
      </c>
      <c r="M1805">
        <f>IF($K$2="","",IFERROR(INDEX(Lines!$A:$AA,ROW()-2,$K$2),""))</f>
        <v/>
      </c>
      <c r="N1805">
        <f>IF(AND(L1805&lt;&gt;"",LEFT(L1805,1)="N",M1805&lt;&gt;"PICKING",M1805&lt;&gt;""),1,0)</f>
        <v/>
      </c>
      <c r="O1805">
        <f>IF(N1805=1,M1805&amp;"|"&amp;L1805,REPT("z",40))</f>
        <v/>
      </c>
      <c r="P1805">
        <f>IF(N1805=1,COUNTIF($O$4:$O$2003,"&lt;"&amp;O1805)+1,"")</f>
        <v/>
      </c>
      <c r="Q1805">
        <f>IF(OR($R1804="",$R1804="T"),"",IF($R1804="B",$Q1804,IF($Q1804+1&gt;$K$3,"",$Q1804+1)))</f>
        <v/>
      </c>
      <c r="R1805">
        <f>IF(OR($R1804="",$R1804="T"),"",IF($R1804="B","S",IF($Q1804+1&gt;$K$3,"T",IF(INDEX($M$4:$M$2003,MATCH($Q1804+1,$P$4:$P$2003,0))&lt;&gt;INDEX($M$4:$M$2003,MATCH($Q1804,$P$4:$P$2003,0)),"B","S"))))</f>
        <v/>
      </c>
      <c r="S1805">
        <f>IF(Q1805="","",IFERROR(MATCH(Q1805,$P$4:$P$2003,0),""))</f>
        <v/>
      </c>
    </row>
    <row r="1806">
      <c r="A1806" s="4">
        <f>IF($R1806="","",IF($R1806="T","Gesamtergebnis",IF($R1806="B",INDEX($M$4:$M$2003,$S1806),INDEX($L$4:$L$2003,$S1806))))</f>
        <v/>
      </c>
      <c r="B1806" s="4">
        <f>IF($R1806="","",IF($R1806="T",$K$3,IF($R1806="B",COUNTIFS($M$4:$M$2003,INDEX($M$4:$M$2003,$S1806),$N$4:$N$2003,1),1)))</f>
        <v/>
      </c>
      <c r="L1806">
        <f>IF($K$1="","",IFERROR(INDEX(Lines!$A:$AA,ROW()-2,$K$1),""))</f>
        <v/>
      </c>
      <c r="M1806">
        <f>IF($K$2="","",IFERROR(INDEX(Lines!$A:$AA,ROW()-2,$K$2),""))</f>
        <v/>
      </c>
      <c r="N1806">
        <f>IF(AND(L1806&lt;&gt;"",LEFT(L1806,1)="N",M1806&lt;&gt;"PICKING",M1806&lt;&gt;""),1,0)</f>
        <v/>
      </c>
      <c r="O1806">
        <f>IF(N1806=1,M1806&amp;"|"&amp;L1806,REPT("z",40))</f>
        <v/>
      </c>
      <c r="P1806">
        <f>IF(N1806=1,COUNTIF($O$4:$O$2003,"&lt;"&amp;O1806)+1,"")</f>
        <v/>
      </c>
      <c r="Q1806">
        <f>IF(OR($R1805="",$R1805="T"),"",IF($R1805="B",$Q1805,IF($Q1805+1&gt;$K$3,"",$Q1805+1)))</f>
        <v/>
      </c>
      <c r="R1806">
        <f>IF(OR($R1805="",$R1805="T"),"",IF($R1805="B","S",IF($Q1805+1&gt;$K$3,"T",IF(INDEX($M$4:$M$2003,MATCH($Q1805+1,$P$4:$P$2003,0))&lt;&gt;INDEX($M$4:$M$2003,MATCH($Q1805,$P$4:$P$2003,0)),"B","S"))))</f>
        <v/>
      </c>
      <c r="S1806">
        <f>IF(Q1806="","",IFERROR(MATCH(Q1806,$P$4:$P$2003,0),""))</f>
        <v/>
      </c>
    </row>
    <row r="1807">
      <c r="A1807" s="4">
        <f>IF($R1807="","",IF($R1807="T","Gesamtergebnis",IF($R1807="B",INDEX($M$4:$M$2003,$S1807),INDEX($L$4:$L$2003,$S1807))))</f>
        <v/>
      </c>
      <c r="B1807" s="4">
        <f>IF($R1807="","",IF($R1807="T",$K$3,IF($R1807="B",COUNTIFS($M$4:$M$2003,INDEX($M$4:$M$2003,$S1807),$N$4:$N$2003,1),1)))</f>
        <v/>
      </c>
      <c r="L1807">
        <f>IF($K$1="","",IFERROR(INDEX(Lines!$A:$AA,ROW()-2,$K$1),""))</f>
        <v/>
      </c>
      <c r="M1807">
        <f>IF($K$2="","",IFERROR(INDEX(Lines!$A:$AA,ROW()-2,$K$2),""))</f>
        <v/>
      </c>
      <c r="N1807">
        <f>IF(AND(L1807&lt;&gt;"",LEFT(L1807,1)="N",M1807&lt;&gt;"PICKING",M1807&lt;&gt;""),1,0)</f>
        <v/>
      </c>
      <c r="O1807">
        <f>IF(N1807=1,M1807&amp;"|"&amp;L1807,REPT("z",40))</f>
        <v/>
      </c>
      <c r="P1807">
        <f>IF(N1807=1,COUNTIF($O$4:$O$2003,"&lt;"&amp;O1807)+1,"")</f>
        <v/>
      </c>
      <c r="Q1807">
        <f>IF(OR($R1806="",$R1806="T"),"",IF($R1806="B",$Q1806,IF($Q1806+1&gt;$K$3,"",$Q1806+1)))</f>
        <v/>
      </c>
      <c r="R1807">
        <f>IF(OR($R1806="",$R1806="T"),"",IF($R1806="B","S",IF($Q1806+1&gt;$K$3,"T",IF(INDEX($M$4:$M$2003,MATCH($Q1806+1,$P$4:$P$2003,0))&lt;&gt;INDEX($M$4:$M$2003,MATCH($Q1806,$P$4:$P$2003,0)),"B","S"))))</f>
        <v/>
      </c>
      <c r="S1807">
        <f>IF(Q1807="","",IFERROR(MATCH(Q1807,$P$4:$P$2003,0),""))</f>
        <v/>
      </c>
    </row>
    <row r="1808">
      <c r="A1808" s="4">
        <f>IF($R1808="","",IF($R1808="T","Gesamtergebnis",IF($R1808="B",INDEX($M$4:$M$2003,$S1808),INDEX($L$4:$L$2003,$S1808))))</f>
        <v/>
      </c>
      <c r="B1808" s="4">
        <f>IF($R1808="","",IF($R1808="T",$K$3,IF($R1808="B",COUNTIFS($M$4:$M$2003,INDEX($M$4:$M$2003,$S1808),$N$4:$N$2003,1),1)))</f>
        <v/>
      </c>
      <c r="L1808">
        <f>IF($K$1="","",IFERROR(INDEX(Lines!$A:$AA,ROW()-2,$K$1),""))</f>
        <v/>
      </c>
      <c r="M1808">
        <f>IF($K$2="","",IFERROR(INDEX(Lines!$A:$AA,ROW()-2,$K$2),""))</f>
        <v/>
      </c>
      <c r="N1808">
        <f>IF(AND(L1808&lt;&gt;"",LEFT(L1808,1)="N",M1808&lt;&gt;"PICKING",M1808&lt;&gt;""),1,0)</f>
        <v/>
      </c>
      <c r="O1808">
        <f>IF(N1808=1,M1808&amp;"|"&amp;L1808,REPT("z",40))</f>
        <v/>
      </c>
      <c r="P1808">
        <f>IF(N1808=1,COUNTIF($O$4:$O$2003,"&lt;"&amp;O1808)+1,"")</f>
        <v/>
      </c>
      <c r="Q1808">
        <f>IF(OR($R1807="",$R1807="T"),"",IF($R1807="B",$Q1807,IF($Q1807+1&gt;$K$3,"",$Q1807+1)))</f>
        <v/>
      </c>
      <c r="R1808">
        <f>IF(OR($R1807="",$R1807="T"),"",IF($R1807="B","S",IF($Q1807+1&gt;$K$3,"T",IF(INDEX($M$4:$M$2003,MATCH($Q1807+1,$P$4:$P$2003,0))&lt;&gt;INDEX($M$4:$M$2003,MATCH($Q1807,$P$4:$P$2003,0)),"B","S"))))</f>
        <v/>
      </c>
      <c r="S1808">
        <f>IF(Q1808="","",IFERROR(MATCH(Q1808,$P$4:$P$2003,0),""))</f>
        <v/>
      </c>
    </row>
    <row r="1809">
      <c r="A1809" s="4">
        <f>IF($R1809="","",IF($R1809="T","Gesamtergebnis",IF($R1809="B",INDEX($M$4:$M$2003,$S1809),INDEX($L$4:$L$2003,$S1809))))</f>
        <v/>
      </c>
      <c r="B1809" s="4">
        <f>IF($R1809="","",IF($R1809="T",$K$3,IF($R1809="B",COUNTIFS($M$4:$M$2003,INDEX($M$4:$M$2003,$S1809),$N$4:$N$2003,1),1)))</f>
        <v/>
      </c>
      <c r="L1809">
        <f>IF($K$1="","",IFERROR(INDEX(Lines!$A:$AA,ROW()-2,$K$1),""))</f>
        <v/>
      </c>
      <c r="M1809">
        <f>IF($K$2="","",IFERROR(INDEX(Lines!$A:$AA,ROW()-2,$K$2),""))</f>
        <v/>
      </c>
      <c r="N1809">
        <f>IF(AND(L1809&lt;&gt;"",LEFT(L1809,1)="N",M1809&lt;&gt;"PICKING",M1809&lt;&gt;""),1,0)</f>
        <v/>
      </c>
      <c r="O1809">
        <f>IF(N1809=1,M1809&amp;"|"&amp;L1809,REPT("z",40))</f>
        <v/>
      </c>
      <c r="P1809">
        <f>IF(N1809=1,COUNTIF($O$4:$O$2003,"&lt;"&amp;O1809)+1,"")</f>
        <v/>
      </c>
      <c r="Q1809">
        <f>IF(OR($R1808="",$R1808="T"),"",IF($R1808="B",$Q1808,IF($Q1808+1&gt;$K$3,"",$Q1808+1)))</f>
        <v/>
      </c>
      <c r="R1809">
        <f>IF(OR($R1808="",$R1808="T"),"",IF($R1808="B","S",IF($Q1808+1&gt;$K$3,"T",IF(INDEX($M$4:$M$2003,MATCH($Q1808+1,$P$4:$P$2003,0))&lt;&gt;INDEX($M$4:$M$2003,MATCH($Q1808,$P$4:$P$2003,0)),"B","S"))))</f>
        <v/>
      </c>
      <c r="S1809">
        <f>IF(Q1809="","",IFERROR(MATCH(Q1809,$P$4:$P$2003,0),""))</f>
        <v/>
      </c>
    </row>
    <row r="1810">
      <c r="A1810" s="4">
        <f>IF($R1810="","",IF($R1810="T","Gesamtergebnis",IF($R1810="B",INDEX($M$4:$M$2003,$S1810),INDEX($L$4:$L$2003,$S1810))))</f>
        <v/>
      </c>
      <c r="B1810" s="4">
        <f>IF($R1810="","",IF($R1810="T",$K$3,IF($R1810="B",COUNTIFS($M$4:$M$2003,INDEX($M$4:$M$2003,$S1810),$N$4:$N$2003,1),1)))</f>
        <v/>
      </c>
      <c r="L1810">
        <f>IF($K$1="","",IFERROR(INDEX(Lines!$A:$AA,ROW()-2,$K$1),""))</f>
        <v/>
      </c>
      <c r="M1810">
        <f>IF($K$2="","",IFERROR(INDEX(Lines!$A:$AA,ROW()-2,$K$2),""))</f>
        <v/>
      </c>
      <c r="N1810">
        <f>IF(AND(L1810&lt;&gt;"",LEFT(L1810,1)="N",M1810&lt;&gt;"PICKING",M1810&lt;&gt;""),1,0)</f>
        <v/>
      </c>
      <c r="O1810">
        <f>IF(N1810=1,M1810&amp;"|"&amp;L1810,REPT("z",40))</f>
        <v/>
      </c>
      <c r="P1810">
        <f>IF(N1810=1,COUNTIF($O$4:$O$2003,"&lt;"&amp;O1810)+1,"")</f>
        <v/>
      </c>
      <c r="Q1810">
        <f>IF(OR($R1809="",$R1809="T"),"",IF($R1809="B",$Q1809,IF($Q1809+1&gt;$K$3,"",$Q1809+1)))</f>
        <v/>
      </c>
      <c r="R1810">
        <f>IF(OR($R1809="",$R1809="T"),"",IF($R1809="B","S",IF($Q1809+1&gt;$K$3,"T",IF(INDEX($M$4:$M$2003,MATCH($Q1809+1,$P$4:$P$2003,0))&lt;&gt;INDEX($M$4:$M$2003,MATCH($Q1809,$P$4:$P$2003,0)),"B","S"))))</f>
        <v/>
      </c>
      <c r="S1810">
        <f>IF(Q1810="","",IFERROR(MATCH(Q1810,$P$4:$P$2003,0),""))</f>
        <v/>
      </c>
    </row>
    <row r="1811">
      <c r="A1811" s="4">
        <f>IF($R1811="","",IF($R1811="T","Gesamtergebnis",IF($R1811="B",INDEX($M$4:$M$2003,$S1811),INDEX($L$4:$L$2003,$S1811))))</f>
        <v/>
      </c>
      <c r="B1811" s="4">
        <f>IF($R1811="","",IF($R1811="T",$K$3,IF($R1811="B",COUNTIFS($M$4:$M$2003,INDEX($M$4:$M$2003,$S1811),$N$4:$N$2003,1),1)))</f>
        <v/>
      </c>
      <c r="L1811">
        <f>IF($K$1="","",IFERROR(INDEX(Lines!$A:$AA,ROW()-2,$K$1),""))</f>
        <v/>
      </c>
      <c r="M1811">
        <f>IF($K$2="","",IFERROR(INDEX(Lines!$A:$AA,ROW()-2,$K$2),""))</f>
        <v/>
      </c>
      <c r="N1811">
        <f>IF(AND(L1811&lt;&gt;"",LEFT(L1811,1)="N",M1811&lt;&gt;"PICKING",M1811&lt;&gt;""),1,0)</f>
        <v/>
      </c>
      <c r="O1811">
        <f>IF(N1811=1,M1811&amp;"|"&amp;L1811,REPT("z",40))</f>
        <v/>
      </c>
      <c r="P1811">
        <f>IF(N1811=1,COUNTIF($O$4:$O$2003,"&lt;"&amp;O1811)+1,"")</f>
        <v/>
      </c>
      <c r="Q1811">
        <f>IF(OR($R1810="",$R1810="T"),"",IF($R1810="B",$Q1810,IF($Q1810+1&gt;$K$3,"",$Q1810+1)))</f>
        <v/>
      </c>
      <c r="R1811">
        <f>IF(OR($R1810="",$R1810="T"),"",IF($R1810="B","S",IF($Q1810+1&gt;$K$3,"T",IF(INDEX($M$4:$M$2003,MATCH($Q1810+1,$P$4:$P$2003,0))&lt;&gt;INDEX($M$4:$M$2003,MATCH($Q1810,$P$4:$P$2003,0)),"B","S"))))</f>
        <v/>
      </c>
      <c r="S1811">
        <f>IF(Q1811="","",IFERROR(MATCH(Q1811,$P$4:$P$2003,0),""))</f>
        <v/>
      </c>
    </row>
    <row r="1812">
      <c r="A1812" s="4">
        <f>IF($R1812="","",IF($R1812="T","Gesamtergebnis",IF($R1812="B",INDEX($M$4:$M$2003,$S1812),INDEX($L$4:$L$2003,$S1812))))</f>
        <v/>
      </c>
      <c r="B1812" s="4">
        <f>IF($R1812="","",IF($R1812="T",$K$3,IF($R1812="B",COUNTIFS($M$4:$M$2003,INDEX($M$4:$M$2003,$S1812),$N$4:$N$2003,1),1)))</f>
        <v/>
      </c>
      <c r="L1812">
        <f>IF($K$1="","",IFERROR(INDEX(Lines!$A:$AA,ROW()-2,$K$1),""))</f>
        <v/>
      </c>
      <c r="M1812">
        <f>IF($K$2="","",IFERROR(INDEX(Lines!$A:$AA,ROW()-2,$K$2),""))</f>
        <v/>
      </c>
      <c r="N1812">
        <f>IF(AND(L1812&lt;&gt;"",LEFT(L1812,1)="N",M1812&lt;&gt;"PICKING",M1812&lt;&gt;""),1,0)</f>
        <v/>
      </c>
      <c r="O1812">
        <f>IF(N1812=1,M1812&amp;"|"&amp;L1812,REPT("z",40))</f>
        <v/>
      </c>
      <c r="P1812">
        <f>IF(N1812=1,COUNTIF($O$4:$O$2003,"&lt;"&amp;O1812)+1,"")</f>
        <v/>
      </c>
      <c r="Q1812">
        <f>IF(OR($R1811="",$R1811="T"),"",IF($R1811="B",$Q1811,IF($Q1811+1&gt;$K$3,"",$Q1811+1)))</f>
        <v/>
      </c>
      <c r="R1812">
        <f>IF(OR($R1811="",$R1811="T"),"",IF($R1811="B","S",IF($Q1811+1&gt;$K$3,"T",IF(INDEX($M$4:$M$2003,MATCH($Q1811+1,$P$4:$P$2003,0))&lt;&gt;INDEX($M$4:$M$2003,MATCH($Q1811,$P$4:$P$2003,0)),"B","S"))))</f>
        <v/>
      </c>
      <c r="S1812">
        <f>IF(Q1812="","",IFERROR(MATCH(Q1812,$P$4:$P$2003,0),""))</f>
        <v/>
      </c>
    </row>
    <row r="1813">
      <c r="A1813" s="4">
        <f>IF($R1813="","",IF($R1813="T","Gesamtergebnis",IF($R1813="B",INDEX($M$4:$M$2003,$S1813),INDEX($L$4:$L$2003,$S1813))))</f>
        <v/>
      </c>
      <c r="B1813" s="4">
        <f>IF($R1813="","",IF($R1813="T",$K$3,IF($R1813="B",COUNTIFS($M$4:$M$2003,INDEX($M$4:$M$2003,$S1813),$N$4:$N$2003,1),1)))</f>
        <v/>
      </c>
      <c r="L1813">
        <f>IF($K$1="","",IFERROR(INDEX(Lines!$A:$AA,ROW()-2,$K$1),""))</f>
        <v/>
      </c>
      <c r="M1813">
        <f>IF($K$2="","",IFERROR(INDEX(Lines!$A:$AA,ROW()-2,$K$2),""))</f>
        <v/>
      </c>
      <c r="N1813">
        <f>IF(AND(L1813&lt;&gt;"",LEFT(L1813,1)="N",M1813&lt;&gt;"PICKING",M1813&lt;&gt;""),1,0)</f>
        <v/>
      </c>
      <c r="O1813">
        <f>IF(N1813=1,M1813&amp;"|"&amp;L1813,REPT("z",40))</f>
        <v/>
      </c>
      <c r="P1813">
        <f>IF(N1813=1,COUNTIF($O$4:$O$2003,"&lt;"&amp;O1813)+1,"")</f>
        <v/>
      </c>
      <c r="Q1813">
        <f>IF(OR($R1812="",$R1812="T"),"",IF($R1812="B",$Q1812,IF($Q1812+1&gt;$K$3,"",$Q1812+1)))</f>
        <v/>
      </c>
      <c r="R1813">
        <f>IF(OR($R1812="",$R1812="T"),"",IF($R1812="B","S",IF($Q1812+1&gt;$K$3,"T",IF(INDEX($M$4:$M$2003,MATCH($Q1812+1,$P$4:$P$2003,0))&lt;&gt;INDEX($M$4:$M$2003,MATCH($Q1812,$P$4:$P$2003,0)),"B","S"))))</f>
        <v/>
      </c>
      <c r="S1813">
        <f>IF(Q1813="","",IFERROR(MATCH(Q1813,$P$4:$P$2003,0),""))</f>
        <v/>
      </c>
    </row>
    <row r="1814">
      <c r="A1814" s="4">
        <f>IF($R1814="","",IF($R1814="T","Gesamtergebnis",IF($R1814="B",INDEX($M$4:$M$2003,$S1814),INDEX($L$4:$L$2003,$S1814))))</f>
        <v/>
      </c>
      <c r="B1814" s="4">
        <f>IF($R1814="","",IF($R1814="T",$K$3,IF($R1814="B",COUNTIFS($M$4:$M$2003,INDEX($M$4:$M$2003,$S1814),$N$4:$N$2003,1),1)))</f>
        <v/>
      </c>
      <c r="L1814">
        <f>IF($K$1="","",IFERROR(INDEX(Lines!$A:$AA,ROW()-2,$K$1),""))</f>
        <v/>
      </c>
      <c r="M1814">
        <f>IF($K$2="","",IFERROR(INDEX(Lines!$A:$AA,ROW()-2,$K$2),""))</f>
        <v/>
      </c>
      <c r="N1814">
        <f>IF(AND(L1814&lt;&gt;"",LEFT(L1814,1)="N",M1814&lt;&gt;"PICKING",M1814&lt;&gt;""),1,0)</f>
        <v/>
      </c>
      <c r="O1814">
        <f>IF(N1814=1,M1814&amp;"|"&amp;L1814,REPT("z",40))</f>
        <v/>
      </c>
      <c r="P1814">
        <f>IF(N1814=1,COUNTIF($O$4:$O$2003,"&lt;"&amp;O1814)+1,"")</f>
        <v/>
      </c>
      <c r="Q1814">
        <f>IF(OR($R1813="",$R1813="T"),"",IF($R1813="B",$Q1813,IF($Q1813+1&gt;$K$3,"",$Q1813+1)))</f>
        <v/>
      </c>
      <c r="R1814">
        <f>IF(OR($R1813="",$R1813="T"),"",IF($R1813="B","S",IF($Q1813+1&gt;$K$3,"T",IF(INDEX($M$4:$M$2003,MATCH($Q1813+1,$P$4:$P$2003,0))&lt;&gt;INDEX($M$4:$M$2003,MATCH($Q1813,$P$4:$P$2003,0)),"B","S"))))</f>
        <v/>
      </c>
      <c r="S1814">
        <f>IF(Q1814="","",IFERROR(MATCH(Q1814,$P$4:$P$2003,0),""))</f>
        <v/>
      </c>
    </row>
    <row r="1815">
      <c r="A1815" s="4">
        <f>IF($R1815="","",IF($R1815="T","Gesamtergebnis",IF($R1815="B",INDEX($M$4:$M$2003,$S1815),INDEX($L$4:$L$2003,$S1815))))</f>
        <v/>
      </c>
      <c r="B1815" s="4">
        <f>IF($R1815="","",IF($R1815="T",$K$3,IF($R1815="B",COUNTIFS($M$4:$M$2003,INDEX($M$4:$M$2003,$S1815),$N$4:$N$2003,1),1)))</f>
        <v/>
      </c>
      <c r="L1815">
        <f>IF($K$1="","",IFERROR(INDEX(Lines!$A:$AA,ROW()-2,$K$1),""))</f>
        <v/>
      </c>
      <c r="M1815">
        <f>IF($K$2="","",IFERROR(INDEX(Lines!$A:$AA,ROW()-2,$K$2),""))</f>
        <v/>
      </c>
      <c r="N1815">
        <f>IF(AND(L1815&lt;&gt;"",LEFT(L1815,1)="N",M1815&lt;&gt;"PICKING",M1815&lt;&gt;""),1,0)</f>
        <v/>
      </c>
      <c r="O1815">
        <f>IF(N1815=1,M1815&amp;"|"&amp;L1815,REPT("z",40))</f>
        <v/>
      </c>
      <c r="P1815">
        <f>IF(N1815=1,COUNTIF($O$4:$O$2003,"&lt;"&amp;O1815)+1,"")</f>
        <v/>
      </c>
      <c r="Q1815">
        <f>IF(OR($R1814="",$R1814="T"),"",IF($R1814="B",$Q1814,IF($Q1814+1&gt;$K$3,"",$Q1814+1)))</f>
        <v/>
      </c>
      <c r="R1815">
        <f>IF(OR($R1814="",$R1814="T"),"",IF($R1814="B","S",IF($Q1814+1&gt;$K$3,"T",IF(INDEX($M$4:$M$2003,MATCH($Q1814+1,$P$4:$P$2003,0))&lt;&gt;INDEX($M$4:$M$2003,MATCH($Q1814,$P$4:$P$2003,0)),"B","S"))))</f>
        <v/>
      </c>
      <c r="S1815">
        <f>IF(Q1815="","",IFERROR(MATCH(Q1815,$P$4:$P$2003,0),""))</f>
        <v/>
      </c>
    </row>
    <row r="1816">
      <c r="A1816" s="4">
        <f>IF($R1816="","",IF($R1816="T","Gesamtergebnis",IF($R1816="B",INDEX($M$4:$M$2003,$S1816),INDEX($L$4:$L$2003,$S1816))))</f>
        <v/>
      </c>
      <c r="B1816" s="4">
        <f>IF($R1816="","",IF($R1816="T",$K$3,IF($R1816="B",COUNTIFS($M$4:$M$2003,INDEX($M$4:$M$2003,$S1816),$N$4:$N$2003,1),1)))</f>
        <v/>
      </c>
      <c r="L1816">
        <f>IF($K$1="","",IFERROR(INDEX(Lines!$A:$AA,ROW()-2,$K$1),""))</f>
        <v/>
      </c>
      <c r="M1816">
        <f>IF($K$2="","",IFERROR(INDEX(Lines!$A:$AA,ROW()-2,$K$2),""))</f>
        <v/>
      </c>
      <c r="N1816">
        <f>IF(AND(L1816&lt;&gt;"",LEFT(L1816,1)="N",M1816&lt;&gt;"PICKING",M1816&lt;&gt;""),1,0)</f>
        <v/>
      </c>
      <c r="O1816">
        <f>IF(N1816=1,M1816&amp;"|"&amp;L1816,REPT("z",40))</f>
        <v/>
      </c>
      <c r="P1816">
        <f>IF(N1816=1,COUNTIF($O$4:$O$2003,"&lt;"&amp;O1816)+1,"")</f>
        <v/>
      </c>
      <c r="Q1816">
        <f>IF(OR($R1815="",$R1815="T"),"",IF($R1815="B",$Q1815,IF($Q1815+1&gt;$K$3,"",$Q1815+1)))</f>
        <v/>
      </c>
      <c r="R1816">
        <f>IF(OR($R1815="",$R1815="T"),"",IF($R1815="B","S",IF($Q1815+1&gt;$K$3,"T",IF(INDEX($M$4:$M$2003,MATCH($Q1815+1,$P$4:$P$2003,0))&lt;&gt;INDEX($M$4:$M$2003,MATCH($Q1815,$P$4:$P$2003,0)),"B","S"))))</f>
        <v/>
      </c>
      <c r="S1816">
        <f>IF(Q1816="","",IFERROR(MATCH(Q1816,$P$4:$P$2003,0),""))</f>
        <v/>
      </c>
    </row>
    <row r="1817">
      <c r="A1817" s="4">
        <f>IF($R1817="","",IF($R1817="T","Gesamtergebnis",IF($R1817="B",INDEX($M$4:$M$2003,$S1817),INDEX($L$4:$L$2003,$S1817))))</f>
        <v/>
      </c>
      <c r="B1817" s="4">
        <f>IF($R1817="","",IF($R1817="T",$K$3,IF($R1817="B",COUNTIFS($M$4:$M$2003,INDEX($M$4:$M$2003,$S1817),$N$4:$N$2003,1),1)))</f>
        <v/>
      </c>
      <c r="L1817">
        <f>IF($K$1="","",IFERROR(INDEX(Lines!$A:$AA,ROW()-2,$K$1),""))</f>
        <v/>
      </c>
      <c r="M1817">
        <f>IF($K$2="","",IFERROR(INDEX(Lines!$A:$AA,ROW()-2,$K$2),""))</f>
        <v/>
      </c>
      <c r="N1817">
        <f>IF(AND(L1817&lt;&gt;"",LEFT(L1817,1)="N",M1817&lt;&gt;"PICKING",M1817&lt;&gt;""),1,0)</f>
        <v/>
      </c>
      <c r="O1817">
        <f>IF(N1817=1,M1817&amp;"|"&amp;L1817,REPT("z",40))</f>
        <v/>
      </c>
      <c r="P1817">
        <f>IF(N1817=1,COUNTIF($O$4:$O$2003,"&lt;"&amp;O1817)+1,"")</f>
        <v/>
      </c>
      <c r="Q1817">
        <f>IF(OR($R1816="",$R1816="T"),"",IF($R1816="B",$Q1816,IF($Q1816+1&gt;$K$3,"",$Q1816+1)))</f>
        <v/>
      </c>
      <c r="R1817">
        <f>IF(OR($R1816="",$R1816="T"),"",IF($R1816="B","S",IF($Q1816+1&gt;$K$3,"T",IF(INDEX($M$4:$M$2003,MATCH($Q1816+1,$P$4:$P$2003,0))&lt;&gt;INDEX($M$4:$M$2003,MATCH($Q1816,$P$4:$P$2003,0)),"B","S"))))</f>
        <v/>
      </c>
      <c r="S1817">
        <f>IF(Q1817="","",IFERROR(MATCH(Q1817,$P$4:$P$2003,0),""))</f>
        <v/>
      </c>
    </row>
    <row r="1818">
      <c r="A1818" s="4">
        <f>IF($R1818="","",IF($R1818="T","Gesamtergebnis",IF($R1818="B",INDEX($M$4:$M$2003,$S1818),INDEX($L$4:$L$2003,$S1818))))</f>
        <v/>
      </c>
      <c r="B1818" s="4">
        <f>IF($R1818="","",IF($R1818="T",$K$3,IF($R1818="B",COUNTIFS($M$4:$M$2003,INDEX($M$4:$M$2003,$S1818),$N$4:$N$2003,1),1)))</f>
        <v/>
      </c>
      <c r="L1818">
        <f>IF($K$1="","",IFERROR(INDEX(Lines!$A:$AA,ROW()-2,$K$1),""))</f>
        <v/>
      </c>
      <c r="M1818">
        <f>IF($K$2="","",IFERROR(INDEX(Lines!$A:$AA,ROW()-2,$K$2),""))</f>
        <v/>
      </c>
      <c r="N1818">
        <f>IF(AND(L1818&lt;&gt;"",LEFT(L1818,1)="N",M1818&lt;&gt;"PICKING",M1818&lt;&gt;""),1,0)</f>
        <v/>
      </c>
      <c r="O1818">
        <f>IF(N1818=1,M1818&amp;"|"&amp;L1818,REPT("z",40))</f>
        <v/>
      </c>
      <c r="P1818">
        <f>IF(N1818=1,COUNTIF($O$4:$O$2003,"&lt;"&amp;O1818)+1,"")</f>
        <v/>
      </c>
      <c r="Q1818">
        <f>IF(OR($R1817="",$R1817="T"),"",IF($R1817="B",$Q1817,IF($Q1817+1&gt;$K$3,"",$Q1817+1)))</f>
        <v/>
      </c>
      <c r="R1818">
        <f>IF(OR($R1817="",$R1817="T"),"",IF($R1817="B","S",IF($Q1817+1&gt;$K$3,"T",IF(INDEX($M$4:$M$2003,MATCH($Q1817+1,$P$4:$P$2003,0))&lt;&gt;INDEX($M$4:$M$2003,MATCH($Q1817,$P$4:$P$2003,0)),"B","S"))))</f>
        <v/>
      </c>
      <c r="S1818">
        <f>IF(Q1818="","",IFERROR(MATCH(Q1818,$P$4:$P$2003,0),""))</f>
        <v/>
      </c>
    </row>
    <row r="1819">
      <c r="A1819" s="4">
        <f>IF($R1819="","",IF($R1819="T","Gesamtergebnis",IF($R1819="B",INDEX($M$4:$M$2003,$S1819),INDEX($L$4:$L$2003,$S1819))))</f>
        <v/>
      </c>
      <c r="B1819" s="4">
        <f>IF($R1819="","",IF($R1819="T",$K$3,IF($R1819="B",COUNTIFS($M$4:$M$2003,INDEX($M$4:$M$2003,$S1819),$N$4:$N$2003,1),1)))</f>
        <v/>
      </c>
      <c r="L1819">
        <f>IF($K$1="","",IFERROR(INDEX(Lines!$A:$AA,ROW()-2,$K$1),""))</f>
        <v/>
      </c>
      <c r="M1819">
        <f>IF($K$2="","",IFERROR(INDEX(Lines!$A:$AA,ROW()-2,$K$2),""))</f>
        <v/>
      </c>
      <c r="N1819">
        <f>IF(AND(L1819&lt;&gt;"",LEFT(L1819,1)="N",M1819&lt;&gt;"PICKING",M1819&lt;&gt;""),1,0)</f>
        <v/>
      </c>
      <c r="O1819">
        <f>IF(N1819=1,M1819&amp;"|"&amp;L1819,REPT("z",40))</f>
        <v/>
      </c>
      <c r="P1819">
        <f>IF(N1819=1,COUNTIF($O$4:$O$2003,"&lt;"&amp;O1819)+1,"")</f>
        <v/>
      </c>
      <c r="Q1819">
        <f>IF(OR($R1818="",$R1818="T"),"",IF($R1818="B",$Q1818,IF($Q1818+1&gt;$K$3,"",$Q1818+1)))</f>
        <v/>
      </c>
      <c r="R1819">
        <f>IF(OR($R1818="",$R1818="T"),"",IF($R1818="B","S",IF($Q1818+1&gt;$K$3,"T",IF(INDEX($M$4:$M$2003,MATCH($Q1818+1,$P$4:$P$2003,0))&lt;&gt;INDEX($M$4:$M$2003,MATCH($Q1818,$P$4:$P$2003,0)),"B","S"))))</f>
        <v/>
      </c>
      <c r="S1819">
        <f>IF(Q1819="","",IFERROR(MATCH(Q1819,$P$4:$P$2003,0),""))</f>
        <v/>
      </c>
    </row>
    <row r="1820">
      <c r="A1820" s="4">
        <f>IF($R1820="","",IF($R1820="T","Gesamtergebnis",IF($R1820="B",INDEX($M$4:$M$2003,$S1820),INDEX($L$4:$L$2003,$S1820))))</f>
        <v/>
      </c>
      <c r="B1820" s="4">
        <f>IF($R1820="","",IF($R1820="T",$K$3,IF($R1820="B",COUNTIFS($M$4:$M$2003,INDEX($M$4:$M$2003,$S1820),$N$4:$N$2003,1),1)))</f>
        <v/>
      </c>
      <c r="L1820">
        <f>IF($K$1="","",IFERROR(INDEX(Lines!$A:$AA,ROW()-2,$K$1),""))</f>
        <v/>
      </c>
      <c r="M1820">
        <f>IF($K$2="","",IFERROR(INDEX(Lines!$A:$AA,ROW()-2,$K$2),""))</f>
        <v/>
      </c>
      <c r="N1820">
        <f>IF(AND(L1820&lt;&gt;"",LEFT(L1820,1)="N",M1820&lt;&gt;"PICKING",M1820&lt;&gt;""),1,0)</f>
        <v/>
      </c>
      <c r="O1820">
        <f>IF(N1820=1,M1820&amp;"|"&amp;L1820,REPT("z",40))</f>
        <v/>
      </c>
      <c r="P1820">
        <f>IF(N1820=1,COUNTIF($O$4:$O$2003,"&lt;"&amp;O1820)+1,"")</f>
        <v/>
      </c>
      <c r="Q1820">
        <f>IF(OR($R1819="",$R1819="T"),"",IF($R1819="B",$Q1819,IF($Q1819+1&gt;$K$3,"",$Q1819+1)))</f>
        <v/>
      </c>
      <c r="R1820">
        <f>IF(OR($R1819="",$R1819="T"),"",IF($R1819="B","S",IF($Q1819+1&gt;$K$3,"T",IF(INDEX($M$4:$M$2003,MATCH($Q1819+1,$P$4:$P$2003,0))&lt;&gt;INDEX($M$4:$M$2003,MATCH($Q1819,$P$4:$P$2003,0)),"B","S"))))</f>
        <v/>
      </c>
      <c r="S1820">
        <f>IF(Q1820="","",IFERROR(MATCH(Q1820,$P$4:$P$2003,0),""))</f>
        <v/>
      </c>
    </row>
    <row r="1821">
      <c r="A1821" s="4">
        <f>IF($R1821="","",IF($R1821="T","Gesamtergebnis",IF($R1821="B",INDEX($M$4:$M$2003,$S1821),INDEX($L$4:$L$2003,$S1821))))</f>
        <v/>
      </c>
      <c r="B1821" s="4">
        <f>IF($R1821="","",IF($R1821="T",$K$3,IF($R1821="B",COUNTIFS($M$4:$M$2003,INDEX($M$4:$M$2003,$S1821),$N$4:$N$2003,1),1)))</f>
        <v/>
      </c>
      <c r="L1821">
        <f>IF($K$1="","",IFERROR(INDEX(Lines!$A:$AA,ROW()-2,$K$1),""))</f>
        <v/>
      </c>
      <c r="M1821">
        <f>IF($K$2="","",IFERROR(INDEX(Lines!$A:$AA,ROW()-2,$K$2),""))</f>
        <v/>
      </c>
      <c r="N1821">
        <f>IF(AND(L1821&lt;&gt;"",LEFT(L1821,1)="N",M1821&lt;&gt;"PICKING",M1821&lt;&gt;""),1,0)</f>
        <v/>
      </c>
      <c r="O1821">
        <f>IF(N1821=1,M1821&amp;"|"&amp;L1821,REPT("z",40))</f>
        <v/>
      </c>
      <c r="P1821">
        <f>IF(N1821=1,COUNTIF($O$4:$O$2003,"&lt;"&amp;O1821)+1,"")</f>
        <v/>
      </c>
      <c r="Q1821">
        <f>IF(OR($R1820="",$R1820="T"),"",IF($R1820="B",$Q1820,IF($Q1820+1&gt;$K$3,"",$Q1820+1)))</f>
        <v/>
      </c>
      <c r="R1821">
        <f>IF(OR($R1820="",$R1820="T"),"",IF($R1820="B","S",IF($Q1820+1&gt;$K$3,"T",IF(INDEX($M$4:$M$2003,MATCH($Q1820+1,$P$4:$P$2003,0))&lt;&gt;INDEX($M$4:$M$2003,MATCH($Q1820,$P$4:$P$2003,0)),"B","S"))))</f>
        <v/>
      </c>
      <c r="S1821">
        <f>IF(Q1821="","",IFERROR(MATCH(Q1821,$P$4:$P$2003,0),""))</f>
        <v/>
      </c>
    </row>
    <row r="1822">
      <c r="A1822" s="4">
        <f>IF($R1822="","",IF($R1822="T","Gesamtergebnis",IF($R1822="B",INDEX($M$4:$M$2003,$S1822),INDEX($L$4:$L$2003,$S1822))))</f>
        <v/>
      </c>
      <c r="B1822" s="4">
        <f>IF($R1822="","",IF($R1822="T",$K$3,IF($R1822="B",COUNTIFS($M$4:$M$2003,INDEX($M$4:$M$2003,$S1822),$N$4:$N$2003,1),1)))</f>
        <v/>
      </c>
      <c r="L1822">
        <f>IF($K$1="","",IFERROR(INDEX(Lines!$A:$AA,ROW()-2,$K$1),""))</f>
        <v/>
      </c>
      <c r="M1822">
        <f>IF($K$2="","",IFERROR(INDEX(Lines!$A:$AA,ROW()-2,$K$2),""))</f>
        <v/>
      </c>
      <c r="N1822">
        <f>IF(AND(L1822&lt;&gt;"",LEFT(L1822,1)="N",M1822&lt;&gt;"PICKING",M1822&lt;&gt;""),1,0)</f>
        <v/>
      </c>
      <c r="O1822">
        <f>IF(N1822=1,M1822&amp;"|"&amp;L1822,REPT("z",40))</f>
        <v/>
      </c>
      <c r="P1822">
        <f>IF(N1822=1,COUNTIF($O$4:$O$2003,"&lt;"&amp;O1822)+1,"")</f>
        <v/>
      </c>
      <c r="Q1822">
        <f>IF(OR($R1821="",$R1821="T"),"",IF($R1821="B",$Q1821,IF($Q1821+1&gt;$K$3,"",$Q1821+1)))</f>
        <v/>
      </c>
      <c r="R1822">
        <f>IF(OR($R1821="",$R1821="T"),"",IF($R1821="B","S",IF($Q1821+1&gt;$K$3,"T",IF(INDEX($M$4:$M$2003,MATCH($Q1821+1,$P$4:$P$2003,0))&lt;&gt;INDEX($M$4:$M$2003,MATCH($Q1821,$P$4:$P$2003,0)),"B","S"))))</f>
        <v/>
      </c>
      <c r="S1822">
        <f>IF(Q1822="","",IFERROR(MATCH(Q1822,$P$4:$P$2003,0),""))</f>
        <v/>
      </c>
    </row>
    <row r="1823">
      <c r="A1823" s="4">
        <f>IF($R1823="","",IF($R1823="T","Gesamtergebnis",IF($R1823="B",INDEX($M$4:$M$2003,$S1823),INDEX($L$4:$L$2003,$S1823))))</f>
        <v/>
      </c>
      <c r="B1823" s="4">
        <f>IF($R1823="","",IF($R1823="T",$K$3,IF($R1823="B",COUNTIFS($M$4:$M$2003,INDEX($M$4:$M$2003,$S1823),$N$4:$N$2003,1),1)))</f>
        <v/>
      </c>
      <c r="L1823">
        <f>IF($K$1="","",IFERROR(INDEX(Lines!$A:$AA,ROW()-2,$K$1),""))</f>
        <v/>
      </c>
      <c r="M1823">
        <f>IF($K$2="","",IFERROR(INDEX(Lines!$A:$AA,ROW()-2,$K$2),""))</f>
        <v/>
      </c>
      <c r="N1823">
        <f>IF(AND(L1823&lt;&gt;"",LEFT(L1823,1)="N",M1823&lt;&gt;"PICKING",M1823&lt;&gt;""),1,0)</f>
        <v/>
      </c>
      <c r="O1823">
        <f>IF(N1823=1,M1823&amp;"|"&amp;L1823,REPT("z",40))</f>
        <v/>
      </c>
      <c r="P1823">
        <f>IF(N1823=1,COUNTIF($O$4:$O$2003,"&lt;"&amp;O1823)+1,"")</f>
        <v/>
      </c>
      <c r="Q1823">
        <f>IF(OR($R1822="",$R1822="T"),"",IF($R1822="B",$Q1822,IF($Q1822+1&gt;$K$3,"",$Q1822+1)))</f>
        <v/>
      </c>
      <c r="R1823">
        <f>IF(OR($R1822="",$R1822="T"),"",IF($R1822="B","S",IF($Q1822+1&gt;$K$3,"T",IF(INDEX($M$4:$M$2003,MATCH($Q1822+1,$P$4:$P$2003,0))&lt;&gt;INDEX($M$4:$M$2003,MATCH($Q1822,$P$4:$P$2003,0)),"B","S"))))</f>
        <v/>
      </c>
      <c r="S1823">
        <f>IF(Q1823="","",IFERROR(MATCH(Q1823,$P$4:$P$2003,0),""))</f>
        <v/>
      </c>
    </row>
    <row r="1824">
      <c r="A1824" s="4">
        <f>IF($R1824="","",IF($R1824="T","Gesamtergebnis",IF($R1824="B",INDEX($M$4:$M$2003,$S1824),INDEX($L$4:$L$2003,$S1824))))</f>
        <v/>
      </c>
      <c r="B1824" s="4">
        <f>IF($R1824="","",IF($R1824="T",$K$3,IF($R1824="B",COUNTIFS($M$4:$M$2003,INDEX($M$4:$M$2003,$S1824),$N$4:$N$2003,1),1)))</f>
        <v/>
      </c>
      <c r="L1824">
        <f>IF($K$1="","",IFERROR(INDEX(Lines!$A:$AA,ROW()-2,$K$1),""))</f>
        <v/>
      </c>
      <c r="M1824">
        <f>IF($K$2="","",IFERROR(INDEX(Lines!$A:$AA,ROW()-2,$K$2),""))</f>
        <v/>
      </c>
      <c r="N1824">
        <f>IF(AND(L1824&lt;&gt;"",LEFT(L1824,1)="N",M1824&lt;&gt;"PICKING",M1824&lt;&gt;""),1,0)</f>
        <v/>
      </c>
      <c r="O1824">
        <f>IF(N1824=1,M1824&amp;"|"&amp;L1824,REPT("z",40))</f>
        <v/>
      </c>
      <c r="P1824">
        <f>IF(N1824=1,COUNTIF($O$4:$O$2003,"&lt;"&amp;O1824)+1,"")</f>
        <v/>
      </c>
      <c r="Q1824">
        <f>IF(OR($R1823="",$R1823="T"),"",IF($R1823="B",$Q1823,IF($Q1823+1&gt;$K$3,"",$Q1823+1)))</f>
        <v/>
      </c>
      <c r="R1824">
        <f>IF(OR($R1823="",$R1823="T"),"",IF($R1823="B","S",IF($Q1823+1&gt;$K$3,"T",IF(INDEX($M$4:$M$2003,MATCH($Q1823+1,$P$4:$P$2003,0))&lt;&gt;INDEX($M$4:$M$2003,MATCH($Q1823,$P$4:$P$2003,0)),"B","S"))))</f>
        <v/>
      </c>
      <c r="S1824">
        <f>IF(Q1824="","",IFERROR(MATCH(Q1824,$P$4:$P$2003,0),""))</f>
        <v/>
      </c>
    </row>
    <row r="1825">
      <c r="A1825" s="4">
        <f>IF($R1825="","",IF($R1825="T","Gesamtergebnis",IF($R1825="B",INDEX($M$4:$M$2003,$S1825),INDEX($L$4:$L$2003,$S1825))))</f>
        <v/>
      </c>
      <c r="B1825" s="4">
        <f>IF($R1825="","",IF($R1825="T",$K$3,IF($R1825="B",COUNTIFS($M$4:$M$2003,INDEX($M$4:$M$2003,$S1825),$N$4:$N$2003,1),1)))</f>
        <v/>
      </c>
      <c r="L1825">
        <f>IF($K$1="","",IFERROR(INDEX(Lines!$A:$AA,ROW()-2,$K$1),""))</f>
        <v/>
      </c>
      <c r="M1825">
        <f>IF($K$2="","",IFERROR(INDEX(Lines!$A:$AA,ROW()-2,$K$2),""))</f>
        <v/>
      </c>
      <c r="N1825">
        <f>IF(AND(L1825&lt;&gt;"",LEFT(L1825,1)="N",M1825&lt;&gt;"PICKING",M1825&lt;&gt;""),1,0)</f>
        <v/>
      </c>
      <c r="O1825">
        <f>IF(N1825=1,M1825&amp;"|"&amp;L1825,REPT("z",40))</f>
        <v/>
      </c>
      <c r="P1825">
        <f>IF(N1825=1,COUNTIF($O$4:$O$2003,"&lt;"&amp;O1825)+1,"")</f>
        <v/>
      </c>
      <c r="Q1825">
        <f>IF(OR($R1824="",$R1824="T"),"",IF($R1824="B",$Q1824,IF($Q1824+1&gt;$K$3,"",$Q1824+1)))</f>
        <v/>
      </c>
      <c r="R1825">
        <f>IF(OR($R1824="",$R1824="T"),"",IF($R1824="B","S",IF($Q1824+1&gt;$K$3,"T",IF(INDEX($M$4:$M$2003,MATCH($Q1824+1,$P$4:$P$2003,0))&lt;&gt;INDEX($M$4:$M$2003,MATCH($Q1824,$P$4:$P$2003,0)),"B","S"))))</f>
        <v/>
      </c>
      <c r="S1825">
        <f>IF(Q1825="","",IFERROR(MATCH(Q1825,$P$4:$P$2003,0),""))</f>
        <v/>
      </c>
    </row>
    <row r="1826">
      <c r="A1826" s="4">
        <f>IF($R1826="","",IF($R1826="T","Gesamtergebnis",IF($R1826="B",INDEX($M$4:$M$2003,$S1826),INDEX($L$4:$L$2003,$S1826))))</f>
        <v/>
      </c>
      <c r="B1826" s="4">
        <f>IF($R1826="","",IF($R1826="T",$K$3,IF($R1826="B",COUNTIFS($M$4:$M$2003,INDEX($M$4:$M$2003,$S1826),$N$4:$N$2003,1),1)))</f>
        <v/>
      </c>
      <c r="L1826">
        <f>IF($K$1="","",IFERROR(INDEX(Lines!$A:$AA,ROW()-2,$K$1),""))</f>
        <v/>
      </c>
      <c r="M1826">
        <f>IF($K$2="","",IFERROR(INDEX(Lines!$A:$AA,ROW()-2,$K$2),""))</f>
        <v/>
      </c>
      <c r="N1826">
        <f>IF(AND(L1826&lt;&gt;"",LEFT(L1826,1)="N",M1826&lt;&gt;"PICKING",M1826&lt;&gt;""),1,0)</f>
        <v/>
      </c>
      <c r="O1826">
        <f>IF(N1826=1,M1826&amp;"|"&amp;L1826,REPT("z",40))</f>
        <v/>
      </c>
      <c r="P1826">
        <f>IF(N1826=1,COUNTIF($O$4:$O$2003,"&lt;"&amp;O1826)+1,"")</f>
        <v/>
      </c>
      <c r="Q1826">
        <f>IF(OR($R1825="",$R1825="T"),"",IF($R1825="B",$Q1825,IF($Q1825+1&gt;$K$3,"",$Q1825+1)))</f>
        <v/>
      </c>
      <c r="R1826">
        <f>IF(OR($R1825="",$R1825="T"),"",IF($R1825="B","S",IF($Q1825+1&gt;$K$3,"T",IF(INDEX($M$4:$M$2003,MATCH($Q1825+1,$P$4:$P$2003,0))&lt;&gt;INDEX($M$4:$M$2003,MATCH($Q1825,$P$4:$P$2003,0)),"B","S"))))</f>
        <v/>
      </c>
      <c r="S1826">
        <f>IF(Q1826="","",IFERROR(MATCH(Q1826,$P$4:$P$2003,0),""))</f>
        <v/>
      </c>
    </row>
    <row r="1827">
      <c r="A1827" s="4">
        <f>IF($R1827="","",IF($R1827="T","Gesamtergebnis",IF($R1827="B",INDEX($M$4:$M$2003,$S1827),INDEX($L$4:$L$2003,$S1827))))</f>
        <v/>
      </c>
      <c r="B1827" s="4">
        <f>IF($R1827="","",IF($R1827="T",$K$3,IF($R1827="B",COUNTIFS($M$4:$M$2003,INDEX($M$4:$M$2003,$S1827),$N$4:$N$2003,1),1)))</f>
        <v/>
      </c>
      <c r="L1827">
        <f>IF($K$1="","",IFERROR(INDEX(Lines!$A:$AA,ROW()-2,$K$1),""))</f>
        <v/>
      </c>
      <c r="M1827">
        <f>IF($K$2="","",IFERROR(INDEX(Lines!$A:$AA,ROW()-2,$K$2),""))</f>
        <v/>
      </c>
      <c r="N1827">
        <f>IF(AND(L1827&lt;&gt;"",LEFT(L1827,1)="N",M1827&lt;&gt;"PICKING",M1827&lt;&gt;""),1,0)</f>
        <v/>
      </c>
      <c r="O1827">
        <f>IF(N1827=1,M1827&amp;"|"&amp;L1827,REPT("z",40))</f>
        <v/>
      </c>
      <c r="P1827">
        <f>IF(N1827=1,COUNTIF($O$4:$O$2003,"&lt;"&amp;O1827)+1,"")</f>
        <v/>
      </c>
      <c r="Q1827">
        <f>IF(OR($R1826="",$R1826="T"),"",IF($R1826="B",$Q1826,IF($Q1826+1&gt;$K$3,"",$Q1826+1)))</f>
        <v/>
      </c>
      <c r="R1827">
        <f>IF(OR($R1826="",$R1826="T"),"",IF($R1826="B","S",IF($Q1826+1&gt;$K$3,"T",IF(INDEX($M$4:$M$2003,MATCH($Q1826+1,$P$4:$P$2003,0))&lt;&gt;INDEX($M$4:$M$2003,MATCH($Q1826,$P$4:$P$2003,0)),"B","S"))))</f>
        <v/>
      </c>
      <c r="S1827">
        <f>IF(Q1827="","",IFERROR(MATCH(Q1827,$P$4:$P$2003,0),""))</f>
        <v/>
      </c>
    </row>
    <row r="1828">
      <c r="A1828" s="4">
        <f>IF($R1828="","",IF($R1828="T","Gesamtergebnis",IF($R1828="B",INDEX($M$4:$M$2003,$S1828),INDEX($L$4:$L$2003,$S1828))))</f>
        <v/>
      </c>
      <c r="B1828" s="4">
        <f>IF($R1828="","",IF($R1828="T",$K$3,IF($R1828="B",COUNTIFS($M$4:$M$2003,INDEX($M$4:$M$2003,$S1828),$N$4:$N$2003,1),1)))</f>
        <v/>
      </c>
      <c r="L1828">
        <f>IF($K$1="","",IFERROR(INDEX(Lines!$A:$AA,ROW()-2,$K$1),""))</f>
        <v/>
      </c>
      <c r="M1828">
        <f>IF($K$2="","",IFERROR(INDEX(Lines!$A:$AA,ROW()-2,$K$2),""))</f>
        <v/>
      </c>
      <c r="N1828">
        <f>IF(AND(L1828&lt;&gt;"",LEFT(L1828,1)="N",M1828&lt;&gt;"PICKING",M1828&lt;&gt;""),1,0)</f>
        <v/>
      </c>
      <c r="O1828">
        <f>IF(N1828=1,M1828&amp;"|"&amp;L1828,REPT("z",40))</f>
        <v/>
      </c>
      <c r="P1828">
        <f>IF(N1828=1,COUNTIF($O$4:$O$2003,"&lt;"&amp;O1828)+1,"")</f>
        <v/>
      </c>
      <c r="Q1828">
        <f>IF(OR($R1827="",$R1827="T"),"",IF($R1827="B",$Q1827,IF($Q1827+1&gt;$K$3,"",$Q1827+1)))</f>
        <v/>
      </c>
      <c r="R1828">
        <f>IF(OR($R1827="",$R1827="T"),"",IF($R1827="B","S",IF($Q1827+1&gt;$K$3,"T",IF(INDEX($M$4:$M$2003,MATCH($Q1827+1,$P$4:$P$2003,0))&lt;&gt;INDEX($M$4:$M$2003,MATCH($Q1827,$P$4:$P$2003,0)),"B","S"))))</f>
        <v/>
      </c>
      <c r="S1828">
        <f>IF(Q1828="","",IFERROR(MATCH(Q1828,$P$4:$P$2003,0),""))</f>
        <v/>
      </c>
    </row>
    <row r="1829">
      <c r="A1829" s="4">
        <f>IF($R1829="","",IF($R1829="T","Gesamtergebnis",IF($R1829="B",INDEX($M$4:$M$2003,$S1829),INDEX($L$4:$L$2003,$S1829))))</f>
        <v/>
      </c>
      <c r="B1829" s="4">
        <f>IF($R1829="","",IF($R1829="T",$K$3,IF($R1829="B",COUNTIFS($M$4:$M$2003,INDEX($M$4:$M$2003,$S1829),$N$4:$N$2003,1),1)))</f>
        <v/>
      </c>
      <c r="L1829">
        <f>IF($K$1="","",IFERROR(INDEX(Lines!$A:$AA,ROW()-2,$K$1),""))</f>
        <v/>
      </c>
      <c r="M1829">
        <f>IF($K$2="","",IFERROR(INDEX(Lines!$A:$AA,ROW()-2,$K$2),""))</f>
        <v/>
      </c>
      <c r="N1829">
        <f>IF(AND(L1829&lt;&gt;"",LEFT(L1829,1)="N",M1829&lt;&gt;"PICKING",M1829&lt;&gt;""),1,0)</f>
        <v/>
      </c>
      <c r="O1829">
        <f>IF(N1829=1,M1829&amp;"|"&amp;L1829,REPT("z",40))</f>
        <v/>
      </c>
      <c r="P1829">
        <f>IF(N1829=1,COUNTIF($O$4:$O$2003,"&lt;"&amp;O1829)+1,"")</f>
        <v/>
      </c>
      <c r="Q1829">
        <f>IF(OR($R1828="",$R1828="T"),"",IF($R1828="B",$Q1828,IF($Q1828+1&gt;$K$3,"",$Q1828+1)))</f>
        <v/>
      </c>
      <c r="R1829">
        <f>IF(OR($R1828="",$R1828="T"),"",IF($R1828="B","S",IF($Q1828+1&gt;$K$3,"T",IF(INDEX($M$4:$M$2003,MATCH($Q1828+1,$P$4:$P$2003,0))&lt;&gt;INDEX($M$4:$M$2003,MATCH($Q1828,$P$4:$P$2003,0)),"B","S"))))</f>
        <v/>
      </c>
      <c r="S1829">
        <f>IF(Q1829="","",IFERROR(MATCH(Q1829,$P$4:$P$2003,0),""))</f>
        <v/>
      </c>
    </row>
    <row r="1830">
      <c r="A1830" s="4">
        <f>IF($R1830="","",IF($R1830="T","Gesamtergebnis",IF($R1830="B",INDEX($M$4:$M$2003,$S1830),INDEX($L$4:$L$2003,$S1830))))</f>
        <v/>
      </c>
      <c r="B1830" s="4">
        <f>IF($R1830="","",IF($R1830="T",$K$3,IF($R1830="B",COUNTIFS($M$4:$M$2003,INDEX($M$4:$M$2003,$S1830),$N$4:$N$2003,1),1)))</f>
        <v/>
      </c>
      <c r="L1830">
        <f>IF($K$1="","",IFERROR(INDEX(Lines!$A:$AA,ROW()-2,$K$1),""))</f>
        <v/>
      </c>
      <c r="M1830">
        <f>IF($K$2="","",IFERROR(INDEX(Lines!$A:$AA,ROW()-2,$K$2),""))</f>
        <v/>
      </c>
      <c r="N1830">
        <f>IF(AND(L1830&lt;&gt;"",LEFT(L1830,1)="N",M1830&lt;&gt;"PICKING",M1830&lt;&gt;""),1,0)</f>
        <v/>
      </c>
      <c r="O1830">
        <f>IF(N1830=1,M1830&amp;"|"&amp;L1830,REPT("z",40))</f>
        <v/>
      </c>
      <c r="P1830">
        <f>IF(N1830=1,COUNTIF($O$4:$O$2003,"&lt;"&amp;O1830)+1,"")</f>
        <v/>
      </c>
      <c r="Q1830">
        <f>IF(OR($R1829="",$R1829="T"),"",IF($R1829="B",$Q1829,IF($Q1829+1&gt;$K$3,"",$Q1829+1)))</f>
        <v/>
      </c>
      <c r="R1830">
        <f>IF(OR($R1829="",$R1829="T"),"",IF($R1829="B","S",IF($Q1829+1&gt;$K$3,"T",IF(INDEX($M$4:$M$2003,MATCH($Q1829+1,$P$4:$P$2003,0))&lt;&gt;INDEX($M$4:$M$2003,MATCH($Q1829,$P$4:$P$2003,0)),"B","S"))))</f>
        <v/>
      </c>
      <c r="S1830">
        <f>IF(Q1830="","",IFERROR(MATCH(Q1830,$P$4:$P$2003,0),""))</f>
        <v/>
      </c>
    </row>
    <row r="1831">
      <c r="A1831" s="4">
        <f>IF($R1831="","",IF($R1831="T","Gesamtergebnis",IF($R1831="B",INDEX($M$4:$M$2003,$S1831),INDEX($L$4:$L$2003,$S1831))))</f>
        <v/>
      </c>
      <c r="B1831" s="4">
        <f>IF($R1831="","",IF($R1831="T",$K$3,IF($R1831="B",COUNTIFS($M$4:$M$2003,INDEX($M$4:$M$2003,$S1831),$N$4:$N$2003,1),1)))</f>
        <v/>
      </c>
      <c r="L1831">
        <f>IF($K$1="","",IFERROR(INDEX(Lines!$A:$AA,ROW()-2,$K$1),""))</f>
        <v/>
      </c>
      <c r="M1831">
        <f>IF($K$2="","",IFERROR(INDEX(Lines!$A:$AA,ROW()-2,$K$2),""))</f>
        <v/>
      </c>
      <c r="N1831">
        <f>IF(AND(L1831&lt;&gt;"",LEFT(L1831,1)="N",M1831&lt;&gt;"PICKING",M1831&lt;&gt;""),1,0)</f>
        <v/>
      </c>
      <c r="O1831">
        <f>IF(N1831=1,M1831&amp;"|"&amp;L1831,REPT("z",40))</f>
        <v/>
      </c>
      <c r="P1831">
        <f>IF(N1831=1,COUNTIF($O$4:$O$2003,"&lt;"&amp;O1831)+1,"")</f>
        <v/>
      </c>
      <c r="Q1831">
        <f>IF(OR($R1830="",$R1830="T"),"",IF($R1830="B",$Q1830,IF($Q1830+1&gt;$K$3,"",$Q1830+1)))</f>
        <v/>
      </c>
      <c r="R1831">
        <f>IF(OR($R1830="",$R1830="T"),"",IF($R1830="B","S",IF($Q1830+1&gt;$K$3,"T",IF(INDEX($M$4:$M$2003,MATCH($Q1830+1,$P$4:$P$2003,0))&lt;&gt;INDEX($M$4:$M$2003,MATCH($Q1830,$P$4:$P$2003,0)),"B","S"))))</f>
        <v/>
      </c>
      <c r="S1831">
        <f>IF(Q1831="","",IFERROR(MATCH(Q1831,$P$4:$P$2003,0),""))</f>
        <v/>
      </c>
    </row>
    <row r="1832">
      <c r="A1832" s="4">
        <f>IF($R1832="","",IF($R1832="T","Gesamtergebnis",IF($R1832="B",INDEX($M$4:$M$2003,$S1832),INDEX($L$4:$L$2003,$S1832))))</f>
        <v/>
      </c>
      <c r="B1832" s="4">
        <f>IF($R1832="","",IF($R1832="T",$K$3,IF($R1832="B",COUNTIFS($M$4:$M$2003,INDEX($M$4:$M$2003,$S1832),$N$4:$N$2003,1),1)))</f>
        <v/>
      </c>
      <c r="L1832">
        <f>IF($K$1="","",IFERROR(INDEX(Lines!$A:$AA,ROW()-2,$K$1),""))</f>
        <v/>
      </c>
      <c r="M1832">
        <f>IF($K$2="","",IFERROR(INDEX(Lines!$A:$AA,ROW()-2,$K$2),""))</f>
        <v/>
      </c>
      <c r="N1832">
        <f>IF(AND(L1832&lt;&gt;"",LEFT(L1832,1)="N",M1832&lt;&gt;"PICKING",M1832&lt;&gt;""),1,0)</f>
        <v/>
      </c>
      <c r="O1832">
        <f>IF(N1832=1,M1832&amp;"|"&amp;L1832,REPT("z",40))</f>
        <v/>
      </c>
      <c r="P1832">
        <f>IF(N1832=1,COUNTIF($O$4:$O$2003,"&lt;"&amp;O1832)+1,"")</f>
        <v/>
      </c>
      <c r="Q1832">
        <f>IF(OR($R1831="",$R1831="T"),"",IF($R1831="B",$Q1831,IF($Q1831+1&gt;$K$3,"",$Q1831+1)))</f>
        <v/>
      </c>
      <c r="R1832">
        <f>IF(OR($R1831="",$R1831="T"),"",IF($R1831="B","S",IF($Q1831+1&gt;$K$3,"T",IF(INDEX($M$4:$M$2003,MATCH($Q1831+1,$P$4:$P$2003,0))&lt;&gt;INDEX($M$4:$M$2003,MATCH($Q1831,$P$4:$P$2003,0)),"B","S"))))</f>
        <v/>
      </c>
      <c r="S1832">
        <f>IF(Q1832="","",IFERROR(MATCH(Q1832,$P$4:$P$2003,0),""))</f>
        <v/>
      </c>
    </row>
    <row r="1833">
      <c r="A1833" s="4">
        <f>IF($R1833="","",IF($R1833="T","Gesamtergebnis",IF($R1833="B",INDEX($M$4:$M$2003,$S1833),INDEX($L$4:$L$2003,$S1833))))</f>
        <v/>
      </c>
      <c r="B1833" s="4">
        <f>IF($R1833="","",IF($R1833="T",$K$3,IF($R1833="B",COUNTIFS($M$4:$M$2003,INDEX($M$4:$M$2003,$S1833),$N$4:$N$2003,1),1)))</f>
        <v/>
      </c>
      <c r="L1833">
        <f>IF($K$1="","",IFERROR(INDEX(Lines!$A:$AA,ROW()-2,$K$1),""))</f>
        <v/>
      </c>
      <c r="M1833">
        <f>IF($K$2="","",IFERROR(INDEX(Lines!$A:$AA,ROW()-2,$K$2),""))</f>
        <v/>
      </c>
      <c r="N1833">
        <f>IF(AND(L1833&lt;&gt;"",LEFT(L1833,1)="N",M1833&lt;&gt;"PICKING",M1833&lt;&gt;""),1,0)</f>
        <v/>
      </c>
      <c r="O1833">
        <f>IF(N1833=1,M1833&amp;"|"&amp;L1833,REPT("z",40))</f>
        <v/>
      </c>
      <c r="P1833">
        <f>IF(N1833=1,COUNTIF($O$4:$O$2003,"&lt;"&amp;O1833)+1,"")</f>
        <v/>
      </c>
      <c r="Q1833">
        <f>IF(OR($R1832="",$R1832="T"),"",IF($R1832="B",$Q1832,IF($Q1832+1&gt;$K$3,"",$Q1832+1)))</f>
        <v/>
      </c>
      <c r="R1833">
        <f>IF(OR($R1832="",$R1832="T"),"",IF($R1832="B","S",IF($Q1832+1&gt;$K$3,"T",IF(INDEX($M$4:$M$2003,MATCH($Q1832+1,$P$4:$P$2003,0))&lt;&gt;INDEX($M$4:$M$2003,MATCH($Q1832,$P$4:$P$2003,0)),"B","S"))))</f>
        <v/>
      </c>
      <c r="S1833">
        <f>IF(Q1833="","",IFERROR(MATCH(Q1833,$P$4:$P$2003,0),""))</f>
        <v/>
      </c>
    </row>
    <row r="1834">
      <c r="A1834" s="4">
        <f>IF($R1834="","",IF($R1834="T","Gesamtergebnis",IF($R1834="B",INDEX($M$4:$M$2003,$S1834),INDEX($L$4:$L$2003,$S1834))))</f>
        <v/>
      </c>
      <c r="B1834" s="4">
        <f>IF($R1834="","",IF($R1834="T",$K$3,IF($R1834="B",COUNTIFS($M$4:$M$2003,INDEX($M$4:$M$2003,$S1834),$N$4:$N$2003,1),1)))</f>
        <v/>
      </c>
      <c r="L1834">
        <f>IF($K$1="","",IFERROR(INDEX(Lines!$A:$AA,ROW()-2,$K$1),""))</f>
        <v/>
      </c>
      <c r="M1834">
        <f>IF($K$2="","",IFERROR(INDEX(Lines!$A:$AA,ROW()-2,$K$2),""))</f>
        <v/>
      </c>
      <c r="N1834">
        <f>IF(AND(L1834&lt;&gt;"",LEFT(L1834,1)="N",M1834&lt;&gt;"PICKING",M1834&lt;&gt;""),1,0)</f>
        <v/>
      </c>
      <c r="O1834">
        <f>IF(N1834=1,M1834&amp;"|"&amp;L1834,REPT("z",40))</f>
        <v/>
      </c>
      <c r="P1834">
        <f>IF(N1834=1,COUNTIF($O$4:$O$2003,"&lt;"&amp;O1834)+1,"")</f>
        <v/>
      </c>
      <c r="Q1834">
        <f>IF(OR($R1833="",$R1833="T"),"",IF($R1833="B",$Q1833,IF($Q1833+1&gt;$K$3,"",$Q1833+1)))</f>
        <v/>
      </c>
      <c r="R1834">
        <f>IF(OR($R1833="",$R1833="T"),"",IF($R1833="B","S",IF($Q1833+1&gt;$K$3,"T",IF(INDEX($M$4:$M$2003,MATCH($Q1833+1,$P$4:$P$2003,0))&lt;&gt;INDEX($M$4:$M$2003,MATCH($Q1833,$P$4:$P$2003,0)),"B","S"))))</f>
        <v/>
      </c>
      <c r="S1834">
        <f>IF(Q1834="","",IFERROR(MATCH(Q1834,$P$4:$P$2003,0),""))</f>
        <v/>
      </c>
    </row>
    <row r="1835">
      <c r="A1835" s="4">
        <f>IF($R1835="","",IF($R1835="T","Gesamtergebnis",IF($R1835="B",INDEX($M$4:$M$2003,$S1835),INDEX($L$4:$L$2003,$S1835))))</f>
        <v/>
      </c>
      <c r="B1835" s="4">
        <f>IF($R1835="","",IF($R1835="T",$K$3,IF($R1835="B",COUNTIFS($M$4:$M$2003,INDEX($M$4:$M$2003,$S1835),$N$4:$N$2003,1),1)))</f>
        <v/>
      </c>
      <c r="L1835">
        <f>IF($K$1="","",IFERROR(INDEX(Lines!$A:$AA,ROW()-2,$K$1),""))</f>
        <v/>
      </c>
      <c r="M1835">
        <f>IF($K$2="","",IFERROR(INDEX(Lines!$A:$AA,ROW()-2,$K$2),""))</f>
        <v/>
      </c>
      <c r="N1835">
        <f>IF(AND(L1835&lt;&gt;"",LEFT(L1835,1)="N",M1835&lt;&gt;"PICKING",M1835&lt;&gt;""),1,0)</f>
        <v/>
      </c>
      <c r="O1835">
        <f>IF(N1835=1,M1835&amp;"|"&amp;L1835,REPT("z",40))</f>
        <v/>
      </c>
      <c r="P1835">
        <f>IF(N1835=1,COUNTIF($O$4:$O$2003,"&lt;"&amp;O1835)+1,"")</f>
        <v/>
      </c>
      <c r="Q1835">
        <f>IF(OR($R1834="",$R1834="T"),"",IF($R1834="B",$Q1834,IF($Q1834+1&gt;$K$3,"",$Q1834+1)))</f>
        <v/>
      </c>
      <c r="R1835">
        <f>IF(OR($R1834="",$R1834="T"),"",IF($R1834="B","S",IF($Q1834+1&gt;$K$3,"T",IF(INDEX($M$4:$M$2003,MATCH($Q1834+1,$P$4:$P$2003,0))&lt;&gt;INDEX($M$4:$M$2003,MATCH($Q1834,$P$4:$P$2003,0)),"B","S"))))</f>
        <v/>
      </c>
      <c r="S1835">
        <f>IF(Q1835="","",IFERROR(MATCH(Q1835,$P$4:$P$2003,0),""))</f>
        <v/>
      </c>
    </row>
    <row r="1836">
      <c r="A1836" s="4">
        <f>IF($R1836="","",IF($R1836="T","Gesamtergebnis",IF($R1836="B",INDEX($M$4:$M$2003,$S1836),INDEX($L$4:$L$2003,$S1836))))</f>
        <v/>
      </c>
      <c r="B1836" s="4">
        <f>IF($R1836="","",IF($R1836="T",$K$3,IF($R1836="B",COUNTIFS($M$4:$M$2003,INDEX($M$4:$M$2003,$S1836),$N$4:$N$2003,1),1)))</f>
        <v/>
      </c>
      <c r="L1836">
        <f>IF($K$1="","",IFERROR(INDEX(Lines!$A:$AA,ROW()-2,$K$1),""))</f>
        <v/>
      </c>
      <c r="M1836">
        <f>IF($K$2="","",IFERROR(INDEX(Lines!$A:$AA,ROW()-2,$K$2),""))</f>
        <v/>
      </c>
      <c r="N1836">
        <f>IF(AND(L1836&lt;&gt;"",LEFT(L1836,1)="N",M1836&lt;&gt;"PICKING",M1836&lt;&gt;""),1,0)</f>
        <v/>
      </c>
      <c r="O1836">
        <f>IF(N1836=1,M1836&amp;"|"&amp;L1836,REPT("z",40))</f>
        <v/>
      </c>
      <c r="P1836">
        <f>IF(N1836=1,COUNTIF($O$4:$O$2003,"&lt;"&amp;O1836)+1,"")</f>
        <v/>
      </c>
      <c r="Q1836">
        <f>IF(OR($R1835="",$R1835="T"),"",IF($R1835="B",$Q1835,IF($Q1835+1&gt;$K$3,"",$Q1835+1)))</f>
        <v/>
      </c>
      <c r="R1836">
        <f>IF(OR($R1835="",$R1835="T"),"",IF($R1835="B","S",IF($Q1835+1&gt;$K$3,"T",IF(INDEX($M$4:$M$2003,MATCH($Q1835+1,$P$4:$P$2003,0))&lt;&gt;INDEX($M$4:$M$2003,MATCH($Q1835,$P$4:$P$2003,0)),"B","S"))))</f>
        <v/>
      </c>
      <c r="S1836">
        <f>IF(Q1836="","",IFERROR(MATCH(Q1836,$P$4:$P$2003,0),""))</f>
        <v/>
      </c>
    </row>
    <row r="1837">
      <c r="A1837" s="4">
        <f>IF($R1837="","",IF($R1837="T","Gesamtergebnis",IF($R1837="B",INDEX($M$4:$M$2003,$S1837),INDEX($L$4:$L$2003,$S1837))))</f>
        <v/>
      </c>
      <c r="B1837" s="4">
        <f>IF($R1837="","",IF($R1837="T",$K$3,IF($R1837="B",COUNTIFS($M$4:$M$2003,INDEX($M$4:$M$2003,$S1837),$N$4:$N$2003,1),1)))</f>
        <v/>
      </c>
      <c r="L1837">
        <f>IF($K$1="","",IFERROR(INDEX(Lines!$A:$AA,ROW()-2,$K$1),""))</f>
        <v/>
      </c>
      <c r="M1837">
        <f>IF($K$2="","",IFERROR(INDEX(Lines!$A:$AA,ROW()-2,$K$2),""))</f>
        <v/>
      </c>
      <c r="N1837">
        <f>IF(AND(L1837&lt;&gt;"",LEFT(L1837,1)="N",M1837&lt;&gt;"PICKING",M1837&lt;&gt;""),1,0)</f>
        <v/>
      </c>
      <c r="O1837">
        <f>IF(N1837=1,M1837&amp;"|"&amp;L1837,REPT("z",40))</f>
        <v/>
      </c>
      <c r="P1837">
        <f>IF(N1837=1,COUNTIF($O$4:$O$2003,"&lt;"&amp;O1837)+1,"")</f>
        <v/>
      </c>
      <c r="Q1837">
        <f>IF(OR($R1836="",$R1836="T"),"",IF($R1836="B",$Q1836,IF($Q1836+1&gt;$K$3,"",$Q1836+1)))</f>
        <v/>
      </c>
      <c r="R1837">
        <f>IF(OR($R1836="",$R1836="T"),"",IF($R1836="B","S",IF($Q1836+1&gt;$K$3,"T",IF(INDEX($M$4:$M$2003,MATCH($Q1836+1,$P$4:$P$2003,0))&lt;&gt;INDEX($M$4:$M$2003,MATCH($Q1836,$P$4:$P$2003,0)),"B","S"))))</f>
        <v/>
      </c>
      <c r="S1837">
        <f>IF(Q1837="","",IFERROR(MATCH(Q1837,$P$4:$P$2003,0),""))</f>
        <v/>
      </c>
    </row>
    <row r="1838">
      <c r="A1838" s="4">
        <f>IF($R1838="","",IF($R1838="T","Gesamtergebnis",IF($R1838="B",INDEX($M$4:$M$2003,$S1838),INDEX($L$4:$L$2003,$S1838))))</f>
        <v/>
      </c>
      <c r="B1838" s="4">
        <f>IF($R1838="","",IF($R1838="T",$K$3,IF($R1838="B",COUNTIFS($M$4:$M$2003,INDEX($M$4:$M$2003,$S1838),$N$4:$N$2003,1),1)))</f>
        <v/>
      </c>
      <c r="L1838">
        <f>IF($K$1="","",IFERROR(INDEX(Lines!$A:$AA,ROW()-2,$K$1),""))</f>
        <v/>
      </c>
      <c r="M1838">
        <f>IF($K$2="","",IFERROR(INDEX(Lines!$A:$AA,ROW()-2,$K$2),""))</f>
        <v/>
      </c>
      <c r="N1838">
        <f>IF(AND(L1838&lt;&gt;"",LEFT(L1838,1)="N",M1838&lt;&gt;"PICKING",M1838&lt;&gt;""),1,0)</f>
        <v/>
      </c>
      <c r="O1838">
        <f>IF(N1838=1,M1838&amp;"|"&amp;L1838,REPT("z",40))</f>
        <v/>
      </c>
      <c r="P1838">
        <f>IF(N1838=1,COUNTIF($O$4:$O$2003,"&lt;"&amp;O1838)+1,"")</f>
        <v/>
      </c>
      <c r="Q1838">
        <f>IF(OR($R1837="",$R1837="T"),"",IF($R1837="B",$Q1837,IF($Q1837+1&gt;$K$3,"",$Q1837+1)))</f>
        <v/>
      </c>
      <c r="R1838">
        <f>IF(OR($R1837="",$R1837="T"),"",IF($R1837="B","S",IF($Q1837+1&gt;$K$3,"T",IF(INDEX($M$4:$M$2003,MATCH($Q1837+1,$P$4:$P$2003,0))&lt;&gt;INDEX($M$4:$M$2003,MATCH($Q1837,$P$4:$P$2003,0)),"B","S"))))</f>
        <v/>
      </c>
      <c r="S1838">
        <f>IF(Q1838="","",IFERROR(MATCH(Q1838,$P$4:$P$2003,0),""))</f>
        <v/>
      </c>
    </row>
    <row r="1839">
      <c r="A1839" s="4">
        <f>IF($R1839="","",IF($R1839="T","Gesamtergebnis",IF($R1839="B",INDEX($M$4:$M$2003,$S1839),INDEX($L$4:$L$2003,$S1839))))</f>
        <v/>
      </c>
      <c r="B1839" s="4">
        <f>IF($R1839="","",IF($R1839="T",$K$3,IF($R1839="B",COUNTIFS($M$4:$M$2003,INDEX($M$4:$M$2003,$S1839),$N$4:$N$2003,1),1)))</f>
        <v/>
      </c>
      <c r="L1839">
        <f>IF($K$1="","",IFERROR(INDEX(Lines!$A:$AA,ROW()-2,$K$1),""))</f>
        <v/>
      </c>
      <c r="M1839">
        <f>IF($K$2="","",IFERROR(INDEX(Lines!$A:$AA,ROW()-2,$K$2),""))</f>
        <v/>
      </c>
      <c r="N1839">
        <f>IF(AND(L1839&lt;&gt;"",LEFT(L1839,1)="N",M1839&lt;&gt;"PICKING",M1839&lt;&gt;""),1,0)</f>
        <v/>
      </c>
      <c r="O1839">
        <f>IF(N1839=1,M1839&amp;"|"&amp;L1839,REPT("z",40))</f>
        <v/>
      </c>
      <c r="P1839">
        <f>IF(N1839=1,COUNTIF($O$4:$O$2003,"&lt;"&amp;O1839)+1,"")</f>
        <v/>
      </c>
      <c r="Q1839">
        <f>IF(OR($R1838="",$R1838="T"),"",IF($R1838="B",$Q1838,IF($Q1838+1&gt;$K$3,"",$Q1838+1)))</f>
        <v/>
      </c>
      <c r="R1839">
        <f>IF(OR($R1838="",$R1838="T"),"",IF($R1838="B","S",IF($Q1838+1&gt;$K$3,"T",IF(INDEX($M$4:$M$2003,MATCH($Q1838+1,$P$4:$P$2003,0))&lt;&gt;INDEX($M$4:$M$2003,MATCH($Q1838,$P$4:$P$2003,0)),"B","S"))))</f>
        <v/>
      </c>
      <c r="S1839">
        <f>IF(Q1839="","",IFERROR(MATCH(Q1839,$P$4:$P$2003,0),""))</f>
        <v/>
      </c>
    </row>
    <row r="1840">
      <c r="A1840" s="4">
        <f>IF($R1840="","",IF($R1840="T","Gesamtergebnis",IF($R1840="B",INDEX($M$4:$M$2003,$S1840),INDEX($L$4:$L$2003,$S1840))))</f>
        <v/>
      </c>
      <c r="B1840" s="4">
        <f>IF($R1840="","",IF($R1840="T",$K$3,IF($R1840="B",COUNTIFS($M$4:$M$2003,INDEX($M$4:$M$2003,$S1840),$N$4:$N$2003,1),1)))</f>
        <v/>
      </c>
      <c r="L1840">
        <f>IF($K$1="","",IFERROR(INDEX(Lines!$A:$AA,ROW()-2,$K$1),""))</f>
        <v/>
      </c>
      <c r="M1840">
        <f>IF($K$2="","",IFERROR(INDEX(Lines!$A:$AA,ROW()-2,$K$2),""))</f>
        <v/>
      </c>
      <c r="N1840">
        <f>IF(AND(L1840&lt;&gt;"",LEFT(L1840,1)="N",M1840&lt;&gt;"PICKING",M1840&lt;&gt;""),1,0)</f>
        <v/>
      </c>
      <c r="O1840">
        <f>IF(N1840=1,M1840&amp;"|"&amp;L1840,REPT("z",40))</f>
        <v/>
      </c>
      <c r="P1840">
        <f>IF(N1840=1,COUNTIF($O$4:$O$2003,"&lt;"&amp;O1840)+1,"")</f>
        <v/>
      </c>
      <c r="Q1840">
        <f>IF(OR($R1839="",$R1839="T"),"",IF($R1839="B",$Q1839,IF($Q1839+1&gt;$K$3,"",$Q1839+1)))</f>
        <v/>
      </c>
      <c r="R1840">
        <f>IF(OR($R1839="",$R1839="T"),"",IF($R1839="B","S",IF($Q1839+1&gt;$K$3,"T",IF(INDEX($M$4:$M$2003,MATCH($Q1839+1,$P$4:$P$2003,0))&lt;&gt;INDEX($M$4:$M$2003,MATCH($Q1839,$P$4:$P$2003,0)),"B","S"))))</f>
        <v/>
      </c>
      <c r="S1840">
        <f>IF(Q1840="","",IFERROR(MATCH(Q1840,$P$4:$P$2003,0),""))</f>
        <v/>
      </c>
    </row>
    <row r="1841">
      <c r="A1841" s="4">
        <f>IF($R1841="","",IF($R1841="T","Gesamtergebnis",IF($R1841="B",INDEX($M$4:$M$2003,$S1841),INDEX($L$4:$L$2003,$S1841))))</f>
        <v/>
      </c>
      <c r="B1841" s="4">
        <f>IF($R1841="","",IF($R1841="T",$K$3,IF($R1841="B",COUNTIFS($M$4:$M$2003,INDEX($M$4:$M$2003,$S1841),$N$4:$N$2003,1),1)))</f>
        <v/>
      </c>
      <c r="L1841">
        <f>IF($K$1="","",IFERROR(INDEX(Lines!$A:$AA,ROW()-2,$K$1),""))</f>
        <v/>
      </c>
      <c r="M1841">
        <f>IF($K$2="","",IFERROR(INDEX(Lines!$A:$AA,ROW()-2,$K$2),""))</f>
        <v/>
      </c>
      <c r="N1841">
        <f>IF(AND(L1841&lt;&gt;"",LEFT(L1841,1)="N",M1841&lt;&gt;"PICKING",M1841&lt;&gt;""),1,0)</f>
        <v/>
      </c>
      <c r="O1841">
        <f>IF(N1841=1,M1841&amp;"|"&amp;L1841,REPT("z",40))</f>
        <v/>
      </c>
      <c r="P1841">
        <f>IF(N1841=1,COUNTIF($O$4:$O$2003,"&lt;"&amp;O1841)+1,"")</f>
        <v/>
      </c>
      <c r="Q1841">
        <f>IF(OR($R1840="",$R1840="T"),"",IF($R1840="B",$Q1840,IF($Q1840+1&gt;$K$3,"",$Q1840+1)))</f>
        <v/>
      </c>
      <c r="R1841">
        <f>IF(OR($R1840="",$R1840="T"),"",IF($R1840="B","S",IF($Q1840+1&gt;$K$3,"T",IF(INDEX($M$4:$M$2003,MATCH($Q1840+1,$P$4:$P$2003,0))&lt;&gt;INDEX($M$4:$M$2003,MATCH($Q1840,$P$4:$P$2003,0)),"B","S"))))</f>
        <v/>
      </c>
      <c r="S1841">
        <f>IF(Q1841="","",IFERROR(MATCH(Q1841,$P$4:$P$2003,0),""))</f>
        <v/>
      </c>
    </row>
    <row r="1842">
      <c r="A1842" s="4">
        <f>IF($R1842="","",IF($R1842="T","Gesamtergebnis",IF($R1842="B",INDEX($M$4:$M$2003,$S1842),INDEX($L$4:$L$2003,$S1842))))</f>
        <v/>
      </c>
      <c r="B1842" s="4">
        <f>IF($R1842="","",IF($R1842="T",$K$3,IF($R1842="B",COUNTIFS($M$4:$M$2003,INDEX($M$4:$M$2003,$S1842),$N$4:$N$2003,1),1)))</f>
        <v/>
      </c>
      <c r="L1842">
        <f>IF($K$1="","",IFERROR(INDEX(Lines!$A:$AA,ROW()-2,$K$1),""))</f>
        <v/>
      </c>
      <c r="M1842">
        <f>IF($K$2="","",IFERROR(INDEX(Lines!$A:$AA,ROW()-2,$K$2),""))</f>
        <v/>
      </c>
      <c r="N1842">
        <f>IF(AND(L1842&lt;&gt;"",LEFT(L1842,1)="N",M1842&lt;&gt;"PICKING",M1842&lt;&gt;""),1,0)</f>
        <v/>
      </c>
      <c r="O1842">
        <f>IF(N1842=1,M1842&amp;"|"&amp;L1842,REPT("z",40))</f>
        <v/>
      </c>
      <c r="P1842">
        <f>IF(N1842=1,COUNTIF($O$4:$O$2003,"&lt;"&amp;O1842)+1,"")</f>
        <v/>
      </c>
      <c r="Q1842">
        <f>IF(OR($R1841="",$R1841="T"),"",IF($R1841="B",$Q1841,IF($Q1841+1&gt;$K$3,"",$Q1841+1)))</f>
        <v/>
      </c>
      <c r="R1842">
        <f>IF(OR($R1841="",$R1841="T"),"",IF($R1841="B","S",IF($Q1841+1&gt;$K$3,"T",IF(INDEX($M$4:$M$2003,MATCH($Q1841+1,$P$4:$P$2003,0))&lt;&gt;INDEX($M$4:$M$2003,MATCH($Q1841,$P$4:$P$2003,0)),"B","S"))))</f>
        <v/>
      </c>
      <c r="S1842">
        <f>IF(Q1842="","",IFERROR(MATCH(Q1842,$P$4:$P$2003,0),""))</f>
        <v/>
      </c>
    </row>
    <row r="1843">
      <c r="A1843" s="4">
        <f>IF($R1843="","",IF($R1843="T","Gesamtergebnis",IF($R1843="B",INDEX($M$4:$M$2003,$S1843),INDEX($L$4:$L$2003,$S1843))))</f>
        <v/>
      </c>
      <c r="B1843" s="4">
        <f>IF($R1843="","",IF($R1843="T",$K$3,IF($R1843="B",COUNTIFS($M$4:$M$2003,INDEX($M$4:$M$2003,$S1843),$N$4:$N$2003,1),1)))</f>
        <v/>
      </c>
      <c r="L1843">
        <f>IF($K$1="","",IFERROR(INDEX(Lines!$A:$AA,ROW()-2,$K$1),""))</f>
        <v/>
      </c>
      <c r="M1843">
        <f>IF($K$2="","",IFERROR(INDEX(Lines!$A:$AA,ROW()-2,$K$2),""))</f>
        <v/>
      </c>
      <c r="N1843">
        <f>IF(AND(L1843&lt;&gt;"",LEFT(L1843,1)="N",M1843&lt;&gt;"PICKING",M1843&lt;&gt;""),1,0)</f>
        <v/>
      </c>
      <c r="O1843">
        <f>IF(N1843=1,M1843&amp;"|"&amp;L1843,REPT("z",40))</f>
        <v/>
      </c>
      <c r="P1843">
        <f>IF(N1843=1,COUNTIF($O$4:$O$2003,"&lt;"&amp;O1843)+1,"")</f>
        <v/>
      </c>
      <c r="Q1843">
        <f>IF(OR($R1842="",$R1842="T"),"",IF($R1842="B",$Q1842,IF($Q1842+1&gt;$K$3,"",$Q1842+1)))</f>
        <v/>
      </c>
      <c r="R1843">
        <f>IF(OR($R1842="",$R1842="T"),"",IF($R1842="B","S",IF($Q1842+1&gt;$K$3,"T",IF(INDEX($M$4:$M$2003,MATCH($Q1842+1,$P$4:$P$2003,0))&lt;&gt;INDEX($M$4:$M$2003,MATCH($Q1842,$P$4:$P$2003,0)),"B","S"))))</f>
        <v/>
      </c>
      <c r="S1843">
        <f>IF(Q1843="","",IFERROR(MATCH(Q1843,$P$4:$P$2003,0),""))</f>
        <v/>
      </c>
    </row>
    <row r="1844">
      <c r="A1844" s="4">
        <f>IF($R1844="","",IF($R1844="T","Gesamtergebnis",IF($R1844="B",INDEX($M$4:$M$2003,$S1844),INDEX($L$4:$L$2003,$S1844))))</f>
        <v/>
      </c>
      <c r="B1844" s="4">
        <f>IF($R1844="","",IF($R1844="T",$K$3,IF($R1844="B",COUNTIFS($M$4:$M$2003,INDEX($M$4:$M$2003,$S1844),$N$4:$N$2003,1),1)))</f>
        <v/>
      </c>
      <c r="L1844">
        <f>IF($K$1="","",IFERROR(INDEX(Lines!$A:$AA,ROW()-2,$K$1),""))</f>
        <v/>
      </c>
      <c r="M1844">
        <f>IF($K$2="","",IFERROR(INDEX(Lines!$A:$AA,ROW()-2,$K$2),""))</f>
        <v/>
      </c>
      <c r="N1844">
        <f>IF(AND(L1844&lt;&gt;"",LEFT(L1844,1)="N",M1844&lt;&gt;"PICKING",M1844&lt;&gt;""),1,0)</f>
        <v/>
      </c>
      <c r="O1844">
        <f>IF(N1844=1,M1844&amp;"|"&amp;L1844,REPT("z",40))</f>
        <v/>
      </c>
      <c r="P1844">
        <f>IF(N1844=1,COUNTIF($O$4:$O$2003,"&lt;"&amp;O1844)+1,"")</f>
        <v/>
      </c>
      <c r="Q1844">
        <f>IF(OR($R1843="",$R1843="T"),"",IF($R1843="B",$Q1843,IF($Q1843+1&gt;$K$3,"",$Q1843+1)))</f>
        <v/>
      </c>
      <c r="R1844">
        <f>IF(OR($R1843="",$R1843="T"),"",IF($R1843="B","S",IF($Q1843+1&gt;$K$3,"T",IF(INDEX($M$4:$M$2003,MATCH($Q1843+1,$P$4:$P$2003,0))&lt;&gt;INDEX($M$4:$M$2003,MATCH($Q1843,$P$4:$P$2003,0)),"B","S"))))</f>
        <v/>
      </c>
      <c r="S1844">
        <f>IF(Q1844="","",IFERROR(MATCH(Q1844,$P$4:$P$2003,0),""))</f>
        <v/>
      </c>
    </row>
    <row r="1845">
      <c r="A1845" s="4">
        <f>IF($R1845="","",IF($R1845="T","Gesamtergebnis",IF($R1845="B",INDEX($M$4:$M$2003,$S1845),INDEX($L$4:$L$2003,$S1845))))</f>
        <v/>
      </c>
      <c r="B1845" s="4">
        <f>IF($R1845="","",IF($R1845="T",$K$3,IF($R1845="B",COUNTIFS($M$4:$M$2003,INDEX($M$4:$M$2003,$S1845),$N$4:$N$2003,1),1)))</f>
        <v/>
      </c>
      <c r="L1845">
        <f>IF($K$1="","",IFERROR(INDEX(Lines!$A:$AA,ROW()-2,$K$1),""))</f>
        <v/>
      </c>
      <c r="M1845">
        <f>IF($K$2="","",IFERROR(INDEX(Lines!$A:$AA,ROW()-2,$K$2),""))</f>
        <v/>
      </c>
      <c r="N1845">
        <f>IF(AND(L1845&lt;&gt;"",LEFT(L1845,1)="N",M1845&lt;&gt;"PICKING",M1845&lt;&gt;""),1,0)</f>
        <v/>
      </c>
      <c r="O1845">
        <f>IF(N1845=1,M1845&amp;"|"&amp;L1845,REPT("z",40))</f>
        <v/>
      </c>
      <c r="P1845">
        <f>IF(N1845=1,COUNTIF($O$4:$O$2003,"&lt;"&amp;O1845)+1,"")</f>
        <v/>
      </c>
      <c r="Q1845">
        <f>IF(OR($R1844="",$R1844="T"),"",IF($R1844="B",$Q1844,IF($Q1844+1&gt;$K$3,"",$Q1844+1)))</f>
        <v/>
      </c>
      <c r="R1845">
        <f>IF(OR($R1844="",$R1844="T"),"",IF($R1844="B","S",IF($Q1844+1&gt;$K$3,"T",IF(INDEX($M$4:$M$2003,MATCH($Q1844+1,$P$4:$P$2003,0))&lt;&gt;INDEX($M$4:$M$2003,MATCH($Q1844,$P$4:$P$2003,0)),"B","S"))))</f>
        <v/>
      </c>
      <c r="S1845">
        <f>IF(Q1845="","",IFERROR(MATCH(Q1845,$P$4:$P$2003,0),""))</f>
        <v/>
      </c>
    </row>
    <row r="1846">
      <c r="A1846" s="4">
        <f>IF($R1846="","",IF($R1846="T","Gesamtergebnis",IF($R1846="B",INDEX($M$4:$M$2003,$S1846),INDEX($L$4:$L$2003,$S1846))))</f>
        <v/>
      </c>
      <c r="B1846" s="4">
        <f>IF($R1846="","",IF($R1846="T",$K$3,IF($R1846="B",COUNTIFS($M$4:$M$2003,INDEX($M$4:$M$2003,$S1846),$N$4:$N$2003,1),1)))</f>
        <v/>
      </c>
      <c r="L1846">
        <f>IF($K$1="","",IFERROR(INDEX(Lines!$A:$AA,ROW()-2,$K$1),""))</f>
        <v/>
      </c>
      <c r="M1846">
        <f>IF($K$2="","",IFERROR(INDEX(Lines!$A:$AA,ROW()-2,$K$2),""))</f>
        <v/>
      </c>
      <c r="N1846">
        <f>IF(AND(L1846&lt;&gt;"",LEFT(L1846,1)="N",M1846&lt;&gt;"PICKING",M1846&lt;&gt;""),1,0)</f>
        <v/>
      </c>
      <c r="O1846">
        <f>IF(N1846=1,M1846&amp;"|"&amp;L1846,REPT("z",40))</f>
        <v/>
      </c>
      <c r="P1846">
        <f>IF(N1846=1,COUNTIF($O$4:$O$2003,"&lt;"&amp;O1846)+1,"")</f>
        <v/>
      </c>
      <c r="Q1846">
        <f>IF(OR($R1845="",$R1845="T"),"",IF($R1845="B",$Q1845,IF($Q1845+1&gt;$K$3,"",$Q1845+1)))</f>
        <v/>
      </c>
      <c r="R1846">
        <f>IF(OR($R1845="",$R1845="T"),"",IF($R1845="B","S",IF($Q1845+1&gt;$K$3,"T",IF(INDEX($M$4:$M$2003,MATCH($Q1845+1,$P$4:$P$2003,0))&lt;&gt;INDEX($M$4:$M$2003,MATCH($Q1845,$P$4:$P$2003,0)),"B","S"))))</f>
        <v/>
      </c>
      <c r="S1846">
        <f>IF(Q1846="","",IFERROR(MATCH(Q1846,$P$4:$P$2003,0),""))</f>
        <v/>
      </c>
    </row>
    <row r="1847">
      <c r="A1847" s="4">
        <f>IF($R1847="","",IF($R1847="T","Gesamtergebnis",IF($R1847="B",INDEX($M$4:$M$2003,$S1847),INDEX($L$4:$L$2003,$S1847))))</f>
        <v/>
      </c>
      <c r="B1847" s="4">
        <f>IF($R1847="","",IF($R1847="T",$K$3,IF($R1847="B",COUNTIFS($M$4:$M$2003,INDEX($M$4:$M$2003,$S1847),$N$4:$N$2003,1),1)))</f>
        <v/>
      </c>
      <c r="L1847">
        <f>IF($K$1="","",IFERROR(INDEX(Lines!$A:$AA,ROW()-2,$K$1),""))</f>
        <v/>
      </c>
      <c r="M1847">
        <f>IF($K$2="","",IFERROR(INDEX(Lines!$A:$AA,ROW()-2,$K$2),""))</f>
        <v/>
      </c>
      <c r="N1847">
        <f>IF(AND(L1847&lt;&gt;"",LEFT(L1847,1)="N",M1847&lt;&gt;"PICKING",M1847&lt;&gt;""),1,0)</f>
        <v/>
      </c>
      <c r="O1847">
        <f>IF(N1847=1,M1847&amp;"|"&amp;L1847,REPT("z",40))</f>
        <v/>
      </c>
      <c r="P1847">
        <f>IF(N1847=1,COUNTIF($O$4:$O$2003,"&lt;"&amp;O1847)+1,"")</f>
        <v/>
      </c>
      <c r="Q1847">
        <f>IF(OR($R1846="",$R1846="T"),"",IF($R1846="B",$Q1846,IF($Q1846+1&gt;$K$3,"",$Q1846+1)))</f>
        <v/>
      </c>
      <c r="R1847">
        <f>IF(OR($R1846="",$R1846="T"),"",IF($R1846="B","S",IF($Q1846+1&gt;$K$3,"T",IF(INDEX($M$4:$M$2003,MATCH($Q1846+1,$P$4:$P$2003,0))&lt;&gt;INDEX($M$4:$M$2003,MATCH($Q1846,$P$4:$P$2003,0)),"B","S"))))</f>
        <v/>
      </c>
      <c r="S1847">
        <f>IF(Q1847="","",IFERROR(MATCH(Q1847,$P$4:$P$2003,0),""))</f>
        <v/>
      </c>
    </row>
    <row r="1848">
      <c r="A1848" s="4">
        <f>IF($R1848="","",IF($R1848="T","Gesamtergebnis",IF($R1848="B",INDEX($M$4:$M$2003,$S1848),INDEX($L$4:$L$2003,$S1848))))</f>
        <v/>
      </c>
      <c r="B1848" s="4">
        <f>IF($R1848="","",IF($R1848="T",$K$3,IF($R1848="B",COUNTIFS($M$4:$M$2003,INDEX($M$4:$M$2003,$S1848),$N$4:$N$2003,1),1)))</f>
        <v/>
      </c>
      <c r="L1848">
        <f>IF($K$1="","",IFERROR(INDEX(Lines!$A:$AA,ROW()-2,$K$1),""))</f>
        <v/>
      </c>
      <c r="M1848">
        <f>IF($K$2="","",IFERROR(INDEX(Lines!$A:$AA,ROW()-2,$K$2),""))</f>
        <v/>
      </c>
      <c r="N1848">
        <f>IF(AND(L1848&lt;&gt;"",LEFT(L1848,1)="N",M1848&lt;&gt;"PICKING",M1848&lt;&gt;""),1,0)</f>
        <v/>
      </c>
      <c r="O1848">
        <f>IF(N1848=1,M1848&amp;"|"&amp;L1848,REPT("z",40))</f>
        <v/>
      </c>
      <c r="P1848">
        <f>IF(N1848=1,COUNTIF($O$4:$O$2003,"&lt;"&amp;O1848)+1,"")</f>
        <v/>
      </c>
      <c r="Q1848">
        <f>IF(OR($R1847="",$R1847="T"),"",IF($R1847="B",$Q1847,IF($Q1847+1&gt;$K$3,"",$Q1847+1)))</f>
        <v/>
      </c>
      <c r="R1848">
        <f>IF(OR($R1847="",$R1847="T"),"",IF($R1847="B","S",IF($Q1847+1&gt;$K$3,"T",IF(INDEX($M$4:$M$2003,MATCH($Q1847+1,$P$4:$P$2003,0))&lt;&gt;INDEX($M$4:$M$2003,MATCH($Q1847,$P$4:$P$2003,0)),"B","S"))))</f>
        <v/>
      </c>
      <c r="S1848">
        <f>IF(Q1848="","",IFERROR(MATCH(Q1848,$P$4:$P$2003,0),""))</f>
        <v/>
      </c>
    </row>
    <row r="1849">
      <c r="A1849" s="4">
        <f>IF($R1849="","",IF($R1849="T","Gesamtergebnis",IF($R1849="B",INDEX($M$4:$M$2003,$S1849),INDEX($L$4:$L$2003,$S1849))))</f>
        <v/>
      </c>
      <c r="B1849" s="4">
        <f>IF($R1849="","",IF($R1849="T",$K$3,IF($R1849="B",COUNTIFS($M$4:$M$2003,INDEX($M$4:$M$2003,$S1849),$N$4:$N$2003,1),1)))</f>
        <v/>
      </c>
      <c r="L1849">
        <f>IF($K$1="","",IFERROR(INDEX(Lines!$A:$AA,ROW()-2,$K$1),""))</f>
        <v/>
      </c>
      <c r="M1849">
        <f>IF($K$2="","",IFERROR(INDEX(Lines!$A:$AA,ROW()-2,$K$2),""))</f>
        <v/>
      </c>
      <c r="N1849">
        <f>IF(AND(L1849&lt;&gt;"",LEFT(L1849,1)="N",M1849&lt;&gt;"PICKING",M1849&lt;&gt;""),1,0)</f>
        <v/>
      </c>
      <c r="O1849">
        <f>IF(N1849=1,M1849&amp;"|"&amp;L1849,REPT("z",40))</f>
        <v/>
      </c>
      <c r="P1849">
        <f>IF(N1849=1,COUNTIF($O$4:$O$2003,"&lt;"&amp;O1849)+1,"")</f>
        <v/>
      </c>
      <c r="Q1849">
        <f>IF(OR($R1848="",$R1848="T"),"",IF($R1848="B",$Q1848,IF($Q1848+1&gt;$K$3,"",$Q1848+1)))</f>
        <v/>
      </c>
      <c r="R1849">
        <f>IF(OR($R1848="",$R1848="T"),"",IF($R1848="B","S",IF($Q1848+1&gt;$K$3,"T",IF(INDEX($M$4:$M$2003,MATCH($Q1848+1,$P$4:$P$2003,0))&lt;&gt;INDEX($M$4:$M$2003,MATCH($Q1848,$P$4:$P$2003,0)),"B","S"))))</f>
        <v/>
      </c>
      <c r="S1849">
        <f>IF(Q1849="","",IFERROR(MATCH(Q1849,$P$4:$P$2003,0),""))</f>
        <v/>
      </c>
    </row>
    <row r="1850">
      <c r="A1850" s="4">
        <f>IF($R1850="","",IF($R1850="T","Gesamtergebnis",IF($R1850="B",INDEX($M$4:$M$2003,$S1850),INDEX($L$4:$L$2003,$S1850))))</f>
        <v/>
      </c>
      <c r="B1850" s="4">
        <f>IF($R1850="","",IF($R1850="T",$K$3,IF($R1850="B",COUNTIFS($M$4:$M$2003,INDEX($M$4:$M$2003,$S1850),$N$4:$N$2003,1),1)))</f>
        <v/>
      </c>
      <c r="L1850">
        <f>IF($K$1="","",IFERROR(INDEX(Lines!$A:$AA,ROW()-2,$K$1),""))</f>
        <v/>
      </c>
      <c r="M1850">
        <f>IF($K$2="","",IFERROR(INDEX(Lines!$A:$AA,ROW()-2,$K$2),""))</f>
        <v/>
      </c>
      <c r="N1850">
        <f>IF(AND(L1850&lt;&gt;"",LEFT(L1850,1)="N",M1850&lt;&gt;"PICKING",M1850&lt;&gt;""),1,0)</f>
        <v/>
      </c>
      <c r="O1850">
        <f>IF(N1850=1,M1850&amp;"|"&amp;L1850,REPT("z",40))</f>
        <v/>
      </c>
      <c r="P1850">
        <f>IF(N1850=1,COUNTIF($O$4:$O$2003,"&lt;"&amp;O1850)+1,"")</f>
        <v/>
      </c>
      <c r="Q1850">
        <f>IF(OR($R1849="",$R1849="T"),"",IF($R1849="B",$Q1849,IF($Q1849+1&gt;$K$3,"",$Q1849+1)))</f>
        <v/>
      </c>
      <c r="R1850">
        <f>IF(OR($R1849="",$R1849="T"),"",IF($R1849="B","S",IF($Q1849+1&gt;$K$3,"T",IF(INDEX($M$4:$M$2003,MATCH($Q1849+1,$P$4:$P$2003,0))&lt;&gt;INDEX($M$4:$M$2003,MATCH($Q1849,$P$4:$P$2003,0)),"B","S"))))</f>
        <v/>
      </c>
      <c r="S1850">
        <f>IF(Q1850="","",IFERROR(MATCH(Q1850,$P$4:$P$2003,0),""))</f>
        <v/>
      </c>
    </row>
    <row r="1851">
      <c r="A1851" s="4">
        <f>IF($R1851="","",IF($R1851="T","Gesamtergebnis",IF($R1851="B",INDEX($M$4:$M$2003,$S1851),INDEX($L$4:$L$2003,$S1851))))</f>
        <v/>
      </c>
      <c r="B1851" s="4">
        <f>IF($R1851="","",IF($R1851="T",$K$3,IF($R1851="B",COUNTIFS($M$4:$M$2003,INDEX($M$4:$M$2003,$S1851),$N$4:$N$2003,1),1)))</f>
        <v/>
      </c>
      <c r="L1851">
        <f>IF($K$1="","",IFERROR(INDEX(Lines!$A:$AA,ROW()-2,$K$1),""))</f>
        <v/>
      </c>
      <c r="M1851">
        <f>IF($K$2="","",IFERROR(INDEX(Lines!$A:$AA,ROW()-2,$K$2),""))</f>
        <v/>
      </c>
      <c r="N1851">
        <f>IF(AND(L1851&lt;&gt;"",LEFT(L1851,1)="N",M1851&lt;&gt;"PICKING",M1851&lt;&gt;""),1,0)</f>
        <v/>
      </c>
      <c r="O1851">
        <f>IF(N1851=1,M1851&amp;"|"&amp;L1851,REPT("z",40))</f>
        <v/>
      </c>
      <c r="P1851">
        <f>IF(N1851=1,COUNTIF($O$4:$O$2003,"&lt;"&amp;O1851)+1,"")</f>
        <v/>
      </c>
      <c r="Q1851">
        <f>IF(OR($R1850="",$R1850="T"),"",IF($R1850="B",$Q1850,IF($Q1850+1&gt;$K$3,"",$Q1850+1)))</f>
        <v/>
      </c>
      <c r="R1851">
        <f>IF(OR($R1850="",$R1850="T"),"",IF($R1850="B","S",IF($Q1850+1&gt;$K$3,"T",IF(INDEX($M$4:$M$2003,MATCH($Q1850+1,$P$4:$P$2003,0))&lt;&gt;INDEX($M$4:$M$2003,MATCH($Q1850,$P$4:$P$2003,0)),"B","S"))))</f>
        <v/>
      </c>
      <c r="S1851">
        <f>IF(Q1851="","",IFERROR(MATCH(Q1851,$P$4:$P$2003,0),""))</f>
        <v/>
      </c>
    </row>
    <row r="1852">
      <c r="A1852" s="4">
        <f>IF($R1852="","",IF($R1852="T","Gesamtergebnis",IF($R1852="B",INDEX($M$4:$M$2003,$S1852),INDEX($L$4:$L$2003,$S1852))))</f>
        <v/>
      </c>
      <c r="B1852" s="4">
        <f>IF($R1852="","",IF($R1852="T",$K$3,IF($R1852="B",COUNTIFS($M$4:$M$2003,INDEX($M$4:$M$2003,$S1852),$N$4:$N$2003,1),1)))</f>
        <v/>
      </c>
      <c r="L1852">
        <f>IF($K$1="","",IFERROR(INDEX(Lines!$A:$AA,ROW()-2,$K$1),""))</f>
        <v/>
      </c>
      <c r="M1852">
        <f>IF($K$2="","",IFERROR(INDEX(Lines!$A:$AA,ROW()-2,$K$2),""))</f>
        <v/>
      </c>
      <c r="N1852">
        <f>IF(AND(L1852&lt;&gt;"",LEFT(L1852,1)="N",M1852&lt;&gt;"PICKING",M1852&lt;&gt;""),1,0)</f>
        <v/>
      </c>
      <c r="O1852">
        <f>IF(N1852=1,M1852&amp;"|"&amp;L1852,REPT("z",40))</f>
        <v/>
      </c>
      <c r="P1852">
        <f>IF(N1852=1,COUNTIF($O$4:$O$2003,"&lt;"&amp;O1852)+1,"")</f>
        <v/>
      </c>
      <c r="Q1852">
        <f>IF(OR($R1851="",$R1851="T"),"",IF($R1851="B",$Q1851,IF($Q1851+1&gt;$K$3,"",$Q1851+1)))</f>
        <v/>
      </c>
      <c r="R1852">
        <f>IF(OR($R1851="",$R1851="T"),"",IF($R1851="B","S",IF($Q1851+1&gt;$K$3,"T",IF(INDEX($M$4:$M$2003,MATCH($Q1851+1,$P$4:$P$2003,0))&lt;&gt;INDEX($M$4:$M$2003,MATCH($Q1851,$P$4:$P$2003,0)),"B","S"))))</f>
        <v/>
      </c>
      <c r="S1852">
        <f>IF(Q1852="","",IFERROR(MATCH(Q1852,$P$4:$P$2003,0),""))</f>
        <v/>
      </c>
    </row>
    <row r="1853">
      <c r="A1853" s="4">
        <f>IF($R1853="","",IF($R1853="T","Gesamtergebnis",IF($R1853="B",INDEX($M$4:$M$2003,$S1853),INDEX($L$4:$L$2003,$S1853))))</f>
        <v/>
      </c>
      <c r="B1853" s="4">
        <f>IF($R1853="","",IF($R1853="T",$K$3,IF($R1853="B",COUNTIFS($M$4:$M$2003,INDEX($M$4:$M$2003,$S1853),$N$4:$N$2003,1),1)))</f>
        <v/>
      </c>
      <c r="L1853">
        <f>IF($K$1="","",IFERROR(INDEX(Lines!$A:$AA,ROW()-2,$K$1),""))</f>
        <v/>
      </c>
      <c r="M1853">
        <f>IF($K$2="","",IFERROR(INDEX(Lines!$A:$AA,ROW()-2,$K$2),""))</f>
        <v/>
      </c>
      <c r="N1853">
        <f>IF(AND(L1853&lt;&gt;"",LEFT(L1853,1)="N",M1853&lt;&gt;"PICKING",M1853&lt;&gt;""),1,0)</f>
        <v/>
      </c>
      <c r="O1853">
        <f>IF(N1853=1,M1853&amp;"|"&amp;L1853,REPT("z",40))</f>
        <v/>
      </c>
      <c r="P1853">
        <f>IF(N1853=1,COUNTIF($O$4:$O$2003,"&lt;"&amp;O1853)+1,"")</f>
        <v/>
      </c>
      <c r="Q1853">
        <f>IF(OR($R1852="",$R1852="T"),"",IF($R1852="B",$Q1852,IF($Q1852+1&gt;$K$3,"",$Q1852+1)))</f>
        <v/>
      </c>
      <c r="R1853">
        <f>IF(OR($R1852="",$R1852="T"),"",IF($R1852="B","S",IF($Q1852+1&gt;$K$3,"T",IF(INDEX($M$4:$M$2003,MATCH($Q1852+1,$P$4:$P$2003,0))&lt;&gt;INDEX($M$4:$M$2003,MATCH($Q1852,$P$4:$P$2003,0)),"B","S"))))</f>
        <v/>
      </c>
      <c r="S1853">
        <f>IF(Q1853="","",IFERROR(MATCH(Q1853,$P$4:$P$2003,0),""))</f>
        <v/>
      </c>
    </row>
    <row r="1854">
      <c r="A1854" s="4">
        <f>IF($R1854="","",IF($R1854="T","Gesamtergebnis",IF($R1854="B",INDEX($M$4:$M$2003,$S1854),INDEX($L$4:$L$2003,$S1854))))</f>
        <v/>
      </c>
      <c r="B1854" s="4">
        <f>IF($R1854="","",IF($R1854="T",$K$3,IF($R1854="B",COUNTIFS($M$4:$M$2003,INDEX($M$4:$M$2003,$S1854),$N$4:$N$2003,1),1)))</f>
        <v/>
      </c>
      <c r="L1854">
        <f>IF($K$1="","",IFERROR(INDEX(Lines!$A:$AA,ROW()-2,$K$1),""))</f>
        <v/>
      </c>
      <c r="M1854">
        <f>IF($K$2="","",IFERROR(INDEX(Lines!$A:$AA,ROW()-2,$K$2),""))</f>
        <v/>
      </c>
      <c r="N1854">
        <f>IF(AND(L1854&lt;&gt;"",LEFT(L1854,1)="N",M1854&lt;&gt;"PICKING",M1854&lt;&gt;""),1,0)</f>
        <v/>
      </c>
      <c r="O1854">
        <f>IF(N1854=1,M1854&amp;"|"&amp;L1854,REPT("z",40))</f>
        <v/>
      </c>
      <c r="P1854">
        <f>IF(N1854=1,COUNTIF($O$4:$O$2003,"&lt;"&amp;O1854)+1,"")</f>
        <v/>
      </c>
      <c r="Q1854">
        <f>IF(OR($R1853="",$R1853="T"),"",IF($R1853="B",$Q1853,IF($Q1853+1&gt;$K$3,"",$Q1853+1)))</f>
        <v/>
      </c>
      <c r="R1854">
        <f>IF(OR($R1853="",$R1853="T"),"",IF($R1853="B","S",IF($Q1853+1&gt;$K$3,"T",IF(INDEX($M$4:$M$2003,MATCH($Q1853+1,$P$4:$P$2003,0))&lt;&gt;INDEX($M$4:$M$2003,MATCH($Q1853,$P$4:$P$2003,0)),"B","S"))))</f>
        <v/>
      </c>
      <c r="S1854">
        <f>IF(Q1854="","",IFERROR(MATCH(Q1854,$P$4:$P$2003,0),""))</f>
        <v/>
      </c>
    </row>
    <row r="1855">
      <c r="A1855" s="4">
        <f>IF($R1855="","",IF($R1855="T","Gesamtergebnis",IF($R1855="B",INDEX($M$4:$M$2003,$S1855),INDEX($L$4:$L$2003,$S1855))))</f>
        <v/>
      </c>
      <c r="B1855" s="4">
        <f>IF($R1855="","",IF($R1855="T",$K$3,IF($R1855="B",COUNTIFS($M$4:$M$2003,INDEX($M$4:$M$2003,$S1855),$N$4:$N$2003,1),1)))</f>
        <v/>
      </c>
      <c r="L1855">
        <f>IF($K$1="","",IFERROR(INDEX(Lines!$A:$AA,ROW()-2,$K$1),""))</f>
        <v/>
      </c>
      <c r="M1855">
        <f>IF($K$2="","",IFERROR(INDEX(Lines!$A:$AA,ROW()-2,$K$2),""))</f>
        <v/>
      </c>
      <c r="N1855">
        <f>IF(AND(L1855&lt;&gt;"",LEFT(L1855,1)="N",M1855&lt;&gt;"PICKING",M1855&lt;&gt;""),1,0)</f>
        <v/>
      </c>
      <c r="O1855">
        <f>IF(N1855=1,M1855&amp;"|"&amp;L1855,REPT("z",40))</f>
        <v/>
      </c>
      <c r="P1855">
        <f>IF(N1855=1,COUNTIF($O$4:$O$2003,"&lt;"&amp;O1855)+1,"")</f>
        <v/>
      </c>
      <c r="Q1855">
        <f>IF(OR($R1854="",$R1854="T"),"",IF($R1854="B",$Q1854,IF($Q1854+1&gt;$K$3,"",$Q1854+1)))</f>
        <v/>
      </c>
      <c r="R1855">
        <f>IF(OR($R1854="",$R1854="T"),"",IF($R1854="B","S",IF($Q1854+1&gt;$K$3,"T",IF(INDEX($M$4:$M$2003,MATCH($Q1854+1,$P$4:$P$2003,0))&lt;&gt;INDEX($M$4:$M$2003,MATCH($Q1854,$P$4:$P$2003,0)),"B","S"))))</f>
        <v/>
      </c>
      <c r="S1855">
        <f>IF(Q1855="","",IFERROR(MATCH(Q1855,$P$4:$P$2003,0),""))</f>
        <v/>
      </c>
    </row>
    <row r="1856">
      <c r="A1856" s="4">
        <f>IF($R1856="","",IF($R1856="T","Gesamtergebnis",IF($R1856="B",INDEX($M$4:$M$2003,$S1856),INDEX($L$4:$L$2003,$S1856))))</f>
        <v/>
      </c>
      <c r="B1856" s="4">
        <f>IF($R1856="","",IF($R1856="T",$K$3,IF($R1856="B",COUNTIFS($M$4:$M$2003,INDEX($M$4:$M$2003,$S1856),$N$4:$N$2003,1),1)))</f>
        <v/>
      </c>
      <c r="L1856">
        <f>IF($K$1="","",IFERROR(INDEX(Lines!$A:$AA,ROW()-2,$K$1),""))</f>
        <v/>
      </c>
      <c r="M1856">
        <f>IF($K$2="","",IFERROR(INDEX(Lines!$A:$AA,ROW()-2,$K$2),""))</f>
        <v/>
      </c>
      <c r="N1856">
        <f>IF(AND(L1856&lt;&gt;"",LEFT(L1856,1)="N",M1856&lt;&gt;"PICKING",M1856&lt;&gt;""),1,0)</f>
        <v/>
      </c>
      <c r="O1856">
        <f>IF(N1856=1,M1856&amp;"|"&amp;L1856,REPT("z",40))</f>
        <v/>
      </c>
      <c r="P1856">
        <f>IF(N1856=1,COUNTIF($O$4:$O$2003,"&lt;"&amp;O1856)+1,"")</f>
        <v/>
      </c>
      <c r="Q1856">
        <f>IF(OR($R1855="",$R1855="T"),"",IF($R1855="B",$Q1855,IF($Q1855+1&gt;$K$3,"",$Q1855+1)))</f>
        <v/>
      </c>
      <c r="R1856">
        <f>IF(OR($R1855="",$R1855="T"),"",IF($R1855="B","S",IF($Q1855+1&gt;$K$3,"T",IF(INDEX($M$4:$M$2003,MATCH($Q1855+1,$P$4:$P$2003,0))&lt;&gt;INDEX($M$4:$M$2003,MATCH($Q1855,$P$4:$P$2003,0)),"B","S"))))</f>
        <v/>
      </c>
      <c r="S1856">
        <f>IF(Q1856="","",IFERROR(MATCH(Q1856,$P$4:$P$2003,0),""))</f>
        <v/>
      </c>
    </row>
    <row r="1857">
      <c r="A1857" s="4">
        <f>IF($R1857="","",IF($R1857="T","Gesamtergebnis",IF($R1857="B",INDEX($M$4:$M$2003,$S1857),INDEX($L$4:$L$2003,$S1857))))</f>
        <v/>
      </c>
      <c r="B1857" s="4">
        <f>IF($R1857="","",IF($R1857="T",$K$3,IF($R1857="B",COUNTIFS($M$4:$M$2003,INDEX($M$4:$M$2003,$S1857),$N$4:$N$2003,1),1)))</f>
        <v/>
      </c>
      <c r="L1857">
        <f>IF($K$1="","",IFERROR(INDEX(Lines!$A:$AA,ROW()-2,$K$1),""))</f>
        <v/>
      </c>
      <c r="M1857">
        <f>IF($K$2="","",IFERROR(INDEX(Lines!$A:$AA,ROW()-2,$K$2),""))</f>
        <v/>
      </c>
      <c r="N1857">
        <f>IF(AND(L1857&lt;&gt;"",LEFT(L1857,1)="N",M1857&lt;&gt;"PICKING",M1857&lt;&gt;""),1,0)</f>
        <v/>
      </c>
      <c r="O1857">
        <f>IF(N1857=1,M1857&amp;"|"&amp;L1857,REPT("z",40))</f>
        <v/>
      </c>
      <c r="P1857">
        <f>IF(N1857=1,COUNTIF($O$4:$O$2003,"&lt;"&amp;O1857)+1,"")</f>
        <v/>
      </c>
      <c r="Q1857">
        <f>IF(OR($R1856="",$R1856="T"),"",IF($R1856="B",$Q1856,IF($Q1856+1&gt;$K$3,"",$Q1856+1)))</f>
        <v/>
      </c>
      <c r="R1857">
        <f>IF(OR($R1856="",$R1856="T"),"",IF($R1856="B","S",IF($Q1856+1&gt;$K$3,"T",IF(INDEX($M$4:$M$2003,MATCH($Q1856+1,$P$4:$P$2003,0))&lt;&gt;INDEX($M$4:$M$2003,MATCH($Q1856,$P$4:$P$2003,0)),"B","S"))))</f>
        <v/>
      </c>
      <c r="S1857">
        <f>IF(Q1857="","",IFERROR(MATCH(Q1857,$P$4:$P$2003,0),""))</f>
        <v/>
      </c>
    </row>
    <row r="1858">
      <c r="A1858" s="4">
        <f>IF($R1858="","",IF($R1858="T","Gesamtergebnis",IF($R1858="B",INDEX($M$4:$M$2003,$S1858),INDEX($L$4:$L$2003,$S1858))))</f>
        <v/>
      </c>
      <c r="B1858" s="4">
        <f>IF($R1858="","",IF($R1858="T",$K$3,IF($R1858="B",COUNTIFS($M$4:$M$2003,INDEX($M$4:$M$2003,$S1858),$N$4:$N$2003,1),1)))</f>
        <v/>
      </c>
      <c r="L1858">
        <f>IF($K$1="","",IFERROR(INDEX(Lines!$A:$AA,ROW()-2,$K$1),""))</f>
        <v/>
      </c>
      <c r="M1858">
        <f>IF($K$2="","",IFERROR(INDEX(Lines!$A:$AA,ROW()-2,$K$2),""))</f>
        <v/>
      </c>
      <c r="N1858">
        <f>IF(AND(L1858&lt;&gt;"",LEFT(L1858,1)="N",M1858&lt;&gt;"PICKING",M1858&lt;&gt;""),1,0)</f>
        <v/>
      </c>
      <c r="O1858">
        <f>IF(N1858=1,M1858&amp;"|"&amp;L1858,REPT("z",40))</f>
        <v/>
      </c>
      <c r="P1858">
        <f>IF(N1858=1,COUNTIF($O$4:$O$2003,"&lt;"&amp;O1858)+1,"")</f>
        <v/>
      </c>
      <c r="Q1858">
        <f>IF(OR($R1857="",$R1857="T"),"",IF($R1857="B",$Q1857,IF($Q1857+1&gt;$K$3,"",$Q1857+1)))</f>
        <v/>
      </c>
      <c r="R1858">
        <f>IF(OR($R1857="",$R1857="T"),"",IF($R1857="B","S",IF($Q1857+1&gt;$K$3,"T",IF(INDEX($M$4:$M$2003,MATCH($Q1857+1,$P$4:$P$2003,0))&lt;&gt;INDEX($M$4:$M$2003,MATCH($Q1857,$P$4:$P$2003,0)),"B","S"))))</f>
        <v/>
      </c>
      <c r="S1858">
        <f>IF(Q1858="","",IFERROR(MATCH(Q1858,$P$4:$P$2003,0),""))</f>
        <v/>
      </c>
    </row>
    <row r="1859">
      <c r="A1859" s="4">
        <f>IF($R1859="","",IF($R1859="T","Gesamtergebnis",IF($R1859="B",INDEX($M$4:$M$2003,$S1859),INDEX($L$4:$L$2003,$S1859))))</f>
        <v/>
      </c>
      <c r="B1859" s="4">
        <f>IF($R1859="","",IF($R1859="T",$K$3,IF($R1859="B",COUNTIFS($M$4:$M$2003,INDEX($M$4:$M$2003,$S1859),$N$4:$N$2003,1),1)))</f>
        <v/>
      </c>
      <c r="L1859">
        <f>IF($K$1="","",IFERROR(INDEX(Lines!$A:$AA,ROW()-2,$K$1),""))</f>
        <v/>
      </c>
      <c r="M1859">
        <f>IF($K$2="","",IFERROR(INDEX(Lines!$A:$AA,ROW()-2,$K$2),""))</f>
        <v/>
      </c>
      <c r="N1859">
        <f>IF(AND(L1859&lt;&gt;"",LEFT(L1859,1)="N",M1859&lt;&gt;"PICKING",M1859&lt;&gt;""),1,0)</f>
        <v/>
      </c>
      <c r="O1859">
        <f>IF(N1859=1,M1859&amp;"|"&amp;L1859,REPT("z",40))</f>
        <v/>
      </c>
      <c r="P1859">
        <f>IF(N1859=1,COUNTIF($O$4:$O$2003,"&lt;"&amp;O1859)+1,"")</f>
        <v/>
      </c>
      <c r="Q1859">
        <f>IF(OR($R1858="",$R1858="T"),"",IF($R1858="B",$Q1858,IF($Q1858+1&gt;$K$3,"",$Q1858+1)))</f>
        <v/>
      </c>
      <c r="R1859">
        <f>IF(OR($R1858="",$R1858="T"),"",IF($R1858="B","S",IF($Q1858+1&gt;$K$3,"T",IF(INDEX($M$4:$M$2003,MATCH($Q1858+1,$P$4:$P$2003,0))&lt;&gt;INDEX($M$4:$M$2003,MATCH($Q1858,$P$4:$P$2003,0)),"B","S"))))</f>
        <v/>
      </c>
      <c r="S1859">
        <f>IF(Q1859="","",IFERROR(MATCH(Q1859,$P$4:$P$2003,0),""))</f>
        <v/>
      </c>
    </row>
    <row r="1860">
      <c r="A1860" s="4">
        <f>IF($R1860="","",IF($R1860="T","Gesamtergebnis",IF($R1860="B",INDEX($M$4:$M$2003,$S1860),INDEX($L$4:$L$2003,$S1860))))</f>
        <v/>
      </c>
      <c r="B1860" s="4">
        <f>IF($R1860="","",IF($R1860="T",$K$3,IF($R1860="B",COUNTIFS($M$4:$M$2003,INDEX($M$4:$M$2003,$S1860),$N$4:$N$2003,1),1)))</f>
        <v/>
      </c>
      <c r="L1860">
        <f>IF($K$1="","",IFERROR(INDEX(Lines!$A:$AA,ROW()-2,$K$1),""))</f>
        <v/>
      </c>
      <c r="M1860">
        <f>IF($K$2="","",IFERROR(INDEX(Lines!$A:$AA,ROW()-2,$K$2),""))</f>
        <v/>
      </c>
      <c r="N1860">
        <f>IF(AND(L1860&lt;&gt;"",LEFT(L1860,1)="N",M1860&lt;&gt;"PICKING",M1860&lt;&gt;""),1,0)</f>
        <v/>
      </c>
      <c r="O1860">
        <f>IF(N1860=1,M1860&amp;"|"&amp;L1860,REPT("z",40))</f>
        <v/>
      </c>
      <c r="P1860">
        <f>IF(N1860=1,COUNTIF($O$4:$O$2003,"&lt;"&amp;O1860)+1,"")</f>
        <v/>
      </c>
      <c r="Q1860">
        <f>IF(OR($R1859="",$R1859="T"),"",IF($R1859="B",$Q1859,IF($Q1859+1&gt;$K$3,"",$Q1859+1)))</f>
        <v/>
      </c>
      <c r="R1860">
        <f>IF(OR($R1859="",$R1859="T"),"",IF($R1859="B","S",IF($Q1859+1&gt;$K$3,"T",IF(INDEX($M$4:$M$2003,MATCH($Q1859+1,$P$4:$P$2003,0))&lt;&gt;INDEX($M$4:$M$2003,MATCH($Q1859,$P$4:$P$2003,0)),"B","S"))))</f>
        <v/>
      </c>
      <c r="S1860">
        <f>IF(Q1860="","",IFERROR(MATCH(Q1860,$P$4:$P$2003,0),""))</f>
        <v/>
      </c>
    </row>
    <row r="1861">
      <c r="A1861" s="4">
        <f>IF($R1861="","",IF($R1861="T","Gesamtergebnis",IF($R1861="B",INDEX($M$4:$M$2003,$S1861),INDEX($L$4:$L$2003,$S1861))))</f>
        <v/>
      </c>
      <c r="B1861" s="4">
        <f>IF($R1861="","",IF($R1861="T",$K$3,IF($R1861="B",COUNTIFS($M$4:$M$2003,INDEX($M$4:$M$2003,$S1861),$N$4:$N$2003,1),1)))</f>
        <v/>
      </c>
      <c r="L1861">
        <f>IF($K$1="","",IFERROR(INDEX(Lines!$A:$AA,ROW()-2,$K$1),""))</f>
        <v/>
      </c>
      <c r="M1861">
        <f>IF($K$2="","",IFERROR(INDEX(Lines!$A:$AA,ROW()-2,$K$2),""))</f>
        <v/>
      </c>
      <c r="N1861">
        <f>IF(AND(L1861&lt;&gt;"",LEFT(L1861,1)="N",M1861&lt;&gt;"PICKING",M1861&lt;&gt;""),1,0)</f>
        <v/>
      </c>
      <c r="O1861">
        <f>IF(N1861=1,M1861&amp;"|"&amp;L1861,REPT("z",40))</f>
        <v/>
      </c>
      <c r="P1861">
        <f>IF(N1861=1,COUNTIF($O$4:$O$2003,"&lt;"&amp;O1861)+1,"")</f>
        <v/>
      </c>
      <c r="Q1861">
        <f>IF(OR($R1860="",$R1860="T"),"",IF($R1860="B",$Q1860,IF($Q1860+1&gt;$K$3,"",$Q1860+1)))</f>
        <v/>
      </c>
      <c r="R1861">
        <f>IF(OR($R1860="",$R1860="T"),"",IF($R1860="B","S",IF($Q1860+1&gt;$K$3,"T",IF(INDEX($M$4:$M$2003,MATCH($Q1860+1,$P$4:$P$2003,0))&lt;&gt;INDEX($M$4:$M$2003,MATCH($Q1860,$P$4:$P$2003,0)),"B","S"))))</f>
        <v/>
      </c>
      <c r="S1861">
        <f>IF(Q1861="","",IFERROR(MATCH(Q1861,$P$4:$P$2003,0),""))</f>
        <v/>
      </c>
    </row>
    <row r="1862">
      <c r="A1862" s="4">
        <f>IF($R1862="","",IF($R1862="T","Gesamtergebnis",IF($R1862="B",INDEX($M$4:$M$2003,$S1862),INDEX($L$4:$L$2003,$S1862))))</f>
        <v/>
      </c>
      <c r="B1862" s="4">
        <f>IF($R1862="","",IF($R1862="T",$K$3,IF($R1862="B",COUNTIFS($M$4:$M$2003,INDEX($M$4:$M$2003,$S1862),$N$4:$N$2003,1),1)))</f>
        <v/>
      </c>
      <c r="L1862">
        <f>IF($K$1="","",IFERROR(INDEX(Lines!$A:$AA,ROW()-2,$K$1),""))</f>
        <v/>
      </c>
      <c r="M1862">
        <f>IF($K$2="","",IFERROR(INDEX(Lines!$A:$AA,ROW()-2,$K$2),""))</f>
        <v/>
      </c>
      <c r="N1862">
        <f>IF(AND(L1862&lt;&gt;"",LEFT(L1862,1)="N",M1862&lt;&gt;"PICKING",M1862&lt;&gt;""),1,0)</f>
        <v/>
      </c>
      <c r="O1862">
        <f>IF(N1862=1,M1862&amp;"|"&amp;L1862,REPT("z",40))</f>
        <v/>
      </c>
      <c r="P1862">
        <f>IF(N1862=1,COUNTIF($O$4:$O$2003,"&lt;"&amp;O1862)+1,"")</f>
        <v/>
      </c>
      <c r="Q1862">
        <f>IF(OR($R1861="",$R1861="T"),"",IF($R1861="B",$Q1861,IF($Q1861+1&gt;$K$3,"",$Q1861+1)))</f>
        <v/>
      </c>
      <c r="R1862">
        <f>IF(OR($R1861="",$R1861="T"),"",IF($R1861="B","S",IF($Q1861+1&gt;$K$3,"T",IF(INDEX($M$4:$M$2003,MATCH($Q1861+1,$P$4:$P$2003,0))&lt;&gt;INDEX($M$4:$M$2003,MATCH($Q1861,$P$4:$P$2003,0)),"B","S"))))</f>
        <v/>
      </c>
      <c r="S1862">
        <f>IF(Q1862="","",IFERROR(MATCH(Q1862,$P$4:$P$2003,0),""))</f>
        <v/>
      </c>
    </row>
    <row r="1863">
      <c r="A1863" s="4">
        <f>IF($R1863="","",IF($R1863="T","Gesamtergebnis",IF($R1863="B",INDEX($M$4:$M$2003,$S1863),INDEX($L$4:$L$2003,$S1863))))</f>
        <v/>
      </c>
      <c r="B1863" s="4">
        <f>IF($R1863="","",IF($R1863="T",$K$3,IF($R1863="B",COUNTIFS($M$4:$M$2003,INDEX($M$4:$M$2003,$S1863),$N$4:$N$2003,1),1)))</f>
        <v/>
      </c>
      <c r="L1863">
        <f>IF($K$1="","",IFERROR(INDEX(Lines!$A:$AA,ROW()-2,$K$1),""))</f>
        <v/>
      </c>
      <c r="M1863">
        <f>IF($K$2="","",IFERROR(INDEX(Lines!$A:$AA,ROW()-2,$K$2),""))</f>
        <v/>
      </c>
      <c r="N1863">
        <f>IF(AND(L1863&lt;&gt;"",LEFT(L1863,1)="N",M1863&lt;&gt;"PICKING",M1863&lt;&gt;""),1,0)</f>
        <v/>
      </c>
      <c r="O1863">
        <f>IF(N1863=1,M1863&amp;"|"&amp;L1863,REPT("z",40))</f>
        <v/>
      </c>
      <c r="P1863">
        <f>IF(N1863=1,COUNTIF($O$4:$O$2003,"&lt;"&amp;O1863)+1,"")</f>
        <v/>
      </c>
      <c r="Q1863">
        <f>IF(OR($R1862="",$R1862="T"),"",IF($R1862="B",$Q1862,IF($Q1862+1&gt;$K$3,"",$Q1862+1)))</f>
        <v/>
      </c>
      <c r="R1863">
        <f>IF(OR($R1862="",$R1862="T"),"",IF($R1862="B","S",IF($Q1862+1&gt;$K$3,"T",IF(INDEX($M$4:$M$2003,MATCH($Q1862+1,$P$4:$P$2003,0))&lt;&gt;INDEX($M$4:$M$2003,MATCH($Q1862,$P$4:$P$2003,0)),"B","S"))))</f>
        <v/>
      </c>
      <c r="S1863">
        <f>IF(Q1863="","",IFERROR(MATCH(Q1863,$P$4:$P$2003,0),""))</f>
        <v/>
      </c>
    </row>
    <row r="1864">
      <c r="A1864" s="4">
        <f>IF($R1864="","",IF($R1864="T","Gesamtergebnis",IF($R1864="B",INDEX($M$4:$M$2003,$S1864),INDEX($L$4:$L$2003,$S1864))))</f>
        <v/>
      </c>
      <c r="B1864" s="4">
        <f>IF($R1864="","",IF($R1864="T",$K$3,IF($R1864="B",COUNTIFS($M$4:$M$2003,INDEX($M$4:$M$2003,$S1864),$N$4:$N$2003,1),1)))</f>
        <v/>
      </c>
      <c r="L1864">
        <f>IF($K$1="","",IFERROR(INDEX(Lines!$A:$AA,ROW()-2,$K$1),""))</f>
        <v/>
      </c>
      <c r="M1864">
        <f>IF($K$2="","",IFERROR(INDEX(Lines!$A:$AA,ROW()-2,$K$2),""))</f>
        <v/>
      </c>
      <c r="N1864">
        <f>IF(AND(L1864&lt;&gt;"",LEFT(L1864,1)="N",M1864&lt;&gt;"PICKING",M1864&lt;&gt;""),1,0)</f>
        <v/>
      </c>
      <c r="O1864">
        <f>IF(N1864=1,M1864&amp;"|"&amp;L1864,REPT("z",40))</f>
        <v/>
      </c>
      <c r="P1864">
        <f>IF(N1864=1,COUNTIF($O$4:$O$2003,"&lt;"&amp;O1864)+1,"")</f>
        <v/>
      </c>
      <c r="Q1864">
        <f>IF(OR($R1863="",$R1863="T"),"",IF($R1863="B",$Q1863,IF($Q1863+1&gt;$K$3,"",$Q1863+1)))</f>
        <v/>
      </c>
      <c r="R1864">
        <f>IF(OR($R1863="",$R1863="T"),"",IF($R1863="B","S",IF($Q1863+1&gt;$K$3,"T",IF(INDEX($M$4:$M$2003,MATCH($Q1863+1,$P$4:$P$2003,0))&lt;&gt;INDEX($M$4:$M$2003,MATCH($Q1863,$P$4:$P$2003,0)),"B","S"))))</f>
        <v/>
      </c>
      <c r="S1864">
        <f>IF(Q1864="","",IFERROR(MATCH(Q1864,$P$4:$P$2003,0),""))</f>
        <v/>
      </c>
    </row>
    <row r="1865">
      <c r="A1865" s="4">
        <f>IF($R1865="","",IF($R1865="T","Gesamtergebnis",IF($R1865="B",INDEX($M$4:$M$2003,$S1865),INDEX($L$4:$L$2003,$S1865))))</f>
        <v/>
      </c>
      <c r="B1865" s="4">
        <f>IF($R1865="","",IF($R1865="T",$K$3,IF($R1865="B",COUNTIFS($M$4:$M$2003,INDEX($M$4:$M$2003,$S1865),$N$4:$N$2003,1),1)))</f>
        <v/>
      </c>
      <c r="L1865">
        <f>IF($K$1="","",IFERROR(INDEX(Lines!$A:$AA,ROW()-2,$K$1),""))</f>
        <v/>
      </c>
      <c r="M1865">
        <f>IF($K$2="","",IFERROR(INDEX(Lines!$A:$AA,ROW()-2,$K$2),""))</f>
        <v/>
      </c>
      <c r="N1865">
        <f>IF(AND(L1865&lt;&gt;"",LEFT(L1865,1)="N",M1865&lt;&gt;"PICKING",M1865&lt;&gt;""),1,0)</f>
        <v/>
      </c>
      <c r="O1865">
        <f>IF(N1865=1,M1865&amp;"|"&amp;L1865,REPT("z",40))</f>
        <v/>
      </c>
      <c r="P1865">
        <f>IF(N1865=1,COUNTIF($O$4:$O$2003,"&lt;"&amp;O1865)+1,"")</f>
        <v/>
      </c>
      <c r="Q1865">
        <f>IF(OR($R1864="",$R1864="T"),"",IF($R1864="B",$Q1864,IF($Q1864+1&gt;$K$3,"",$Q1864+1)))</f>
        <v/>
      </c>
      <c r="R1865">
        <f>IF(OR($R1864="",$R1864="T"),"",IF($R1864="B","S",IF($Q1864+1&gt;$K$3,"T",IF(INDEX($M$4:$M$2003,MATCH($Q1864+1,$P$4:$P$2003,0))&lt;&gt;INDEX($M$4:$M$2003,MATCH($Q1864,$P$4:$P$2003,0)),"B","S"))))</f>
        <v/>
      </c>
      <c r="S1865">
        <f>IF(Q1865="","",IFERROR(MATCH(Q1865,$P$4:$P$2003,0),""))</f>
        <v/>
      </c>
    </row>
    <row r="1866">
      <c r="A1866" s="4">
        <f>IF($R1866="","",IF($R1866="T","Gesamtergebnis",IF($R1866="B",INDEX($M$4:$M$2003,$S1866),INDEX($L$4:$L$2003,$S1866))))</f>
        <v/>
      </c>
      <c r="B1866" s="4">
        <f>IF($R1866="","",IF($R1866="T",$K$3,IF($R1866="B",COUNTIFS($M$4:$M$2003,INDEX($M$4:$M$2003,$S1866),$N$4:$N$2003,1),1)))</f>
        <v/>
      </c>
      <c r="L1866">
        <f>IF($K$1="","",IFERROR(INDEX(Lines!$A:$AA,ROW()-2,$K$1),""))</f>
        <v/>
      </c>
      <c r="M1866">
        <f>IF($K$2="","",IFERROR(INDEX(Lines!$A:$AA,ROW()-2,$K$2),""))</f>
        <v/>
      </c>
      <c r="N1866">
        <f>IF(AND(L1866&lt;&gt;"",LEFT(L1866,1)="N",M1866&lt;&gt;"PICKING",M1866&lt;&gt;""),1,0)</f>
        <v/>
      </c>
      <c r="O1866">
        <f>IF(N1866=1,M1866&amp;"|"&amp;L1866,REPT("z",40))</f>
        <v/>
      </c>
      <c r="P1866">
        <f>IF(N1866=1,COUNTIF($O$4:$O$2003,"&lt;"&amp;O1866)+1,"")</f>
        <v/>
      </c>
      <c r="Q1866">
        <f>IF(OR($R1865="",$R1865="T"),"",IF($R1865="B",$Q1865,IF($Q1865+1&gt;$K$3,"",$Q1865+1)))</f>
        <v/>
      </c>
      <c r="R1866">
        <f>IF(OR($R1865="",$R1865="T"),"",IF($R1865="B","S",IF($Q1865+1&gt;$K$3,"T",IF(INDEX($M$4:$M$2003,MATCH($Q1865+1,$P$4:$P$2003,0))&lt;&gt;INDEX($M$4:$M$2003,MATCH($Q1865,$P$4:$P$2003,0)),"B","S"))))</f>
        <v/>
      </c>
      <c r="S1866">
        <f>IF(Q1866="","",IFERROR(MATCH(Q1866,$P$4:$P$2003,0),""))</f>
        <v/>
      </c>
    </row>
    <row r="1867">
      <c r="A1867" s="4">
        <f>IF($R1867="","",IF($R1867="T","Gesamtergebnis",IF($R1867="B",INDEX($M$4:$M$2003,$S1867),INDEX($L$4:$L$2003,$S1867))))</f>
        <v/>
      </c>
      <c r="B1867" s="4">
        <f>IF($R1867="","",IF($R1867="T",$K$3,IF($R1867="B",COUNTIFS($M$4:$M$2003,INDEX($M$4:$M$2003,$S1867),$N$4:$N$2003,1),1)))</f>
        <v/>
      </c>
      <c r="L1867">
        <f>IF($K$1="","",IFERROR(INDEX(Lines!$A:$AA,ROW()-2,$K$1),""))</f>
        <v/>
      </c>
      <c r="M1867">
        <f>IF($K$2="","",IFERROR(INDEX(Lines!$A:$AA,ROW()-2,$K$2),""))</f>
        <v/>
      </c>
      <c r="N1867">
        <f>IF(AND(L1867&lt;&gt;"",LEFT(L1867,1)="N",M1867&lt;&gt;"PICKING",M1867&lt;&gt;""),1,0)</f>
        <v/>
      </c>
      <c r="O1867">
        <f>IF(N1867=1,M1867&amp;"|"&amp;L1867,REPT("z",40))</f>
        <v/>
      </c>
      <c r="P1867">
        <f>IF(N1867=1,COUNTIF($O$4:$O$2003,"&lt;"&amp;O1867)+1,"")</f>
        <v/>
      </c>
      <c r="Q1867">
        <f>IF(OR($R1866="",$R1866="T"),"",IF($R1866="B",$Q1866,IF($Q1866+1&gt;$K$3,"",$Q1866+1)))</f>
        <v/>
      </c>
      <c r="R1867">
        <f>IF(OR($R1866="",$R1866="T"),"",IF($R1866="B","S",IF($Q1866+1&gt;$K$3,"T",IF(INDEX($M$4:$M$2003,MATCH($Q1866+1,$P$4:$P$2003,0))&lt;&gt;INDEX($M$4:$M$2003,MATCH($Q1866,$P$4:$P$2003,0)),"B","S"))))</f>
        <v/>
      </c>
      <c r="S1867">
        <f>IF(Q1867="","",IFERROR(MATCH(Q1867,$P$4:$P$2003,0),""))</f>
        <v/>
      </c>
    </row>
    <row r="1868">
      <c r="A1868" s="4">
        <f>IF($R1868="","",IF($R1868="T","Gesamtergebnis",IF($R1868="B",INDEX($M$4:$M$2003,$S1868),INDEX($L$4:$L$2003,$S1868))))</f>
        <v/>
      </c>
      <c r="B1868" s="4">
        <f>IF($R1868="","",IF($R1868="T",$K$3,IF($R1868="B",COUNTIFS($M$4:$M$2003,INDEX($M$4:$M$2003,$S1868),$N$4:$N$2003,1),1)))</f>
        <v/>
      </c>
      <c r="L1868">
        <f>IF($K$1="","",IFERROR(INDEX(Lines!$A:$AA,ROW()-2,$K$1),""))</f>
        <v/>
      </c>
      <c r="M1868">
        <f>IF($K$2="","",IFERROR(INDEX(Lines!$A:$AA,ROW()-2,$K$2),""))</f>
        <v/>
      </c>
      <c r="N1868">
        <f>IF(AND(L1868&lt;&gt;"",LEFT(L1868,1)="N",M1868&lt;&gt;"PICKING",M1868&lt;&gt;""),1,0)</f>
        <v/>
      </c>
      <c r="O1868">
        <f>IF(N1868=1,M1868&amp;"|"&amp;L1868,REPT("z",40))</f>
        <v/>
      </c>
      <c r="P1868">
        <f>IF(N1868=1,COUNTIF($O$4:$O$2003,"&lt;"&amp;O1868)+1,"")</f>
        <v/>
      </c>
      <c r="Q1868">
        <f>IF(OR($R1867="",$R1867="T"),"",IF($R1867="B",$Q1867,IF($Q1867+1&gt;$K$3,"",$Q1867+1)))</f>
        <v/>
      </c>
      <c r="R1868">
        <f>IF(OR($R1867="",$R1867="T"),"",IF($R1867="B","S",IF($Q1867+1&gt;$K$3,"T",IF(INDEX($M$4:$M$2003,MATCH($Q1867+1,$P$4:$P$2003,0))&lt;&gt;INDEX($M$4:$M$2003,MATCH($Q1867,$P$4:$P$2003,0)),"B","S"))))</f>
        <v/>
      </c>
      <c r="S1868">
        <f>IF(Q1868="","",IFERROR(MATCH(Q1868,$P$4:$P$2003,0),""))</f>
        <v/>
      </c>
    </row>
    <row r="1869">
      <c r="A1869" s="4">
        <f>IF($R1869="","",IF($R1869="T","Gesamtergebnis",IF($R1869="B",INDEX($M$4:$M$2003,$S1869),INDEX($L$4:$L$2003,$S1869))))</f>
        <v/>
      </c>
      <c r="B1869" s="4">
        <f>IF($R1869="","",IF($R1869="T",$K$3,IF($R1869="B",COUNTIFS($M$4:$M$2003,INDEX($M$4:$M$2003,$S1869),$N$4:$N$2003,1),1)))</f>
        <v/>
      </c>
      <c r="L1869">
        <f>IF($K$1="","",IFERROR(INDEX(Lines!$A:$AA,ROW()-2,$K$1),""))</f>
        <v/>
      </c>
      <c r="M1869">
        <f>IF($K$2="","",IFERROR(INDEX(Lines!$A:$AA,ROW()-2,$K$2),""))</f>
        <v/>
      </c>
      <c r="N1869">
        <f>IF(AND(L1869&lt;&gt;"",LEFT(L1869,1)="N",M1869&lt;&gt;"PICKING",M1869&lt;&gt;""),1,0)</f>
        <v/>
      </c>
      <c r="O1869">
        <f>IF(N1869=1,M1869&amp;"|"&amp;L1869,REPT("z",40))</f>
        <v/>
      </c>
      <c r="P1869">
        <f>IF(N1869=1,COUNTIF($O$4:$O$2003,"&lt;"&amp;O1869)+1,"")</f>
        <v/>
      </c>
      <c r="Q1869">
        <f>IF(OR($R1868="",$R1868="T"),"",IF($R1868="B",$Q1868,IF($Q1868+1&gt;$K$3,"",$Q1868+1)))</f>
        <v/>
      </c>
      <c r="R1869">
        <f>IF(OR($R1868="",$R1868="T"),"",IF($R1868="B","S",IF($Q1868+1&gt;$K$3,"T",IF(INDEX($M$4:$M$2003,MATCH($Q1868+1,$P$4:$P$2003,0))&lt;&gt;INDEX($M$4:$M$2003,MATCH($Q1868,$P$4:$P$2003,0)),"B","S"))))</f>
        <v/>
      </c>
      <c r="S1869">
        <f>IF(Q1869="","",IFERROR(MATCH(Q1869,$P$4:$P$2003,0),""))</f>
        <v/>
      </c>
    </row>
    <row r="1870">
      <c r="A1870" s="4">
        <f>IF($R1870="","",IF($R1870="T","Gesamtergebnis",IF($R1870="B",INDEX($M$4:$M$2003,$S1870),INDEX($L$4:$L$2003,$S1870))))</f>
        <v/>
      </c>
      <c r="B1870" s="4">
        <f>IF($R1870="","",IF($R1870="T",$K$3,IF($R1870="B",COUNTIFS($M$4:$M$2003,INDEX($M$4:$M$2003,$S1870),$N$4:$N$2003,1),1)))</f>
        <v/>
      </c>
      <c r="L1870">
        <f>IF($K$1="","",IFERROR(INDEX(Lines!$A:$AA,ROW()-2,$K$1),""))</f>
        <v/>
      </c>
      <c r="M1870">
        <f>IF($K$2="","",IFERROR(INDEX(Lines!$A:$AA,ROW()-2,$K$2),""))</f>
        <v/>
      </c>
      <c r="N1870">
        <f>IF(AND(L1870&lt;&gt;"",LEFT(L1870,1)="N",M1870&lt;&gt;"PICKING",M1870&lt;&gt;""),1,0)</f>
        <v/>
      </c>
      <c r="O1870">
        <f>IF(N1870=1,M1870&amp;"|"&amp;L1870,REPT("z",40))</f>
        <v/>
      </c>
      <c r="P1870">
        <f>IF(N1870=1,COUNTIF($O$4:$O$2003,"&lt;"&amp;O1870)+1,"")</f>
        <v/>
      </c>
      <c r="Q1870">
        <f>IF(OR($R1869="",$R1869="T"),"",IF($R1869="B",$Q1869,IF($Q1869+1&gt;$K$3,"",$Q1869+1)))</f>
        <v/>
      </c>
      <c r="R1870">
        <f>IF(OR($R1869="",$R1869="T"),"",IF($R1869="B","S",IF($Q1869+1&gt;$K$3,"T",IF(INDEX($M$4:$M$2003,MATCH($Q1869+1,$P$4:$P$2003,0))&lt;&gt;INDEX($M$4:$M$2003,MATCH($Q1869,$P$4:$P$2003,0)),"B","S"))))</f>
        <v/>
      </c>
      <c r="S1870">
        <f>IF(Q1870="","",IFERROR(MATCH(Q1870,$P$4:$P$2003,0),""))</f>
        <v/>
      </c>
    </row>
    <row r="1871">
      <c r="A1871" s="4">
        <f>IF($R1871="","",IF($R1871="T","Gesamtergebnis",IF($R1871="B",INDEX($M$4:$M$2003,$S1871),INDEX($L$4:$L$2003,$S1871))))</f>
        <v/>
      </c>
      <c r="B1871" s="4">
        <f>IF($R1871="","",IF($R1871="T",$K$3,IF($R1871="B",COUNTIFS($M$4:$M$2003,INDEX($M$4:$M$2003,$S1871),$N$4:$N$2003,1),1)))</f>
        <v/>
      </c>
      <c r="L1871">
        <f>IF($K$1="","",IFERROR(INDEX(Lines!$A:$AA,ROW()-2,$K$1),""))</f>
        <v/>
      </c>
      <c r="M1871">
        <f>IF($K$2="","",IFERROR(INDEX(Lines!$A:$AA,ROW()-2,$K$2),""))</f>
        <v/>
      </c>
      <c r="N1871">
        <f>IF(AND(L1871&lt;&gt;"",LEFT(L1871,1)="N",M1871&lt;&gt;"PICKING",M1871&lt;&gt;""),1,0)</f>
        <v/>
      </c>
      <c r="O1871">
        <f>IF(N1871=1,M1871&amp;"|"&amp;L1871,REPT("z",40))</f>
        <v/>
      </c>
      <c r="P1871">
        <f>IF(N1871=1,COUNTIF($O$4:$O$2003,"&lt;"&amp;O1871)+1,"")</f>
        <v/>
      </c>
      <c r="Q1871">
        <f>IF(OR($R1870="",$R1870="T"),"",IF($R1870="B",$Q1870,IF($Q1870+1&gt;$K$3,"",$Q1870+1)))</f>
        <v/>
      </c>
      <c r="R1871">
        <f>IF(OR($R1870="",$R1870="T"),"",IF($R1870="B","S",IF($Q1870+1&gt;$K$3,"T",IF(INDEX($M$4:$M$2003,MATCH($Q1870+1,$P$4:$P$2003,0))&lt;&gt;INDEX($M$4:$M$2003,MATCH($Q1870,$P$4:$P$2003,0)),"B","S"))))</f>
        <v/>
      </c>
      <c r="S1871">
        <f>IF(Q1871="","",IFERROR(MATCH(Q1871,$P$4:$P$2003,0),""))</f>
        <v/>
      </c>
    </row>
    <row r="1872">
      <c r="A1872" s="4">
        <f>IF($R1872="","",IF($R1872="T","Gesamtergebnis",IF($R1872="B",INDEX($M$4:$M$2003,$S1872),INDEX($L$4:$L$2003,$S1872))))</f>
        <v/>
      </c>
      <c r="B1872" s="4">
        <f>IF($R1872="","",IF($R1872="T",$K$3,IF($R1872="B",COUNTIFS($M$4:$M$2003,INDEX($M$4:$M$2003,$S1872),$N$4:$N$2003,1),1)))</f>
        <v/>
      </c>
      <c r="L1872">
        <f>IF($K$1="","",IFERROR(INDEX(Lines!$A:$AA,ROW()-2,$K$1),""))</f>
        <v/>
      </c>
      <c r="M1872">
        <f>IF($K$2="","",IFERROR(INDEX(Lines!$A:$AA,ROW()-2,$K$2),""))</f>
        <v/>
      </c>
      <c r="N1872">
        <f>IF(AND(L1872&lt;&gt;"",LEFT(L1872,1)="N",M1872&lt;&gt;"PICKING",M1872&lt;&gt;""),1,0)</f>
        <v/>
      </c>
      <c r="O1872">
        <f>IF(N1872=1,M1872&amp;"|"&amp;L1872,REPT("z",40))</f>
        <v/>
      </c>
      <c r="P1872">
        <f>IF(N1872=1,COUNTIF($O$4:$O$2003,"&lt;"&amp;O1872)+1,"")</f>
        <v/>
      </c>
      <c r="Q1872">
        <f>IF(OR($R1871="",$R1871="T"),"",IF($R1871="B",$Q1871,IF($Q1871+1&gt;$K$3,"",$Q1871+1)))</f>
        <v/>
      </c>
      <c r="R1872">
        <f>IF(OR($R1871="",$R1871="T"),"",IF($R1871="B","S",IF($Q1871+1&gt;$K$3,"T",IF(INDEX($M$4:$M$2003,MATCH($Q1871+1,$P$4:$P$2003,0))&lt;&gt;INDEX($M$4:$M$2003,MATCH($Q1871,$P$4:$P$2003,0)),"B","S"))))</f>
        <v/>
      </c>
      <c r="S1872">
        <f>IF(Q1872="","",IFERROR(MATCH(Q1872,$P$4:$P$2003,0),""))</f>
        <v/>
      </c>
    </row>
    <row r="1873">
      <c r="A1873" s="4">
        <f>IF($R1873="","",IF($R1873="T","Gesamtergebnis",IF($R1873="B",INDEX($M$4:$M$2003,$S1873),INDEX($L$4:$L$2003,$S1873))))</f>
        <v/>
      </c>
      <c r="B1873" s="4">
        <f>IF($R1873="","",IF($R1873="T",$K$3,IF($R1873="B",COUNTIFS($M$4:$M$2003,INDEX($M$4:$M$2003,$S1873),$N$4:$N$2003,1),1)))</f>
        <v/>
      </c>
      <c r="L1873">
        <f>IF($K$1="","",IFERROR(INDEX(Lines!$A:$AA,ROW()-2,$K$1),""))</f>
        <v/>
      </c>
      <c r="M1873">
        <f>IF($K$2="","",IFERROR(INDEX(Lines!$A:$AA,ROW()-2,$K$2),""))</f>
        <v/>
      </c>
      <c r="N1873">
        <f>IF(AND(L1873&lt;&gt;"",LEFT(L1873,1)="N",M1873&lt;&gt;"PICKING",M1873&lt;&gt;""),1,0)</f>
        <v/>
      </c>
      <c r="O1873">
        <f>IF(N1873=1,M1873&amp;"|"&amp;L1873,REPT("z",40))</f>
        <v/>
      </c>
      <c r="P1873">
        <f>IF(N1873=1,COUNTIF($O$4:$O$2003,"&lt;"&amp;O1873)+1,"")</f>
        <v/>
      </c>
      <c r="Q1873">
        <f>IF(OR($R1872="",$R1872="T"),"",IF($R1872="B",$Q1872,IF($Q1872+1&gt;$K$3,"",$Q1872+1)))</f>
        <v/>
      </c>
      <c r="R1873">
        <f>IF(OR($R1872="",$R1872="T"),"",IF($R1872="B","S",IF($Q1872+1&gt;$K$3,"T",IF(INDEX($M$4:$M$2003,MATCH($Q1872+1,$P$4:$P$2003,0))&lt;&gt;INDEX($M$4:$M$2003,MATCH($Q1872,$P$4:$P$2003,0)),"B","S"))))</f>
        <v/>
      </c>
      <c r="S1873">
        <f>IF(Q1873="","",IFERROR(MATCH(Q1873,$P$4:$P$2003,0),""))</f>
        <v/>
      </c>
    </row>
    <row r="1874">
      <c r="A1874" s="4">
        <f>IF($R1874="","",IF($R1874="T","Gesamtergebnis",IF($R1874="B",INDEX($M$4:$M$2003,$S1874),INDEX($L$4:$L$2003,$S1874))))</f>
        <v/>
      </c>
      <c r="B1874" s="4">
        <f>IF($R1874="","",IF($R1874="T",$K$3,IF($R1874="B",COUNTIFS($M$4:$M$2003,INDEX($M$4:$M$2003,$S1874),$N$4:$N$2003,1),1)))</f>
        <v/>
      </c>
      <c r="L1874">
        <f>IF($K$1="","",IFERROR(INDEX(Lines!$A:$AA,ROW()-2,$K$1),""))</f>
        <v/>
      </c>
      <c r="M1874">
        <f>IF($K$2="","",IFERROR(INDEX(Lines!$A:$AA,ROW()-2,$K$2),""))</f>
        <v/>
      </c>
      <c r="N1874">
        <f>IF(AND(L1874&lt;&gt;"",LEFT(L1874,1)="N",M1874&lt;&gt;"PICKING",M1874&lt;&gt;""),1,0)</f>
        <v/>
      </c>
      <c r="O1874">
        <f>IF(N1874=1,M1874&amp;"|"&amp;L1874,REPT("z",40))</f>
        <v/>
      </c>
      <c r="P1874">
        <f>IF(N1874=1,COUNTIF($O$4:$O$2003,"&lt;"&amp;O1874)+1,"")</f>
        <v/>
      </c>
      <c r="Q1874">
        <f>IF(OR($R1873="",$R1873="T"),"",IF($R1873="B",$Q1873,IF($Q1873+1&gt;$K$3,"",$Q1873+1)))</f>
        <v/>
      </c>
      <c r="R1874">
        <f>IF(OR($R1873="",$R1873="T"),"",IF($R1873="B","S",IF($Q1873+1&gt;$K$3,"T",IF(INDEX($M$4:$M$2003,MATCH($Q1873+1,$P$4:$P$2003,0))&lt;&gt;INDEX($M$4:$M$2003,MATCH($Q1873,$P$4:$P$2003,0)),"B","S"))))</f>
        <v/>
      </c>
      <c r="S1874">
        <f>IF(Q1874="","",IFERROR(MATCH(Q1874,$P$4:$P$2003,0),""))</f>
        <v/>
      </c>
    </row>
    <row r="1875">
      <c r="A1875" s="4">
        <f>IF($R1875="","",IF($R1875="T","Gesamtergebnis",IF($R1875="B",INDEX($M$4:$M$2003,$S1875),INDEX($L$4:$L$2003,$S1875))))</f>
        <v/>
      </c>
      <c r="B1875" s="4">
        <f>IF($R1875="","",IF($R1875="T",$K$3,IF($R1875="B",COUNTIFS($M$4:$M$2003,INDEX($M$4:$M$2003,$S1875),$N$4:$N$2003,1),1)))</f>
        <v/>
      </c>
      <c r="L1875">
        <f>IF($K$1="","",IFERROR(INDEX(Lines!$A:$AA,ROW()-2,$K$1),""))</f>
        <v/>
      </c>
      <c r="M1875">
        <f>IF($K$2="","",IFERROR(INDEX(Lines!$A:$AA,ROW()-2,$K$2),""))</f>
        <v/>
      </c>
      <c r="N1875">
        <f>IF(AND(L1875&lt;&gt;"",LEFT(L1875,1)="N",M1875&lt;&gt;"PICKING",M1875&lt;&gt;""),1,0)</f>
        <v/>
      </c>
      <c r="O1875">
        <f>IF(N1875=1,M1875&amp;"|"&amp;L1875,REPT("z",40))</f>
        <v/>
      </c>
      <c r="P1875">
        <f>IF(N1875=1,COUNTIF($O$4:$O$2003,"&lt;"&amp;O1875)+1,"")</f>
        <v/>
      </c>
      <c r="Q1875">
        <f>IF(OR($R1874="",$R1874="T"),"",IF($R1874="B",$Q1874,IF($Q1874+1&gt;$K$3,"",$Q1874+1)))</f>
        <v/>
      </c>
      <c r="R1875">
        <f>IF(OR($R1874="",$R1874="T"),"",IF($R1874="B","S",IF($Q1874+1&gt;$K$3,"T",IF(INDEX($M$4:$M$2003,MATCH($Q1874+1,$P$4:$P$2003,0))&lt;&gt;INDEX($M$4:$M$2003,MATCH($Q1874,$P$4:$P$2003,0)),"B","S"))))</f>
        <v/>
      </c>
      <c r="S1875">
        <f>IF(Q1875="","",IFERROR(MATCH(Q1875,$P$4:$P$2003,0),""))</f>
        <v/>
      </c>
    </row>
    <row r="1876">
      <c r="A1876" s="4">
        <f>IF($R1876="","",IF($R1876="T","Gesamtergebnis",IF($R1876="B",INDEX($M$4:$M$2003,$S1876),INDEX($L$4:$L$2003,$S1876))))</f>
        <v/>
      </c>
      <c r="B1876" s="4">
        <f>IF($R1876="","",IF($R1876="T",$K$3,IF($R1876="B",COUNTIFS($M$4:$M$2003,INDEX($M$4:$M$2003,$S1876),$N$4:$N$2003,1),1)))</f>
        <v/>
      </c>
      <c r="L1876">
        <f>IF($K$1="","",IFERROR(INDEX(Lines!$A:$AA,ROW()-2,$K$1),""))</f>
        <v/>
      </c>
      <c r="M1876">
        <f>IF($K$2="","",IFERROR(INDEX(Lines!$A:$AA,ROW()-2,$K$2),""))</f>
        <v/>
      </c>
      <c r="N1876">
        <f>IF(AND(L1876&lt;&gt;"",LEFT(L1876,1)="N",M1876&lt;&gt;"PICKING",M1876&lt;&gt;""),1,0)</f>
        <v/>
      </c>
      <c r="O1876">
        <f>IF(N1876=1,M1876&amp;"|"&amp;L1876,REPT("z",40))</f>
        <v/>
      </c>
      <c r="P1876">
        <f>IF(N1876=1,COUNTIF($O$4:$O$2003,"&lt;"&amp;O1876)+1,"")</f>
        <v/>
      </c>
      <c r="Q1876">
        <f>IF(OR($R1875="",$R1875="T"),"",IF($R1875="B",$Q1875,IF($Q1875+1&gt;$K$3,"",$Q1875+1)))</f>
        <v/>
      </c>
      <c r="R1876">
        <f>IF(OR($R1875="",$R1875="T"),"",IF($R1875="B","S",IF($Q1875+1&gt;$K$3,"T",IF(INDEX($M$4:$M$2003,MATCH($Q1875+1,$P$4:$P$2003,0))&lt;&gt;INDEX($M$4:$M$2003,MATCH($Q1875,$P$4:$P$2003,0)),"B","S"))))</f>
        <v/>
      </c>
      <c r="S1876">
        <f>IF(Q1876="","",IFERROR(MATCH(Q1876,$P$4:$P$2003,0),""))</f>
        <v/>
      </c>
    </row>
    <row r="1877">
      <c r="A1877" s="4">
        <f>IF($R1877="","",IF($R1877="T","Gesamtergebnis",IF($R1877="B",INDEX($M$4:$M$2003,$S1877),INDEX($L$4:$L$2003,$S1877))))</f>
        <v/>
      </c>
      <c r="B1877" s="4">
        <f>IF($R1877="","",IF($R1877="T",$K$3,IF($R1877="B",COUNTIFS($M$4:$M$2003,INDEX($M$4:$M$2003,$S1877),$N$4:$N$2003,1),1)))</f>
        <v/>
      </c>
      <c r="L1877">
        <f>IF($K$1="","",IFERROR(INDEX(Lines!$A:$AA,ROW()-2,$K$1),""))</f>
        <v/>
      </c>
      <c r="M1877">
        <f>IF($K$2="","",IFERROR(INDEX(Lines!$A:$AA,ROW()-2,$K$2),""))</f>
        <v/>
      </c>
      <c r="N1877">
        <f>IF(AND(L1877&lt;&gt;"",LEFT(L1877,1)="N",M1877&lt;&gt;"PICKING",M1877&lt;&gt;""),1,0)</f>
        <v/>
      </c>
      <c r="O1877">
        <f>IF(N1877=1,M1877&amp;"|"&amp;L1877,REPT("z",40))</f>
        <v/>
      </c>
      <c r="P1877">
        <f>IF(N1877=1,COUNTIF($O$4:$O$2003,"&lt;"&amp;O1877)+1,"")</f>
        <v/>
      </c>
      <c r="Q1877">
        <f>IF(OR($R1876="",$R1876="T"),"",IF($R1876="B",$Q1876,IF($Q1876+1&gt;$K$3,"",$Q1876+1)))</f>
        <v/>
      </c>
      <c r="R1877">
        <f>IF(OR($R1876="",$R1876="T"),"",IF($R1876="B","S",IF($Q1876+1&gt;$K$3,"T",IF(INDEX($M$4:$M$2003,MATCH($Q1876+1,$P$4:$P$2003,0))&lt;&gt;INDEX($M$4:$M$2003,MATCH($Q1876,$P$4:$P$2003,0)),"B","S"))))</f>
        <v/>
      </c>
      <c r="S1877">
        <f>IF(Q1877="","",IFERROR(MATCH(Q1877,$P$4:$P$2003,0),""))</f>
        <v/>
      </c>
    </row>
    <row r="1878">
      <c r="A1878" s="4">
        <f>IF($R1878="","",IF($R1878="T","Gesamtergebnis",IF($R1878="B",INDEX($M$4:$M$2003,$S1878),INDEX($L$4:$L$2003,$S1878))))</f>
        <v/>
      </c>
      <c r="B1878" s="4">
        <f>IF($R1878="","",IF($R1878="T",$K$3,IF($R1878="B",COUNTIFS($M$4:$M$2003,INDEX($M$4:$M$2003,$S1878),$N$4:$N$2003,1),1)))</f>
        <v/>
      </c>
      <c r="L1878">
        <f>IF($K$1="","",IFERROR(INDEX(Lines!$A:$AA,ROW()-2,$K$1),""))</f>
        <v/>
      </c>
      <c r="M1878">
        <f>IF($K$2="","",IFERROR(INDEX(Lines!$A:$AA,ROW()-2,$K$2),""))</f>
        <v/>
      </c>
      <c r="N1878">
        <f>IF(AND(L1878&lt;&gt;"",LEFT(L1878,1)="N",M1878&lt;&gt;"PICKING",M1878&lt;&gt;""),1,0)</f>
        <v/>
      </c>
      <c r="O1878">
        <f>IF(N1878=1,M1878&amp;"|"&amp;L1878,REPT("z",40))</f>
        <v/>
      </c>
      <c r="P1878">
        <f>IF(N1878=1,COUNTIF($O$4:$O$2003,"&lt;"&amp;O1878)+1,"")</f>
        <v/>
      </c>
      <c r="Q1878">
        <f>IF(OR($R1877="",$R1877="T"),"",IF($R1877="B",$Q1877,IF($Q1877+1&gt;$K$3,"",$Q1877+1)))</f>
        <v/>
      </c>
      <c r="R1878">
        <f>IF(OR($R1877="",$R1877="T"),"",IF($R1877="B","S",IF($Q1877+1&gt;$K$3,"T",IF(INDEX($M$4:$M$2003,MATCH($Q1877+1,$P$4:$P$2003,0))&lt;&gt;INDEX($M$4:$M$2003,MATCH($Q1877,$P$4:$P$2003,0)),"B","S"))))</f>
        <v/>
      </c>
      <c r="S1878">
        <f>IF(Q1878="","",IFERROR(MATCH(Q1878,$P$4:$P$2003,0),""))</f>
        <v/>
      </c>
    </row>
    <row r="1879">
      <c r="A1879" s="4">
        <f>IF($R1879="","",IF($R1879="T","Gesamtergebnis",IF($R1879="B",INDEX($M$4:$M$2003,$S1879),INDEX($L$4:$L$2003,$S1879))))</f>
        <v/>
      </c>
      <c r="B1879" s="4">
        <f>IF($R1879="","",IF($R1879="T",$K$3,IF($R1879="B",COUNTIFS($M$4:$M$2003,INDEX($M$4:$M$2003,$S1879),$N$4:$N$2003,1),1)))</f>
        <v/>
      </c>
      <c r="L1879">
        <f>IF($K$1="","",IFERROR(INDEX(Lines!$A:$AA,ROW()-2,$K$1),""))</f>
        <v/>
      </c>
      <c r="M1879">
        <f>IF($K$2="","",IFERROR(INDEX(Lines!$A:$AA,ROW()-2,$K$2),""))</f>
        <v/>
      </c>
      <c r="N1879">
        <f>IF(AND(L1879&lt;&gt;"",LEFT(L1879,1)="N",M1879&lt;&gt;"PICKING",M1879&lt;&gt;""),1,0)</f>
        <v/>
      </c>
      <c r="O1879">
        <f>IF(N1879=1,M1879&amp;"|"&amp;L1879,REPT("z",40))</f>
        <v/>
      </c>
      <c r="P1879">
        <f>IF(N1879=1,COUNTIF($O$4:$O$2003,"&lt;"&amp;O1879)+1,"")</f>
        <v/>
      </c>
      <c r="Q1879">
        <f>IF(OR($R1878="",$R1878="T"),"",IF($R1878="B",$Q1878,IF($Q1878+1&gt;$K$3,"",$Q1878+1)))</f>
        <v/>
      </c>
      <c r="R1879">
        <f>IF(OR($R1878="",$R1878="T"),"",IF($R1878="B","S",IF($Q1878+1&gt;$K$3,"T",IF(INDEX($M$4:$M$2003,MATCH($Q1878+1,$P$4:$P$2003,0))&lt;&gt;INDEX($M$4:$M$2003,MATCH($Q1878,$P$4:$P$2003,0)),"B","S"))))</f>
        <v/>
      </c>
      <c r="S1879">
        <f>IF(Q1879="","",IFERROR(MATCH(Q1879,$P$4:$P$2003,0),""))</f>
        <v/>
      </c>
    </row>
    <row r="1880">
      <c r="A1880" s="4">
        <f>IF($R1880="","",IF($R1880="T","Gesamtergebnis",IF($R1880="B",INDEX($M$4:$M$2003,$S1880),INDEX($L$4:$L$2003,$S1880))))</f>
        <v/>
      </c>
      <c r="B1880" s="4">
        <f>IF($R1880="","",IF($R1880="T",$K$3,IF($R1880="B",COUNTIFS($M$4:$M$2003,INDEX($M$4:$M$2003,$S1880),$N$4:$N$2003,1),1)))</f>
        <v/>
      </c>
      <c r="L1880">
        <f>IF($K$1="","",IFERROR(INDEX(Lines!$A:$AA,ROW()-2,$K$1),""))</f>
        <v/>
      </c>
      <c r="M1880">
        <f>IF($K$2="","",IFERROR(INDEX(Lines!$A:$AA,ROW()-2,$K$2),""))</f>
        <v/>
      </c>
      <c r="N1880">
        <f>IF(AND(L1880&lt;&gt;"",LEFT(L1880,1)="N",M1880&lt;&gt;"PICKING",M1880&lt;&gt;""),1,0)</f>
        <v/>
      </c>
      <c r="O1880">
        <f>IF(N1880=1,M1880&amp;"|"&amp;L1880,REPT("z",40))</f>
        <v/>
      </c>
      <c r="P1880">
        <f>IF(N1880=1,COUNTIF($O$4:$O$2003,"&lt;"&amp;O1880)+1,"")</f>
        <v/>
      </c>
      <c r="Q1880">
        <f>IF(OR($R1879="",$R1879="T"),"",IF($R1879="B",$Q1879,IF($Q1879+1&gt;$K$3,"",$Q1879+1)))</f>
        <v/>
      </c>
      <c r="R1880">
        <f>IF(OR($R1879="",$R1879="T"),"",IF($R1879="B","S",IF($Q1879+1&gt;$K$3,"T",IF(INDEX($M$4:$M$2003,MATCH($Q1879+1,$P$4:$P$2003,0))&lt;&gt;INDEX($M$4:$M$2003,MATCH($Q1879,$P$4:$P$2003,0)),"B","S"))))</f>
        <v/>
      </c>
      <c r="S1880">
        <f>IF(Q1880="","",IFERROR(MATCH(Q1880,$P$4:$P$2003,0),""))</f>
        <v/>
      </c>
    </row>
    <row r="1881">
      <c r="A1881" s="4">
        <f>IF($R1881="","",IF($R1881="T","Gesamtergebnis",IF($R1881="B",INDEX($M$4:$M$2003,$S1881),INDEX($L$4:$L$2003,$S1881))))</f>
        <v/>
      </c>
      <c r="B1881" s="4">
        <f>IF($R1881="","",IF($R1881="T",$K$3,IF($R1881="B",COUNTIFS($M$4:$M$2003,INDEX($M$4:$M$2003,$S1881),$N$4:$N$2003,1),1)))</f>
        <v/>
      </c>
      <c r="L1881">
        <f>IF($K$1="","",IFERROR(INDEX(Lines!$A:$AA,ROW()-2,$K$1),""))</f>
        <v/>
      </c>
      <c r="M1881">
        <f>IF($K$2="","",IFERROR(INDEX(Lines!$A:$AA,ROW()-2,$K$2),""))</f>
        <v/>
      </c>
      <c r="N1881">
        <f>IF(AND(L1881&lt;&gt;"",LEFT(L1881,1)="N",M1881&lt;&gt;"PICKING",M1881&lt;&gt;""),1,0)</f>
        <v/>
      </c>
      <c r="O1881">
        <f>IF(N1881=1,M1881&amp;"|"&amp;L1881,REPT("z",40))</f>
        <v/>
      </c>
      <c r="P1881">
        <f>IF(N1881=1,COUNTIF($O$4:$O$2003,"&lt;"&amp;O1881)+1,"")</f>
        <v/>
      </c>
      <c r="Q1881">
        <f>IF(OR($R1880="",$R1880="T"),"",IF($R1880="B",$Q1880,IF($Q1880+1&gt;$K$3,"",$Q1880+1)))</f>
        <v/>
      </c>
      <c r="R1881">
        <f>IF(OR($R1880="",$R1880="T"),"",IF($R1880="B","S",IF($Q1880+1&gt;$K$3,"T",IF(INDEX($M$4:$M$2003,MATCH($Q1880+1,$P$4:$P$2003,0))&lt;&gt;INDEX($M$4:$M$2003,MATCH($Q1880,$P$4:$P$2003,0)),"B","S"))))</f>
        <v/>
      </c>
      <c r="S1881">
        <f>IF(Q1881="","",IFERROR(MATCH(Q1881,$P$4:$P$2003,0),""))</f>
        <v/>
      </c>
    </row>
    <row r="1882">
      <c r="A1882" s="4">
        <f>IF($R1882="","",IF($R1882="T","Gesamtergebnis",IF($R1882="B",INDEX($M$4:$M$2003,$S1882),INDEX($L$4:$L$2003,$S1882))))</f>
        <v/>
      </c>
      <c r="B1882" s="4">
        <f>IF($R1882="","",IF($R1882="T",$K$3,IF($R1882="B",COUNTIFS($M$4:$M$2003,INDEX($M$4:$M$2003,$S1882),$N$4:$N$2003,1),1)))</f>
        <v/>
      </c>
      <c r="L1882">
        <f>IF($K$1="","",IFERROR(INDEX(Lines!$A:$AA,ROW()-2,$K$1),""))</f>
        <v/>
      </c>
      <c r="M1882">
        <f>IF($K$2="","",IFERROR(INDEX(Lines!$A:$AA,ROW()-2,$K$2),""))</f>
        <v/>
      </c>
      <c r="N1882">
        <f>IF(AND(L1882&lt;&gt;"",LEFT(L1882,1)="N",M1882&lt;&gt;"PICKING",M1882&lt;&gt;""),1,0)</f>
        <v/>
      </c>
      <c r="O1882">
        <f>IF(N1882=1,M1882&amp;"|"&amp;L1882,REPT("z",40))</f>
        <v/>
      </c>
      <c r="P1882">
        <f>IF(N1882=1,COUNTIF($O$4:$O$2003,"&lt;"&amp;O1882)+1,"")</f>
        <v/>
      </c>
      <c r="Q1882">
        <f>IF(OR($R1881="",$R1881="T"),"",IF($R1881="B",$Q1881,IF($Q1881+1&gt;$K$3,"",$Q1881+1)))</f>
        <v/>
      </c>
      <c r="R1882">
        <f>IF(OR($R1881="",$R1881="T"),"",IF($R1881="B","S",IF($Q1881+1&gt;$K$3,"T",IF(INDEX($M$4:$M$2003,MATCH($Q1881+1,$P$4:$P$2003,0))&lt;&gt;INDEX($M$4:$M$2003,MATCH($Q1881,$P$4:$P$2003,0)),"B","S"))))</f>
        <v/>
      </c>
      <c r="S1882">
        <f>IF(Q1882="","",IFERROR(MATCH(Q1882,$P$4:$P$2003,0),""))</f>
        <v/>
      </c>
    </row>
    <row r="1883">
      <c r="A1883" s="4">
        <f>IF($R1883="","",IF($R1883="T","Gesamtergebnis",IF($R1883="B",INDEX($M$4:$M$2003,$S1883),INDEX($L$4:$L$2003,$S1883))))</f>
        <v/>
      </c>
      <c r="B1883" s="4">
        <f>IF($R1883="","",IF($R1883="T",$K$3,IF($R1883="B",COUNTIFS($M$4:$M$2003,INDEX($M$4:$M$2003,$S1883),$N$4:$N$2003,1),1)))</f>
        <v/>
      </c>
      <c r="L1883">
        <f>IF($K$1="","",IFERROR(INDEX(Lines!$A:$AA,ROW()-2,$K$1),""))</f>
        <v/>
      </c>
      <c r="M1883">
        <f>IF($K$2="","",IFERROR(INDEX(Lines!$A:$AA,ROW()-2,$K$2),""))</f>
        <v/>
      </c>
      <c r="N1883">
        <f>IF(AND(L1883&lt;&gt;"",LEFT(L1883,1)="N",M1883&lt;&gt;"PICKING",M1883&lt;&gt;""),1,0)</f>
        <v/>
      </c>
      <c r="O1883">
        <f>IF(N1883=1,M1883&amp;"|"&amp;L1883,REPT("z",40))</f>
        <v/>
      </c>
      <c r="P1883">
        <f>IF(N1883=1,COUNTIF($O$4:$O$2003,"&lt;"&amp;O1883)+1,"")</f>
        <v/>
      </c>
      <c r="Q1883">
        <f>IF(OR($R1882="",$R1882="T"),"",IF($R1882="B",$Q1882,IF($Q1882+1&gt;$K$3,"",$Q1882+1)))</f>
        <v/>
      </c>
      <c r="R1883">
        <f>IF(OR($R1882="",$R1882="T"),"",IF($R1882="B","S",IF($Q1882+1&gt;$K$3,"T",IF(INDEX($M$4:$M$2003,MATCH($Q1882+1,$P$4:$P$2003,0))&lt;&gt;INDEX($M$4:$M$2003,MATCH($Q1882,$P$4:$P$2003,0)),"B","S"))))</f>
        <v/>
      </c>
      <c r="S1883">
        <f>IF(Q1883="","",IFERROR(MATCH(Q1883,$P$4:$P$2003,0),""))</f>
        <v/>
      </c>
    </row>
    <row r="1884">
      <c r="A1884" s="4">
        <f>IF($R1884="","",IF($R1884="T","Gesamtergebnis",IF($R1884="B",INDEX($M$4:$M$2003,$S1884),INDEX($L$4:$L$2003,$S1884))))</f>
        <v/>
      </c>
      <c r="B1884" s="4">
        <f>IF($R1884="","",IF($R1884="T",$K$3,IF($R1884="B",COUNTIFS($M$4:$M$2003,INDEX($M$4:$M$2003,$S1884),$N$4:$N$2003,1),1)))</f>
        <v/>
      </c>
      <c r="L1884">
        <f>IF($K$1="","",IFERROR(INDEX(Lines!$A:$AA,ROW()-2,$K$1),""))</f>
        <v/>
      </c>
      <c r="M1884">
        <f>IF($K$2="","",IFERROR(INDEX(Lines!$A:$AA,ROW()-2,$K$2),""))</f>
        <v/>
      </c>
      <c r="N1884">
        <f>IF(AND(L1884&lt;&gt;"",LEFT(L1884,1)="N",M1884&lt;&gt;"PICKING",M1884&lt;&gt;""),1,0)</f>
        <v/>
      </c>
      <c r="O1884">
        <f>IF(N1884=1,M1884&amp;"|"&amp;L1884,REPT("z",40))</f>
        <v/>
      </c>
      <c r="P1884">
        <f>IF(N1884=1,COUNTIF($O$4:$O$2003,"&lt;"&amp;O1884)+1,"")</f>
        <v/>
      </c>
      <c r="Q1884">
        <f>IF(OR($R1883="",$R1883="T"),"",IF($R1883="B",$Q1883,IF($Q1883+1&gt;$K$3,"",$Q1883+1)))</f>
        <v/>
      </c>
      <c r="R1884">
        <f>IF(OR($R1883="",$R1883="T"),"",IF($R1883="B","S",IF($Q1883+1&gt;$K$3,"T",IF(INDEX($M$4:$M$2003,MATCH($Q1883+1,$P$4:$P$2003,0))&lt;&gt;INDEX($M$4:$M$2003,MATCH($Q1883,$P$4:$P$2003,0)),"B","S"))))</f>
        <v/>
      </c>
      <c r="S1884">
        <f>IF(Q1884="","",IFERROR(MATCH(Q1884,$P$4:$P$2003,0),""))</f>
        <v/>
      </c>
    </row>
    <row r="1885">
      <c r="A1885" s="4">
        <f>IF($R1885="","",IF($R1885="T","Gesamtergebnis",IF($R1885="B",INDEX($M$4:$M$2003,$S1885),INDEX($L$4:$L$2003,$S1885))))</f>
        <v/>
      </c>
      <c r="B1885" s="4">
        <f>IF($R1885="","",IF($R1885="T",$K$3,IF($R1885="B",COUNTIFS($M$4:$M$2003,INDEX($M$4:$M$2003,$S1885),$N$4:$N$2003,1),1)))</f>
        <v/>
      </c>
      <c r="L1885">
        <f>IF($K$1="","",IFERROR(INDEX(Lines!$A:$AA,ROW()-2,$K$1),""))</f>
        <v/>
      </c>
      <c r="M1885">
        <f>IF($K$2="","",IFERROR(INDEX(Lines!$A:$AA,ROW()-2,$K$2),""))</f>
        <v/>
      </c>
      <c r="N1885">
        <f>IF(AND(L1885&lt;&gt;"",LEFT(L1885,1)="N",M1885&lt;&gt;"PICKING",M1885&lt;&gt;""),1,0)</f>
        <v/>
      </c>
      <c r="O1885">
        <f>IF(N1885=1,M1885&amp;"|"&amp;L1885,REPT("z",40))</f>
        <v/>
      </c>
      <c r="P1885">
        <f>IF(N1885=1,COUNTIF($O$4:$O$2003,"&lt;"&amp;O1885)+1,"")</f>
        <v/>
      </c>
      <c r="Q1885">
        <f>IF(OR($R1884="",$R1884="T"),"",IF($R1884="B",$Q1884,IF($Q1884+1&gt;$K$3,"",$Q1884+1)))</f>
        <v/>
      </c>
      <c r="R1885">
        <f>IF(OR($R1884="",$R1884="T"),"",IF($R1884="B","S",IF($Q1884+1&gt;$K$3,"T",IF(INDEX($M$4:$M$2003,MATCH($Q1884+1,$P$4:$P$2003,0))&lt;&gt;INDEX($M$4:$M$2003,MATCH($Q1884,$P$4:$P$2003,0)),"B","S"))))</f>
        <v/>
      </c>
      <c r="S1885">
        <f>IF(Q1885="","",IFERROR(MATCH(Q1885,$P$4:$P$2003,0),""))</f>
        <v/>
      </c>
    </row>
    <row r="1886">
      <c r="A1886" s="4">
        <f>IF($R1886="","",IF($R1886="T","Gesamtergebnis",IF($R1886="B",INDEX($M$4:$M$2003,$S1886),INDEX($L$4:$L$2003,$S1886))))</f>
        <v/>
      </c>
      <c r="B1886" s="4">
        <f>IF($R1886="","",IF($R1886="T",$K$3,IF($R1886="B",COUNTIFS($M$4:$M$2003,INDEX($M$4:$M$2003,$S1886),$N$4:$N$2003,1),1)))</f>
        <v/>
      </c>
      <c r="L1886">
        <f>IF($K$1="","",IFERROR(INDEX(Lines!$A:$AA,ROW()-2,$K$1),""))</f>
        <v/>
      </c>
      <c r="M1886">
        <f>IF($K$2="","",IFERROR(INDEX(Lines!$A:$AA,ROW()-2,$K$2),""))</f>
        <v/>
      </c>
      <c r="N1886">
        <f>IF(AND(L1886&lt;&gt;"",LEFT(L1886,1)="N",M1886&lt;&gt;"PICKING",M1886&lt;&gt;""),1,0)</f>
        <v/>
      </c>
      <c r="O1886">
        <f>IF(N1886=1,M1886&amp;"|"&amp;L1886,REPT("z",40))</f>
        <v/>
      </c>
      <c r="P1886">
        <f>IF(N1886=1,COUNTIF($O$4:$O$2003,"&lt;"&amp;O1886)+1,"")</f>
        <v/>
      </c>
      <c r="Q1886">
        <f>IF(OR($R1885="",$R1885="T"),"",IF($R1885="B",$Q1885,IF($Q1885+1&gt;$K$3,"",$Q1885+1)))</f>
        <v/>
      </c>
      <c r="R1886">
        <f>IF(OR($R1885="",$R1885="T"),"",IF($R1885="B","S",IF($Q1885+1&gt;$K$3,"T",IF(INDEX($M$4:$M$2003,MATCH($Q1885+1,$P$4:$P$2003,0))&lt;&gt;INDEX($M$4:$M$2003,MATCH($Q1885,$P$4:$P$2003,0)),"B","S"))))</f>
        <v/>
      </c>
      <c r="S1886">
        <f>IF(Q1886="","",IFERROR(MATCH(Q1886,$P$4:$P$2003,0),""))</f>
        <v/>
      </c>
    </row>
    <row r="1887">
      <c r="A1887" s="4">
        <f>IF($R1887="","",IF($R1887="T","Gesamtergebnis",IF($R1887="B",INDEX($M$4:$M$2003,$S1887),INDEX($L$4:$L$2003,$S1887))))</f>
        <v/>
      </c>
      <c r="B1887" s="4">
        <f>IF($R1887="","",IF($R1887="T",$K$3,IF($R1887="B",COUNTIFS($M$4:$M$2003,INDEX($M$4:$M$2003,$S1887),$N$4:$N$2003,1),1)))</f>
        <v/>
      </c>
      <c r="L1887">
        <f>IF($K$1="","",IFERROR(INDEX(Lines!$A:$AA,ROW()-2,$K$1),""))</f>
        <v/>
      </c>
      <c r="M1887">
        <f>IF($K$2="","",IFERROR(INDEX(Lines!$A:$AA,ROW()-2,$K$2),""))</f>
        <v/>
      </c>
      <c r="N1887">
        <f>IF(AND(L1887&lt;&gt;"",LEFT(L1887,1)="N",M1887&lt;&gt;"PICKING",M1887&lt;&gt;""),1,0)</f>
        <v/>
      </c>
      <c r="O1887">
        <f>IF(N1887=1,M1887&amp;"|"&amp;L1887,REPT("z",40))</f>
        <v/>
      </c>
      <c r="P1887">
        <f>IF(N1887=1,COUNTIF($O$4:$O$2003,"&lt;"&amp;O1887)+1,"")</f>
        <v/>
      </c>
      <c r="Q1887">
        <f>IF(OR($R1886="",$R1886="T"),"",IF($R1886="B",$Q1886,IF($Q1886+1&gt;$K$3,"",$Q1886+1)))</f>
        <v/>
      </c>
      <c r="R1887">
        <f>IF(OR($R1886="",$R1886="T"),"",IF($R1886="B","S",IF($Q1886+1&gt;$K$3,"T",IF(INDEX($M$4:$M$2003,MATCH($Q1886+1,$P$4:$P$2003,0))&lt;&gt;INDEX($M$4:$M$2003,MATCH($Q1886,$P$4:$P$2003,0)),"B","S"))))</f>
        <v/>
      </c>
      <c r="S1887">
        <f>IF(Q1887="","",IFERROR(MATCH(Q1887,$P$4:$P$2003,0),""))</f>
        <v/>
      </c>
    </row>
    <row r="1888">
      <c r="A1888" s="4">
        <f>IF($R1888="","",IF($R1888="T","Gesamtergebnis",IF($R1888="B",INDEX($M$4:$M$2003,$S1888),INDEX($L$4:$L$2003,$S1888))))</f>
        <v/>
      </c>
      <c r="B1888" s="4">
        <f>IF($R1888="","",IF($R1888="T",$K$3,IF($R1888="B",COUNTIFS($M$4:$M$2003,INDEX($M$4:$M$2003,$S1888),$N$4:$N$2003,1),1)))</f>
        <v/>
      </c>
      <c r="L1888">
        <f>IF($K$1="","",IFERROR(INDEX(Lines!$A:$AA,ROW()-2,$K$1),""))</f>
        <v/>
      </c>
      <c r="M1888">
        <f>IF($K$2="","",IFERROR(INDEX(Lines!$A:$AA,ROW()-2,$K$2),""))</f>
        <v/>
      </c>
      <c r="N1888">
        <f>IF(AND(L1888&lt;&gt;"",LEFT(L1888,1)="N",M1888&lt;&gt;"PICKING",M1888&lt;&gt;""),1,0)</f>
        <v/>
      </c>
      <c r="O1888">
        <f>IF(N1888=1,M1888&amp;"|"&amp;L1888,REPT("z",40))</f>
        <v/>
      </c>
      <c r="P1888">
        <f>IF(N1888=1,COUNTIF($O$4:$O$2003,"&lt;"&amp;O1888)+1,"")</f>
        <v/>
      </c>
      <c r="Q1888">
        <f>IF(OR($R1887="",$R1887="T"),"",IF($R1887="B",$Q1887,IF($Q1887+1&gt;$K$3,"",$Q1887+1)))</f>
        <v/>
      </c>
      <c r="R1888">
        <f>IF(OR($R1887="",$R1887="T"),"",IF($R1887="B","S",IF($Q1887+1&gt;$K$3,"T",IF(INDEX($M$4:$M$2003,MATCH($Q1887+1,$P$4:$P$2003,0))&lt;&gt;INDEX($M$4:$M$2003,MATCH($Q1887,$P$4:$P$2003,0)),"B","S"))))</f>
        <v/>
      </c>
      <c r="S1888">
        <f>IF(Q1888="","",IFERROR(MATCH(Q1888,$P$4:$P$2003,0),""))</f>
        <v/>
      </c>
    </row>
    <row r="1889">
      <c r="A1889" s="4">
        <f>IF($R1889="","",IF($R1889="T","Gesamtergebnis",IF($R1889="B",INDEX($M$4:$M$2003,$S1889),INDEX($L$4:$L$2003,$S1889))))</f>
        <v/>
      </c>
      <c r="B1889" s="4">
        <f>IF($R1889="","",IF($R1889="T",$K$3,IF($R1889="B",COUNTIFS($M$4:$M$2003,INDEX($M$4:$M$2003,$S1889),$N$4:$N$2003,1),1)))</f>
        <v/>
      </c>
      <c r="L1889">
        <f>IF($K$1="","",IFERROR(INDEX(Lines!$A:$AA,ROW()-2,$K$1),""))</f>
        <v/>
      </c>
      <c r="M1889">
        <f>IF($K$2="","",IFERROR(INDEX(Lines!$A:$AA,ROW()-2,$K$2),""))</f>
        <v/>
      </c>
      <c r="N1889">
        <f>IF(AND(L1889&lt;&gt;"",LEFT(L1889,1)="N",M1889&lt;&gt;"PICKING",M1889&lt;&gt;""),1,0)</f>
        <v/>
      </c>
      <c r="O1889">
        <f>IF(N1889=1,M1889&amp;"|"&amp;L1889,REPT("z",40))</f>
        <v/>
      </c>
      <c r="P1889">
        <f>IF(N1889=1,COUNTIF($O$4:$O$2003,"&lt;"&amp;O1889)+1,"")</f>
        <v/>
      </c>
      <c r="Q1889">
        <f>IF(OR($R1888="",$R1888="T"),"",IF($R1888="B",$Q1888,IF($Q1888+1&gt;$K$3,"",$Q1888+1)))</f>
        <v/>
      </c>
      <c r="R1889">
        <f>IF(OR($R1888="",$R1888="T"),"",IF($R1888="B","S",IF($Q1888+1&gt;$K$3,"T",IF(INDEX($M$4:$M$2003,MATCH($Q1888+1,$P$4:$P$2003,0))&lt;&gt;INDEX($M$4:$M$2003,MATCH($Q1888,$P$4:$P$2003,0)),"B","S"))))</f>
        <v/>
      </c>
      <c r="S1889">
        <f>IF(Q1889="","",IFERROR(MATCH(Q1889,$P$4:$P$2003,0),""))</f>
        <v/>
      </c>
    </row>
    <row r="1890">
      <c r="A1890" s="4">
        <f>IF($R1890="","",IF($R1890="T","Gesamtergebnis",IF($R1890="B",INDEX($M$4:$M$2003,$S1890),INDEX($L$4:$L$2003,$S1890))))</f>
        <v/>
      </c>
      <c r="B1890" s="4">
        <f>IF($R1890="","",IF($R1890="T",$K$3,IF($R1890="B",COUNTIFS($M$4:$M$2003,INDEX($M$4:$M$2003,$S1890),$N$4:$N$2003,1),1)))</f>
        <v/>
      </c>
      <c r="L1890">
        <f>IF($K$1="","",IFERROR(INDEX(Lines!$A:$AA,ROW()-2,$K$1),""))</f>
        <v/>
      </c>
      <c r="M1890">
        <f>IF($K$2="","",IFERROR(INDEX(Lines!$A:$AA,ROW()-2,$K$2),""))</f>
        <v/>
      </c>
      <c r="N1890">
        <f>IF(AND(L1890&lt;&gt;"",LEFT(L1890,1)="N",M1890&lt;&gt;"PICKING",M1890&lt;&gt;""),1,0)</f>
        <v/>
      </c>
      <c r="O1890">
        <f>IF(N1890=1,M1890&amp;"|"&amp;L1890,REPT("z",40))</f>
        <v/>
      </c>
      <c r="P1890">
        <f>IF(N1890=1,COUNTIF($O$4:$O$2003,"&lt;"&amp;O1890)+1,"")</f>
        <v/>
      </c>
      <c r="Q1890">
        <f>IF(OR($R1889="",$R1889="T"),"",IF($R1889="B",$Q1889,IF($Q1889+1&gt;$K$3,"",$Q1889+1)))</f>
        <v/>
      </c>
      <c r="R1890">
        <f>IF(OR($R1889="",$R1889="T"),"",IF($R1889="B","S",IF($Q1889+1&gt;$K$3,"T",IF(INDEX($M$4:$M$2003,MATCH($Q1889+1,$P$4:$P$2003,0))&lt;&gt;INDEX($M$4:$M$2003,MATCH($Q1889,$P$4:$P$2003,0)),"B","S"))))</f>
        <v/>
      </c>
      <c r="S1890">
        <f>IF(Q1890="","",IFERROR(MATCH(Q1890,$P$4:$P$2003,0),""))</f>
        <v/>
      </c>
    </row>
    <row r="1891">
      <c r="A1891" s="4">
        <f>IF($R1891="","",IF($R1891="T","Gesamtergebnis",IF($R1891="B",INDEX($M$4:$M$2003,$S1891),INDEX($L$4:$L$2003,$S1891))))</f>
        <v/>
      </c>
      <c r="B1891" s="4">
        <f>IF($R1891="","",IF($R1891="T",$K$3,IF($R1891="B",COUNTIFS($M$4:$M$2003,INDEX($M$4:$M$2003,$S1891),$N$4:$N$2003,1),1)))</f>
        <v/>
      </c>
      <c r="L1891">
        <f>IF($K$1="","",IFERROR(INDEX(Lines!$A:$AA,ROW()-2,$K$1),""))</f>
        <v/>
      </c>
      <c r="M1891">
        <f>IF($K$2="","",IFERROR(INDEX(Lines!$A:$AA,ROW()-2,$K$2),""))</f>
        <v/>
      </c>
      <c r="N1891">
        <f>IF(AND(L1891&lt;&gt;"",LEFT(L1891,1)="N",M1891&lt;&gt;"PICKING",M1891&lt;&gt;""),1,0)</f>
        <v/>
      </c>
      <c r="O1891">
        <f>IF(N1891=1,M1891&amp;"|"&amp;L1891,REPT("z",40))</f>
        <v/>
      </c>
      <c r="P1891">
        <f>IF(N1891=1,COUNTIF($O$4:$O$2003,"&lt;"&amp;O1891)+1,"")</f>
        <v/>
      </c>
      <c r="Q1891">
        <f>IF(OR($R1890="",$R1890="T"),"",IF($R1890="B",$Q1890,IF($Q1890+1&gt;$K$3,"",$Q1890+1)))</f>
        <v/>
      </c>
      <c r="R1891">
        <f>IF(OR($R1890="",$R1890="T"),"",IF($R1890="B","S",IF($Q1890+1&gt;$K$3,"T",IF(INDEX($M$4:$M$2003,MATCH($Q1890+1,$P$4:$P$2003,0))&lt;&gt;INDEX($M$4:$M$2003,MATCH($Q1890,$P$4:$P$2003,0)),"B","S"))))</f>
        <v/>
      </c>
      <c r="S1891">
        <f>IF(Q1891="","",IFERROR(MATCH(Q1891,$P$4:$P$2003,0),""))</f>
        <v/>
      </c>
    </row>
    <row r="1892">
      <c r="A1892" s="4">
        <f>IF($R1892="","",IF($R1892="T","Gesamtergebnis",IF($R1892="B",INDEX($M$4:$M$2003,$S1892),INDEX($L$4:$L$2003,$S1892))))</f>
        <v/>
      </c>
      <c r="B1892" s="4">
        <f>IF($R1892="","",IF($R1892="T",$K$3,IF($R1892="B",COUNTIFS($M$4:$M$2003,INDEX($M$4:$M$2003,$S1892),$N$4:$N$2003,1),1)))</f>
        <v/>
      </c>
      <c r="L1892">
        <f>IF($K$1="","",IFERROR(INDEX(Lines!$A:$AA,ROW()-2,$K$1),""))</f>
        <v/>
      </c>
      <c r="M1892">
        <f>IF($K$2="","",IFERROR(INDEX(Lines!$A:$AA,ROW()-2,$K$2),""))</f>
        <v/>
      </c>
      <c r="N1892">
        <f>IF(AND(L1892&lt;&gt;"",LEFT(L1892,1)="N",M1892&lt;&gt;"PICKING",M1892&lt;&gt;""),1,0)</f>
        <v/>
      </c>
      <c r="O1892">
        <f>IF(N1892=1,M1892&amp;"|"&amp;L1892,REPT("z",40))</f>
        <v/>
      </c>
      <c r="P1892">
        <f>IF(N1892=1,COUNTIF($O$4:$O$2003,"&lt;"&amp;O1892)+1,"")</f>
        <v/>
      </c>
      <c r="Q1892">
        <f>IF(OR($R1891="",$R1891="T"),"",IF($R1891="B",$Q1891,IF($Q1891+1&gt;$K$3,"",$Q1891+1)))</f>
        <v/>
      </c>
      <c r="R1892">
        <f>IF(OR($R1891="",$R1891="T"),"",IF($R1891="B","S",IF($Q1891+1&gt;$K$3,"T",IF(INDEX($M$4:$M$2003,MATCH($Q1891+1,$P$4:$P$2003,0))&lt;&gt;INDEX($M$4:$M$2003,MATCH($Q1891,$P$4:$P$2003,0)),"B","S"))))</f>
        <v/>
      </c>
      <c r="S1892">
        <f>IF(Q1892="","",IFERROR(MATCH(Q1892,$P$4:$P$2003,0),""))</f>
        <v/>
      </c>
    </row>
    <row r="1893">
      <c r="A1893" s="4">
        <f>IF($R1893="","",IF($R1893="T","Gesamtergebnis",IF($R1893="B",INDEX($M$4:$M$2003,$S1893),INDEX($L$4:$L$2003,$S1893))))</f>
        <v/>
      </c>
      <c r="B1893" s="4">
        <f>IF($R1893="","",IF($R1893="T",$K$3,IF($R1893="B",COUNTIFS($M$4:$M$2003,INDEX($M$4:$M$2003,$S1893),$N$4:$N$2003,1),1)))</f>
        <v/>
      </c>
      <c r="L1893">
        <f>IF($K$1="","",IFERROR(INDEX(Lines!$A:$AA,ROW()-2,$K$1),""))</f>
        <v/>
      </c>
      <c r="M1893">
        <f>IF($K$2="","",IFERROR(INDEX(Lines!$A:$AA,ROW()-2,$K$2),""))</f>
        <v/>
      </c>
      <c r="N1893">
        <f>IF(AND(L1893&lt;&gt;"",LEFT(L1893,1)="N",M1893&lt;&gt;"PICKING",M1893&lt;&gt;""),1,0)</f>
        <v/>
      </c>
      <c r="O1893">
        <f>IF(N1893=1,M1893&amp;"|"&amp;L1893,REPT("z",40))</f>
        <v/>
      </c>
      <c r="P1893">
        <f>IF(N1893=1,COUNTIF($O$4:$O$2003,"&lt;"&amp;O1893)+1,"")</f>
        <v/>
      </c>
      <c r="Q1893">
        <f>IF(OR($R1892="",$R1892="T"),"",IF($R1892="B",$Q1892,IF($Q1892+1&gt;$K$3,"",$Q1892+1)))</f>
        <v/>
      </c>
      <c r="R1893">
        <f>IF(OR($R1892="",$R1892="T"),"",IF($R1892="B","S",IF($Q1892+1&gt;$K$3,"T",IF(INDEX($M$4:$M$2003,MATCH($Q1892+1,$P$4:$P$2003,0))&lt;&gt;INDEX($M$4:$M$2003,MATCH($Q1892,$P$4:$P$2003,0)),"B","S"))))</f>
        <v/>
      </c>
      <c r="S1893">
        <f>IF(Q1893="","",IFERROR(MATCH(Q1893,$P$4:$P$2003,0),""))</f>
        <v/>
      </c>
    </row>
    <row r="1894">
      <c r="A1894" s="4">
        <f>IF($R1894="","",IF($R1894="T","Gesamtergebnis",IF($R1894="B",INDEX($M$4:$M$2003,$S1894),INDEX($L$4:$L$2003,$S1894))))</f>
        <v/>
      </c>
      <c r="B1894" s="4">
        <f>IF($R1894="","",IF($R1894="T",$K$3,IF($R1894="B",COUNTIFS($M$4:$M$2003,INDEX($M$4:$M$2003,$S1894),$N$4:$N$2003,1),1)))</f>
        <v/>
      </c>
      <c r="L1894">
        <f>IF($K$1="","",IFERROR(INDEX(Lines!$A:$AA,ROW()-2,$K$1),""))</f>
        <v/>
      </c>
      <c r="M1894">
        <f>IF($K$2="","",IFERROR(INDEX(Lines!$A:$AA,ROW()-2,$K$2),""))</f>
        <v/>
      </c>
      <c r="N1894">
        <f>IF(AND(L1894&lt;&gt;"",LEFT(L1894,1)="N",M1894&lt;&gt;"PICKING",M1894&lt;&gt;""),1,0)</f>
        <v/>
      </c>
      <c r="O1894">
        <f>IF(N1894=1,M1894&amp;"|"&amp;L1894,REPT("z",40))</f>
        <v/>
      </c>
      <c r="P1894">
        <f>IF(N1894=1,COUNTIF($O$4:$O$2003,"&lt;"&amp;O1894)+1,"")</f>
        <v/>
      </c>
      <c r="Q1894">
        <f>IF(OR($R1893="",$R1893="T"),"",IF($R1893="B",$Q1893,IF($Q1893+1&gt;$K$3,"",$Q1893+1)))</f>
        <v/>
      </c>
      <c r="R1894">
        <f>IF(OR($R1893="",$R1893="T"),"",IF($R1893="B","S",IF($Q1893+1&gt;$K$3,"T",IF(INDEX($M$4:$M$2003,MATCH($Q1893+1,$P$4:$P$2003,0))&lt;&gt;INDEX($M$4:$M$2003,MATCH($Q1893,$P$4:$P$2003,0)),"B","S"))))</f>
        <v/>
      </c>
      <c r="S1894">
        <f>IF(Q1894="","",IFERROR(MATCH(Q1894,$P$4:$P$2003,0),""))</f>
        <v/>
      </c>
    </row>
    <row r="1895">
      <c r="A1895" s="4">
        <f>IF($R1895="","",IF($R1895="T","Gesamtergebnis",IF($R1895="B",INDEX($M$4:$M$2003,$S1895),INDEX($L$4:$L$2003,$S1895))))</f>
        <v/>
      </c>
      <c r="B1895" s="4">
        <f>IF($R1895="","",IF($R1895="T",$K$3,IF($R1895="B",COUNTIFS($M$4:$M$2003,INDEX($M$4:$M$2003,$S1895),$N$4:$N$2003,1),1)))</f>
        <v/>
      </c>
      <c r="L1895">
        <f>IF($K$1="","",IFERROR(INDEX(Lines!$A:$AA,ROW()-2,$K$1),""))</f>
        <v/>
      </c>
      <c r="M1895">
        <f>IF($K$2="","",IFERROR(INDEX(Lines!$A:$AA,ROW()-2,$K$2),""))</f>
        <v/>
      </c>
      <c r="N1895">
        <f>IF(AND(L1895&lt;&gt;"",LEFT(L1895,1)="N",M1895&lt;&gt;"PICKING",M1895&lt;&gt;""),1,0)</f>
        <v/>
      </c>
      <c r="O1895">
        <f>IF(N1895=1,M1895&amp;"|"&amp;L1895,REPT("z",40))</f>
        <v/>
      </c>
      <c r="P1895">
        <f>IF(N1895=1,COUNTIF($O$4:$O$2003,"&lt;"&amp;O1895)+1,"")</f>
        <v/>
      </c>
      <c r="Q1895">
        <f>IF(OR($R1894="",$R1894="T"),"",IF($R1894="B",$Q1894,IF($Q1894+1&gt;$K$3,"",$Q1894+1)))</f>
        <v/>
      </c>
      <c r="R1895">
        <f>IF(OR($R1894="",$R1894="T"),"",IF($R1894="B","S",IF($Q1894+1&gt;$K$3,"T",IF(INDEX($M$4:$M$2003,MATCH($Q1894+1,$P$4:$P$2003,0))&lt;&gt;INDEX($M$4:$M$2003,MATCH($Q1894,$P$4:$P$2003,0)),"B","S"))))</f>
        <v/>
      </c>
      <c r="S1895">
        <f>IF(Q1895="","",IFERROR(MATCH(Q1895,$P$4:$P$2003,0),""))</f>
        <v/>
      </c>
    </row>
    <row r="1896">
      <c r="A1896" s="4">
        <f>IF($R1896="","",IF($R1896="T","Gesamtergebnis",IF($R1896="B",INDEX($M$4:$M$2003,$S1896),INDEX($L$4:$L$2003,$S1896))))</f>
        <v/>
      </c>
      <c r="B1896" s="4">
        <f>IF($R1896="","",IF($R1896="T",$K$3,IF($R1896="B",COUNTIFS($M$4:$M$2003,INDEX($M$4:$M$2003,$S1896),$N$4:$N$2003,1),1)))</f>
        <v/>
      </c>
      <c r="L1896">
        <f>IF($K$1="","",IFERROR(INDEX(Lines!$A:$AA,ROW()-2,$K$1),""))</f>
        <v/>
      </c>
      <c r="M1896">
        <f>IF($K$2="","",IFERROR(INDEX(Lines!$A:$AA,ROW()-2,$K$2),""))</f>
        <v/>
      </c>
      <c r="N1896">
        <f>IF(AND(L1896&lt;&gt;"",LEFT(L1896,1)="N",M1896&lt;&gt;"PICKING",M1896&lt;&gt;""),1,0)</f>
        <v/>
      </c>
      <c r="O1896">
        <f>IF(N1896=1,M1896&amp;"|"&amp;L1896,REPT("z",40))</f>
        <v/>
      </c>
      <c r="P1896">
        <f>IF(N1896=1,COUNTIF($O$4:$O$2003,"&lt;"&amp;O1896)+1,"")</f>
        <v/>
      </c>
      <c r="Q1896">
        <f>IF(OR($R1895="",$R1895="T"),"",IF($R1895="B",$Q1895,IF($Q1895+1&gt;$K$3,"",$Q1895+1)))</f>
        <v/>
      </c>
      <c r="R1896">
        <f>IF(OR($R1895="",$R1895="T"),"",IF($R1895="B","S",IF($Q1895+1&gt;$K$3,"T",IF(INDEX($M$4:$M$2003,MATCH($Q1895+1,$P$4:$P$2003,0))&lt;&gt;INDEX($M$4:$M$2003,MATCH($Q1895,$P$4:$P$2003,0)),"B","S"))))</f>
        <v/>
      </c>
      <c r="S1896">
        <f>IF(Q1896="","",IFERROR(MATCH(Q1896,$P$4:$P$2003,0),""))</f>
        <v/>
      </c>
    </row>
    <row r="1897">
      <c r="A1897" s="4">
        <f>IF($R1897="","",IF($R1897="T","Gesamtergebnis",IF($R1897="B",INDEX($M$4:$M$2003,$S1897),INDEX($L$4:$L$2003,$S1897))))</f>
        <v/>
      </c>
      <c r="B1897" s="4">
        <f>IF($R1897="","",IF($R1897="T",$K$3,IF($R1897="B",COUNTIFS($M$4:$M$2003,INDEX($M$4:$M$2003,$S1897),$N$4:$N$2003,1),1)))</f>
        <v/>
      </c>
      <c r="L1897">
        <f>IF($K$1="","",IFERROR(INDEX(Lines!$A:$AA,ROW()-2,$K$1),""))</f>
        <v/>
      </c>
      <c r="M1897">
        <f>IF($K$2="","",IFERROR(INDEX(Lines!$A:$AA,ROW()-2,$K$2),""))</f>
        <v/>
      </c>
      <c r="N1897">
        <f>IF(AND(L1897&lt;&gt;"",LEFT(L1897,1)="N",M1897&lt;&gt;"PICKING",M1897&lt;&gt;""),1,0)</f>
        <v/>
      </c>
      <c r="O1897">
        <f>IF(N1897=1,M1897&amp;"|"&amp;L1897,REPT("z",40))</f>
        <v/>
      </c>
      <c r="P1897">
        <f>IF(N1897=1,COUNTIF($O$4:$O$2003,"&lt;"&amp;O1897)+1,"")</f>
        <v/>
      </c>
      <c r="Q1897">
        <f>IF(OR($R1896="",$R1896="T"),"",IF($R1896="B",$Q1896,IF($Q1896+1&gt;$K$3,"",$Q1896+1)))</f>
        <v/>
      </c>
      <c r="R1897">
        <f>IF(OR($R1896="",$R1896="T"),"",IF($R1896="B","S",IF($Q1896+1&gt;$K$3,"T",IF(INDEX($M$4:$M$2003,MATCH($Q1896+1,$P$4:$P$2003,0))&lt;&gt;INDEX($M$4:$M$2003,MATCH($Q1896,$P$4:$P$2003,0)),"B","S"))))</f>
        <v/>
      </c>
      <c r="S1897">
        <f>IF(Q1897="","",IFERROR(MATCH(Q1897,$P$4:$P$2003,0),""))</f>
        <v/>
      </c>
    </row>
    <row r="1898">
      <c r="A1898" s="4">
        <f>IF($R1898="","",IF($R1898="T","Gesamtergebnis",IF($R1898="B",INDEX($M$4:$M$2003,$S1898),INDEX($L$4:$L$2003,$S1898))))</f>
        <v/>
      </c>
      <c r="B1898" s="4">
        <f>IF($R1898="","",IF($R1898="T",$K$3,IF($R1898="B",COUNTIFS($M$4:$M$2003,INDEX($M$4:$M$2003,$S1898),$N$4:$N$2003,1),1)))</f>
        <v/>
      </c>
      <c r="L1898">
        <f>IF($K$1="","",IFERROR(INDEX(Lines!$A:$AA,ROW()-2,$K$1),""))</f>
        <v/>
      </c>
      <c r="M1898">
        <f>IF($K$2="","",IFERROR(INDEX(Lines!$A:$AA,ROW()-2,$K$2),""))</f>
        <v/>
      </c>
      <c r="N1898">
        <f>IF(AND(L1898&lt;&gt;"",LEFT(L1898,1)="N",M1898&lt;&gt;"PICKING",M1898&lt;&gt;""),1,0)</f>
        <v/>
      </c>
      <c r="O1898">
        <f>IF(N1898=1,M1898&amp;"|"&amp;L1898,REPT("z",40))</f>
        <v/>
      </c>
      <c r="P1898">
        <f>IF(N1898=1,COUNTIF($O$4:$O$2003,"&lt;"&amp;O1898)+1,"")</f>
        <v/>
      </c>
      <c r="Q1898">
        <f>IF(OR($R1897="",$R1897="T"),"",IF($R1897="B",$Q1897,IF($Q1897+1&gt;$K$3,"",$Q1897+1)))</f>
        <v/>
      </c>
      <c r="R1898">
        <f>IF(OR($R1897="",$R1897="T"),"",IF($R1897="B","S",IF($Q1897+1&gt;$K$3,"T",IF(INDEX($M$4:$M$2003,MATCH($Q1897+1,$P$4:$P$2003,0))&lt;&gt;INDEX($M$4:$M$2003,MATCH($Q1897,$P$4:$P$2003,0)),"B","S"))))</f>
        <v/>
      </c>
      <c r="S1898">
        <f>IF(Q1898="","",IFERROR(MATCH(Q1898,$P$4:$P$2003,0),""))</f>
        <v/>
      </c>
    </row>
    <row r="1899">
      <c r="A1899" s="4">
        <f>IF($R1899="","",IF($R1899="T","Gesamtergebnis",IF($R1899="B",INDEX($M$4:$M$2003,$S1899),INDEX($L$4:$L$2003,$S1899))))</f>
        <v/>
      </c>
      <c r="B1899" s="4">
        <f>IF($R1899="","",IF($R1899="T",$K$3,IF($R1899="B",COUNTIFS($M$4:$M$2003,INDEX($M$4:$M$2003,$S1899),$N$4:$N$2003,1),1)))</f>
        <v/>
      </c>
      <c r="L1899">
        <f>IF($K$1="","",IFERROR(INDEX(Lines!$A:$AA,ROW()-2,$K$1),""))</f>
        <v/>
      </c>
      <c r="M1899">
        <f>IF($K$2="","",IFERROR(INDEX(Lines!$A:$AA,ROW()-2,$K$2),""))</f>
        <v/>
      </c>
      <c r="N1899">
        <f>IF(AND(L1899&lt;&gt;"",LEFT(L1899,1)="N",M1899&lt;&gt;"PICKING",M1899&lt;&gt;""),1,0)</f>
        <v/>
      </c>
      <c r="O1899">
        <f>IF(N1899=1,M1899&amp;"|"&amp;L1899,REPT("z",40))</f>
        <v/>
      </c>
      <c r="P1899">
        <f>IF(N1899=1,COUNTIF($O$4:$O$2003,"&lt;"&amp;O1899)+1,"")</f>
        <v/>
      </c>
      <c r="Q1899">
        <f>IF(OR($R1898="",$R1898="T"),"",IF($R1898="B",$Q1898,IF($Q1898+1&gt;$K$3,"",$Q1898+1)))</f>
        <v/>
      </c>
      <c r="R1899">
        <f>IF(OR($R1898="",$R1898="T"),"",IF($R1898="B","S",IF($Q1898+1&gt;$K$3,"T",IF(INDEX($M$4:$M$2003,MATCH($Q1898+1,$P$4:$P$2003,0))&lt;&gt;INDEX($M$4:$M$2003,MATCH($Q1898,$P$4:$P$2003,0)),"B","S"))))</f>
        <v/>
      </c>
      <c r="S1899">
        <f>IF(Q1899="","",IFERROR(MATCH(Q1899,$P$4:$P$2003,0),""))</f>
        <v/>
      </c>
    </row>
    <row r="1900">
      <c r="A1900" s="4">
        <f>IF($R1900="","",IF($R1900="T","Gesamtergebnis",IF($R1900="B",INDEX($M$4:$M$2003,$S1900),INDEX($L$4:$L$2003,$S1900))))</f>
        <v/>
      </c>
      <c r="B1900" s="4">
        <f>IF($R1900="","",IF($R1900="T",$K$3,IF($R1900="B",COUNTIFS($M$4:$M$2003,INDEX($M$4:$M$2003,$S1900),$N$4:$N$2003,1),1)))</f>
        <v/>
      </c>
      <c r="L1900">
        <f>IF($K$1="","",IFERROR(INDEX(Lines!$A:$AA,ROW()-2,$K$1),""))</f>
        <v/>
      </c>
      <c r="M1900">
        <f>IF($K$2="","",IFERROR(INDEX(Lines!$A:$AA,ROW()-2,$K$2),""))</f>
        <v/>
      </c>
      <c r="N1900">
        <f>IF(AND(L1900&lt;&gt;"",LEFT(L1900,1)="N",M1900&lt;&gt;"PICKING",M1900&lt;&gt;""),1,0)</f>
        <v/>
      </c>
      <c r="O1900">
        <f>IF(N1900=1,M1900&amp;"|"&amp;L1900,REPT("z",40))</f>
        <v/>
      </c>
      <c r="P1900">
        <f>IF(N1900=1,COUNTIF($O$4:$O$2003,"&lt;"&amp;O1900)+1,"")</f>
        <v/>
      </c>
      <c r="Q1900">
        <f>IF(OR($R1899="",$R1899="T"),"",IF($R1899="B",$Q1899,IF($Q1899+1&gt;$K$3,"",$Q1899+1)))</f>
        <v/>
      </c>
      <c r="R1900">
        <f>IF(OR($R1899="",$R1899="T"),"",IF($R1899="B","S",IF($Q1899+1&gt;$K$3,"T",IF(INDEX($M$4:$M$2003,MATCH($Q1899+1,$P$4:$P$2003,0))&lt;&gt;INDEX($M$4:$M$2003,MATCH($Q1899,$P$4:$P$2003,0)),"B","S"))))</f>
        <v/>
      </c>
      <c r="S1900">
        <f>IF(Q1900="","",IFERROR(MATCH(Q1900,$P$4:$P$2003,0),""))</f>
        <v/>
      </c>
    </row>
    <row r="1901">
      <c r="A1901" s="4">
        <f>IF($R1901="","",IF($R1901="T","Gesamtergebnis",IF($R1901="B",INDEX($M$4:$M$2003,$S1901),INDEX($L$4:$L$2003,$S1901))))</f>
        <v/>
      </c>
      <c r="B1901" s="4">
        <f>IF($R1901="","",IF($R1901="T",$K$3,IF($R1901="B",COUNTIFS($M$4:$M$2003,INDEX($M$4:$M$2003,$S1901),$N$4:$N$2003,1),1)))</f>
        <v/>
      </c>
      <c r="L1901">
        <f>IF($K$1="","",IFERROR(INDEX(Lines!$A:$AA,ROW()-2,$K$1),""))</f>
        <v/>
      </c>
      <c r="M1901">
        <f>IF($K$2="","",IFERROR(INDEX(Lines!$A:$AA,ROW()-2,$K$2),""))</f>
        <v/>
      </c>
      <c r="N1901">
        <f>IF(AND(L1901&lt;&gt;"",LEFT(L1901,1)="N",M1901&lt;&gt;"PICKING",M1901&lt;&gt;""),1,0)</f>
        <v/>
      </c>
      <c r="O1901">
        <f>IF(N1901=1,M1901&amp;"|"&amp;L1901,REPT("z",40))</f>
        <v/>
      </c>
      <c r="P1901">
        <f>IF(N1901=1,COUNTIF($O$4:$O$2003,"&lt;"&amp;O1901)+1,"")</f>
        <v/>
      </c>
      <c r="Q1901">
        <f>IF(OR($R1900="",$R1900="T"),"",IF($R1900="B",$Q1900,IF($Q1900+1&gt;$K$3,"",$Q1900+1)))</f>
        <v/>
      </c>
      <c r="R1901">
        <f>IF(OR($R1900="",$R1900="T"),"",IF($R1900="B","S",IF($Q1900+1&gt;$K$3,"T",IF(INDEX($M$4:$M$2003,MATCH($Q1900+1,$P$4:$P$2003,0))&lt;&gt;INDEX($M$4:$M$2003,MATCH($Q1900,$P$4:$P$2003,0)),"B","S"))))</f>
        <v/>
      </c>
      <c r="S1901">
        <f>IF(Q1901="","",IFERROR(MATCH(Q1901,$P$4:$P$2003,0),""))</f>
        <v/>
      </c>
    </row>
    <row r="1902">
      <c r="A1902" s="4">
        <f>IF($R1902="","",IF($R1902="T","Gesamtergebnis",IF($R1902="B",INDEX($M$4:$M$2003,$S1902),INDEX($L$4:$L$2003,$S1902))))</f>
        <v/>
      </c>
      <c r="B1902" s="4">
        <f>IF($R1902="","",IF($R1902="T",$K$3,IF($R1902="B",COUNTIFS($M$4:$M$2003,INDEX($M$4:$M$2003,$S1902),$N$4:$N$2003,1),1)))</f>
        <v/>
      </c>
      <c r="L1902">
        <f>IF($K$1="","",IFERROR(INDEX(Lines!$A:$AA,ROW()-2,$K$1),""))</f>
        <v/>
      </c>
      <c r="M1902">
        <f>IF($K$2="","",IFERROR(INDEX(Lines!$A:$AA,ROW()-2,$K$2),""))</f>
        <v/>
      </c>
      <c r="N1902">
        <f>IF(AND(L1902&lt;&gt;"",LEFT(L1902,1)="N",M1902&lt;&gt;"PICKING",M1902&lt;&gt;""),1,0)</f>
        <v/>
      </c>
      <c r="O1902">
        <f>IF(N1902=1,M1902&amp;"|"&amp;L1902,REPT("z",40))</f>
        <v/>
      </c>
      <c r="P1902">
        <f>IF(N1902=1,COUNTIF($O$4:$O$2003,"&lt;"&amp;O1902)+1,"")</f>
        <v/>
      </c>
      <c r="Q1902">
        <f>IF(OR($R1901="",$R1901="T"),"",IF($R1901="B",$Q1901,IF($Q1901+1&gt;$K$3,"",$Q1901+1)))</f>
        <v/>
      </c>
      <c r="R1902">
        <f>IF(OR($R1901="",$R1901="T"),"",IF($R1901="B","S",IF($Q1901+1&gt;$K$3,"T",IF(INDEX($M$4:$M$2003,MATCH($Q1901+1,$P$4:$P$2003,0))&lt;&gt;INDEX($M$4:$M$2003,MATCH($Q1901,$P$4:$P$2003,0)),"B","S"))))</f>
        <v/>
      </c>
      <c r="S1902">
        <f>IF(Q1902="","",IFERROR(MATCH(Q1902,$P$4:$P$2003,0),""))</f>
        <v/>
      </c>
    </row>
    <row r="1903">
      <c r="A1903" s="4">
        <f>IF($R1903="","",IF($R1903="T","Gesamtergebnis",IF($R1903="B",INDEX($M$4:$M$2003,$S1903),INDEX($L$4:$L$2003,$S1903))))</f>
        <v/>
      </c>
      <c r="B1903" s="4">
        <f>IF($R1903="","",IF($R1903="T",$K$3,IF($R1903="B",COUNTIFS($M$4:$M$2003,INDEX($M$4:$M$2003,$S1903),$N$4:$N$2003,1),1)))</f>
        <v/>
      </c>
      <c r="L1903">
        <f>IF($K$1="","",IFERROR(INDEX(Lines!$A:$AA,ROW()-2,$K$1),""))</f>
        <v/>
      </c>
      <c r="M1903">
        <f>IF($K$2="","",IFERROR(INDEX(Lines!$A:$AA,ROW()-2,$K$2),""))</f>
        <v/>
      </c>
      <c r="N1903">
        <f>IF(AND(L1903&lt;&gt;"",LEFT(L1903,1)="N",M1903&lt;&gt;"PICKING",M1903&lt;&gt;""),1,0)</f>
        <v/>
      </c>
      <c r="O1903">
        <f>IF(N1903=1,M1903&amp;"|"&amp;L1903,REPT("z",40))</f>
        <v/>
      </c>
      <c r="P1903">
        <f>IF(N1903=1,COUNTIF($O$4:$O$2003,"&lt;"&amp;O1903)+1,"")</f>
        <v/>
      </c>
      <c r="Q1903">
        <f>IF(OR($R1902="",$R1902="T"),"",IF($R1902="B",$Q1902,IF($Q1902+1&gt;$K$3,"",$Q1902+1)))</f>
        <v/>
      </c>
      <c r="R1903">
        <f>IF(OR($R1902="",$R1902="T"),"",IF($R1902="B","S",IF($Q1902+1&gt;$K$3,"T",IF(INDEX($M$4:$M$2003,MATCH($Q1902+1,$P$4:$P$2003,0))&lt;&gt;INDEX($M$4:$M$2003,MATCH($Q1902,$P$4:$P$2003,0)),"B","S"))))</f>
        <v/>
      </c>
      <c r="S1903">
        <f>IF(Q1903="","",IFERROR(MATCH(Q1903,$P$4:$P$2003,0),""))</f>
        <v/>
      </c>
    </row>
    <row r="1904">
      <c r="A1904" s="4">
        <f>IF($R1904="","",IF($R1904="T","Gesamtergebnis",IF($R1904="B",INDEX($M$4:$M$2003,$S1904),INDEX($L$4:$L$2003,$S1904))))</f>
        <v/>
      </c>
      <c r="B1904" s="4">
        <f>IF($R1904="","",IF($R1904="T",$K$3,IF($R1904="B",COUNTIFS($M$4:$M$2003,INDEX($M$4:$M$2003,$S1904),$N$4:$N$2003,1),1)))</f>
        <v/>
      </c>
      <c r="L1904">
        <f>IF($K$1="","",IFERROR(INDEX(Lines!$A:$AA,ROW()-2,$K$1),""))</f>
        <v/>
      </c>
      <c r="M1904">
        <f>IF($K$2="","",IFERROR(INDEX(Lines!$A:$AA,ROW()-2,$K$2),""))</f>
        <v/>
      </c>
      <c r="N1904">
        <f>IF(AND(L1904&lt;&gt;"",LEFT(L1904,1)="N",M1904&lt;&gt;"PICKING",M1904&lt;&gt;""),1,0)</f>
        <v/>
      </c>
      <c r="O1904">
        <f>IF(N1904=1,M1904&amp;"|"&amp;L1904,REPT("z",40))</f>
        <v/>
      </c>
      <c r="P1904">
        <f>IF(N1904=1,COUNTIF($O$4:$O$2003,"&lt;"&amp;O1904)+1,"")</f>
        <v/>
      </c>
      <c r="Q1904">
        <f>IF(OR($R1903="",$R1903="T"),"",IF($R1903="B",$Q1903,IF($Q1903+1&gt;$K$3,"",$Q1903+1)))</f>
        <v/>
      </c>
      <c r="R1904">
        <f>IF(OR($R1903="",$R1903="T"),"",IF($R1903="B","S",IF($Q1903+1&gt;$K$3,"T",IF(INDEX($M$4:$M$2003,MATCH($Q1903+1,$P$4:$P$2003,0))&lt;&gt;INDEX($M$4:$M$2003,MATCH($Q1903,$P$4:$P$2003,0)),"B","S"))))</f>
        <v/>
      </c>
      <c r="S1904">
        <f>IF(Q1904="","",IFERROR(MATCH(Q1904,$P$4:$P$2003,0),""))</f>
        <v/>
      </c>
    </row>
    <row r="1905">
      <c r="A1905" s="4">
        <f>IF($R1905="","",IF($R1905="T","Gesamtergebnis",IF($R1905="B",INDEX($M$4:$M$2003,$S1905),INDEX($L$4:$L$2003,$S1905))))</f>
        <v/>
      </c>
      <c r="B1905" s="4">
        <f>IF($R1905="","",IF($R1905="T",$K$3,IF($R1905="B",COUNTIFS($M$4:$M$2003,INDEX($M$4:$M$2003,$S1905),$N$4:$N$2003,1),1)))</f>
        <v/>
      </c>
      <c r="L1905">
        <f>IF($K$1="","",IFERROR(INDEX(Lines!$A:$AA,ROW()-2,$K$1),""))</f>
        <v/>
      </c>
      <c r="M1905">
        <f>IF($K$2="","",IFERROR(INDEX(Lines!$A:$AA,ROW()-2,$K$2),""))</f>
        <v/>
      </c>
      <c r="N1905">
        <f>IF(AND(L1905&lt;&gt;"",LEFT(L1905,1)="N",M1905&lt;&gt;"PICKING",M1905&lt;&gt;""),1,0)</f>
        <v/>
      </c>
      <c r="O1905">
        <f>IF(N1905=1,M1905&amp;"|"&amp;L1905,REPT("z",40))</f>
        <v/>
      </c>
      <c r="P1905">
        <f>IF(N1905=1,COUNTIF($O$4:$O$2003,"&lt;"&amp;O1905)+1,"")</f>
        <v/>
      </c>
      <c r="Q1905">
        <f>IF(OR($R1904="",$R1904="T"),"",IF($R1904="B",$Q1904,IF($Q1904+1&gt;$K$3,"",$Q1904+1)))</f>
        <v/>
      </c>
      <c r="R1905">
        <f>IF(OR($R1904="",$R1904="T"),"",IF($R1904="B","S",IF($Q1904+1&gt;$K$3,"T",IF(INDEX($M$4:$M$2003,MATCH($Q1904+1,$P$4:$P$2003,0))&lt;&gt;INDEX($M$4:$M$2003,MATCH($Q1904,$P$4:$P$2003,0)),"B","S"))))</f>
        <v/>
      </c>
      <c r="S1905">
        <f>IF(Q1905="","",IFERROR(MATCH(Q1905,$P$4:$P$2003,0),""))</f>
        <v/>
      </c>
    </row>
    <row r="1906">
      <c r="A1906" s="4">
        <f>IF($R1906="","",IF($R1906="T","Gesamtergebnis",IF($R1906="B",INDEX($M$4:$M$2003,$S1906),INDEX($L$4:$L$2003,$S1906))))</f>
        <v/>
      </c>
      <c r="B1906" s="4">
        <f>IF($R1906="","",IF($R1906="T",$K$3,IF($R1906="B",COUNTIFS($M$4:$M$2003,INDEX($M$4:$M$2003,$S1906),$N$4:$N$2003,1),1)))</f>
        <v/>
      </c>
      <c r="L1906">
        <f>IF($K$1="","",IFERROR(INDEX(Lines!$A:$AA,ROW()-2,$K$1),""))</f>
        <v/>
      </c>
      <c r="M1906">
        <f>IF($K$2="","",IFERROR(INDEX(Lines!$A:$AA,ROW()-2,$K$2),""))</f>
        <v/>
      </c>
      <c r="N1906">
        <f>IF(AND(L1906&lt;&gt;"",LEFT(L1906,1)="N",M1906&lt;&gt;"PICKING",M1906&lt;&gt;""),1,0)</f>
        <v/>
      </c>
      <c r="O1906">
        <f>IF(N1906=1,M1906&amp;"|"&amp;L1906,REPT("z",40))</f>
        <v/>
      </c>
      <c r="P1906">
        <f>IF(N1906=1,COUNTIF($O$4:$O$2003,"&lt;"&amp;O1906)+1,"")</f>
        <v/>
      </c>
      <c r="Q1906">
        <f>IF(OR($R1905="",$R1905="T"),"",IF($R1905="B",$Q1905,IF($Q1905+1&gt;$K$3,"",$Q1905+1)))</f>
        <v/>
      </c>
      <c r="R1906">
        <f>IF(OR($R1905="",$R1905="T"),"",IF($R1905="B","S",IF($Q1905+1&gt;$K$3,"T",IF(INDEX($M$4:$M$2003,MATCH($Q1905+1,$P$4:$P$2003,0))&lt;&gt;INDEX($M$4:$M$2003,MATCH($Q1905,$P$4:$P$2003,0)),"B","S"))))</f>
        <v/>
      </c>
      <c r="S1906">
        <f>IF(Q1906="","",IFERROR(MATCH(Q1906,$P$4:$P$2003,0),""))</f>
        <v/>
      </c>
    </row>
    <row r="1907">
      <c r="A1907" s="4">
        <f>IF($R1907="","",IF($R1907="T","Gesamtergebnis",IF($R1907="B",INDEX($M$4:$M$2003,$S1907),INDEX($L$4:$L$2003,$S1907))))</f>
        <v/>
      </c>
      <c r="B1907" s="4">
        <f>IF($R1907="","",IF($R1907="T",$K$3,IF($R1907="B",COUNTIFS($M$4:$M$2003,INDEX($M$4:$M$2003,$S1907),$N$4:$N$2003,1),1)))</f>
        <v/>
      </c>
      <c r="L1907">
        <f>IF($K$1="","",IFERROR(INDEX(Lines!$A:$AA,ROW()-2,$K$1),""))</f>
        <v/>
      </c>
      <c r="M1907">
        <f>IF($K$2="","",IFERROR(INDEX(Lines!$A:$AA,ROW()-2,$K$2),""))</f>
        <v/>
      </c>
      <c r="N1907">
        <f>IF(AND(L1907&lt;&gt;"",LEFT(L1907,1)="N",M1907&lt;&gt;"PICKING",M1907&lt;&gt;""),1,0)</f>
        <v/>
      </c>
      <c r="O1907">
        <f>IF(N1907=1,M1907&amp;"|"&amp;L1907,REPT("z",40))</f>
        <v/>
      </c>
      <c r="P1907">
        <f>IF(N1907=1,COUNTIF($O$4:$O$2003,"&lt;"&amp;O1907)+1,"")</f>
        <v/>
      </c>
      <c r="Q1907">
        <f>IF(OR($R1906="",$R1906="T"),"",IF($R1906="B",$Q1906,IF($Q1906+1&gt;$K$3,"",$Q1906+1)))</f>
        <v/>
      </c>
      <c r="R1907">
        <f>IF(OR($R1906="",$R1906="T"),"",IF($R1906="B","S",IF($Q1906+1&gt;$K$3,"T",IF(INDEX($M$4:$M$2003,MATCH($Q1906+1,$P$4:$P$2003,0))&lt;&gt;INDEX($M$4:$M$2003,MATCH($Q1906,$P$4:$P$2003,0)),"B","S"))))</f>
        <v/>
      </c>
      <c r="S1907">
        <f>IF(Q1907="","",IFERROR(MATCH(Q1907,$P$4:$P$2003,0),""))</f>
        <v/>
      </c>
    </row>
    <row r="1908">
      <c r="A1908" s="4">
        <f>IF($R1908="","",IF($R1908="T","Gesamtergebnis",IF($R1908="B",INDEX($M$4:$M$2003,$S1908),INDEX($L$4:$L$2003,$S1908))))</f>
        <v/>
      </c>
      <c r="B1908" s="4">
        <f>IF($R1908="","",IF($R1908="T",$K$3,IF($R1908="B",COUNTIFS($M$4:$M$2003,INDEX($M$4:$M$2003,$S1908),$N$4:$N$2003,1),1)))</f>
        <v/>
      </c>
      <c r="L1908">
        <f>IF($K$1="","",IFERROR(INDEX(Lines!$A:$AA,ROW()-2,$K$1),""))</f>
        <v/>
      </c>
      <c r="M1908">
        <f>IF($K$2="","",IFERROR(INDEX(Lines!$A:$AA,ROW()-2,$K$2),""))</f>
        <v/>
      </c>
      <c r="N1908">
        <f>IF(AND(L1908&lt;&gt;"",LEFT(L1908,1)="N",M1908&lt;&gt;"PICKING",M1908&lt;&gt;""),1,0)</f>
        <v/>
      </c>
      <c r="O1908">
        <f>IF(N1908=1,M1908&amp;"|"&amp;L1908,REPT("z",40))</f>
        <v/>
      </c>
      <c r="P1908">
        <f>IF(N1908=1,COUNTIF($O$4:$O$2003,"&lt;"&amp;O1908)+1,"")</f>
        <v/>
      </c>
      <c r="Q1908">
        <f>IF(OR($R1907="",$R1907="T"),"",IF($R1907="B",$Q1907,IF($Q1907+1&gt;$K$3,"",$Q1907+1)))</f>
        <v/>
      </c>
      <c r="R1908">
        <f>IF(OR($R1907="",$R1907="T"),"",IF($R1907="B","S",IF($Q1907+1&gt;$K$3,"T",IF(INDEX($M$4:$M$2003,MATCH($Q1907+1,$P$4:$P$2003,0))&lt;&gt;INDEX($M$4:$M$2003,MATCH($Q1907,$P$4:$P$2003,0)),"B","S"))))</f>
        <v/>
      </c>
      <c r="S1908">
        <f>IF(Q1908="","",IFERROR(MATCH(Q1908,$P$4:$P$2003,0),""))</f>
        <v/>
      </c>
    </row>
    <row r="1909">
      <c r="A1909" s="4">
        <f>IF($R1909="","",IF($R1909="T","Gesamtergebnis",IF($R1909="B",INDEX($M$4:$M$2003,$S1909),INDEX($L$4:$L$2003,$S1909))))</f>
        <v/>
      </c>
      <c r="B1909" s="4">
        <f>IF($R1909="","",IF($R1909="T",$K$3,IF($R1909="B",COUNTIFS($M$4:$M$2003,INDEX($M$4:$M$2003,$S1909),$N$4:$N$2003,1),1)))</f>
        <v/>
      </c>
      <c r="L1909">
        <f>IF($K$1="","",IFERROR(INDEX(Lines!$A:$AA,ROW()-2,$K$1),""))</f>
        <v/>
      </c>
      <c r="M1909">
        <f>IF($K$2="","",IFERROR(INDEX(Lines!$A:$AA,ROW()-2,$K$2),""))</f>
        <v/>
      </c>
      <c r="N1909">
        <f>IF(AND(L1909&lt;&gt;"",LEFT(L1909,1)="N",M1909&lt;&gt;"PICKING",M1909&lt;&gt;""),1,0)</f>
        <v/>
      </c>
      <c r="O1909">
        <f>IF(N1909=1,M1909&amp;"|"&amp;L1909,REPT("z",40))</f>
        <v/>
      </c>
      <c r="P1909">
        <f>IF(N1909=1,COUNTIF($O$4:$O$2003,"&lt;"&amp;O1909)+1,"")</f>
        <v/>
      </c>
      <c r="Q1909">
        <f>IF(OR($R1908="",$R1908="T"),"",IF($R1908="B",$Q1908,IF($Q1908+1&gt;$K$3,"",$Q1908+1)))</f>
        <v/>
      </c>
      <c r="R1909">
        <f>IF(OR($R1908="",$R1908="T"),"",IF($R1908="B","S",IF($Q1908+1&gt;$K$3,"T",IF(INDEX($M$4:$M$2003,MATCH($Q1908+1,$P$4:$P$2003,0))&lt;&gt;INDEX($M$4:$M$2003,MATCH($Q1908,$P$4:$P$2003,0)),"B","S"))))</f>
        <v/>
      </c>
      <c r="S1909">
        <f>IF(Q1909="","",IFERROR(MATCH(Q1909,$P$4:$P$2003,0),""))</f>
        <v/>
      </c>
    </row>
    <row r="1910">
      <c r="A1910" s="4">
        <f>IF($R1910="","",IF($R1910="T","Gesamtergebnis",IF($R1910="B",INDEX($M$4:$M$2003,$S1910),INDEX($L$4:$L$2003,$S1910))))</f>
        <v/>
      </c>
      <c r="B1910" s="4">
        <f>IF($R1910="","",IF($R1910="T",$K$3,IF($R1910="B",COUNTIFS($M$4:$M$2003,INDEX($M$4:$M$2003,$S1910),$N$4:$N$2003,1),1)))</f>
        <v/>
      </c>
      <c r="L1910">
        <f>IF($K$1="","",IFERROR(INDEX(Lines!$A:$AA,ROW()-2,$K$1),""))</f>
        <v/>
      </c>
      <c r="M1910">
        <f>IF($K$2="","",IFERROR(INDEX(Lines!$A:$AA,ROW()-2,$K$2),""))</f>
        <v/>
      </c>
      <c r="N1910">
        <f>IF(AND(L1910&lt;&gt;"",LEFT(L1910,1)="N",M1910&lt;&gt;"PICKING",M1910&lt;&gt;""),1,0)</f>
        <v/>
      </c>
      <c r="O1910">
        <f>IF(N1910=1,M1910&amp;"|"&amp;L1910,REPT("z",40))</f>
        <v/>
      </c>
      <c r="P1910">
        <f>IF(N1910=1,COUNTIF($O$4:$O$2003,"&lt;"&amp;O1910)+1,"")</f>
        <v/>
      </c>
      <c r="Q1910">
        <f>IF(OR($R1909="",$R1909="T"),"",IF($R1909="B",$Q1909,IF($Q1909+1&gt;$K$3,"",$Q1909+1)))</f>
        <v/>
      </c>
      <c r="R1910">
        <f>IF(OR($R1909="",$R1909="T"),"",IF($R1909="B","S",IF($Q1909+1&gt;$K$3,"T",IF(INDEX($M$4:$M$2003,MATCH($Q1909+1,$P$4:$P$2003,0))&lt;&gt;INDEX($M$4:$M$2003,MATCH($Q1909,$P$4:$P$2003,0)),"B","S"))))</f>
        <v/>
      </c>
      <c r="S1910">
        <f>IF(Q1910="","",IFERROR(MATCH(Q1910,$P$4:$P$2003,0),""))</f>
        <v/>
      </c>
    </row>
    <row r="1911">
      <c r="A1911" s="4">
        <f>IF($R1911="","",IF($R1911="T","Gesamtergebnis",IF($R1911="B",INDEX($M$4:$M$2003,$S1911),INDEX($L$4:$L$2003,$S1911))))</f>
        <v/>
      </c>
      <c r="B1911" s="4">
        <f>IF($R1911="","",IF($R1911="T",$K$3,IF($R1911="B",COUNTIFS($M$4:$M$2003,INDEX($M$4:$M$2003,$S1911),$N$4:$N$2003,1),1)))</f>
        <v/>
      </c>
      <c r="L1911">
        <f>IF($K$1="","",IFERROR(INDEX(Lines!$A:$AA,ROW()-2,$K$1),""))</f>
        <v/>
      </c>
      <c r="M1911">
        <f>IF($K$2="","",IFERROR(INDEX(Lines!$A:$AA,ROW()-2,$K$2),""))</f>
        <v/>
      </c>
      <c r="N1911">
        <f>IF(AND(L1911&lt;&gt;"",LEFT(L1911,1)="N",M1911&lt;&gt;"PICKING",M1911&lt;&gt;""),1,0)</f>
        <v/>
      </c>
      <c r="O1911">
        <f>IF(N1911=1,M1911&amp;"|"&amp;L1911,REPT("z",40))</f>
        <v/>
      </c>
      <c r="P1911">
        <f>IF(N1911=1,COUNTIF($O$4:$O$2003,"&lt;"&amp;O1911)+1,"")</f>
        <v/>
      </c>
      <c r="Q1911">
        <f>IF(OR($R1910="",$R1910="T"),"",IF($R1910="B",$Q1910,IF($Q1910+1&gt;$K$3,"",$Q1910+1)))</f>
        <v/>
      </c>
      <c r="R1911">
        <f>IF(OR($R1910="",$R1910="T"),"",IF($R1910="B","S",IF($Q1910+1&gt;$K$3,"T",IF(INDEX($M$4:$M$2003,MATCH($Q1910+1,$P$4:$P$2003,0))&lt;&gt;INDEX($M$4:$M$2003,MATCH($Q1910,$P$4:$P$2003,0)),"B","S"))))</f>
        <v/>
      </c>
      <c r="S1911">
        <f>IF(Q1911="","",IFERROR(MATCH(Q1911,$P$4:$P$2003,0),""))</f>
        <v/>
      </c>
    </row>
    <row r="1912">
      <c r="A1912" s="4">
        <f>IF($R1912="","",IF($R1912="T","Gesamtergebnis",IF($R1912="B",INDEX($M$4:$M$2003,$S1912),INDEX($L$4:$L$2003,$S1912))))</f>
        <v/>
      </c>
      <c r="B1912" s="4">
        <f>IF($R1912="","",IF($R1912="T",$K$3,IF($R1912="B",COUNTIFS($M$4:$M$2003,INDEX($M$4:$M$2003,$S1912),$N$4:$N$2003,1),1)))</f>
        <v/>
      </c>
      <c r="L1912">
        <f>IF($K$1="","",IFERROR(INDEX(Lines!$A:$AA,ROW()-2,$K$1),""))</f>
        <v/>
      </c>
      <c r="M1912">
        <f>IF($K$2="","",IFERROR(INDEX(Lines!$A:$AA,ROW()-2,$K$2),""))</f>
        <v/>
      </c>
      <c r="N1912">
        <f>IF(AND(L1912&lt;&gt;"",LEFT(L1912,1)="N",M1912&lt;&gt;"PICKING",M1912&lt;&gt;""),1,0)</f>
        <v/>
      </c>
      <c r="O1912">
        <f>IF(N1912=1,M1912&amp;"|"&amp;L1912,REPT("z",40))</f>
        <v/>
      </c>
      <c r="P1912">
        <f>IF(N1912=1,COUNTIF($O$4:$O$2003,"&lt;"&amp;O1912)+1,"")</f>
        <v/>
      </c>
      <c r="Q1912">
        <f>IF(OR($R1911="",$R1911="T"),"",IF($R1911="B",$Q1911,IF($Q1911+1&gt;$K$3,"",$Q1911+1)))</f>
        <v/>
      </c>
      <c r="R1912">
        <f>IF(OR($R1911="",$R1911="T"),"",IF($R1911="B","S",IF($Q1911+1&gt;$K$3,"T",IF(INDEX($M$4:$M$2003,MATCH($Q1911+1,$P$4:$P$2003,0))&lt;&gt;INDEX($M$4:$M$2003,MATCH($Q1911,$P$4:$P$2003,0)),"B","S"))))</f>
        <v/>
      </c>
      <c r="S1912">
        <f>IF(Q1912="","",IFERROR(MATCH(Q1912,$P$4:$P$2003,0),""))</f>
        <v/>
      </c>
    </row>
    <row r="1913">
      <c r="A1913" s="4">
        <f>IF($R1913="","",IF($R1913="T","Gesamtergebnis",IF($R1913="B",INDEX($M$4:$M$2003,$S1913),INDEX($L$4:$L$2003,$S1913))))</f>
        <v/>
      </c>
      <c r="B1913" s="4">
        <f>IF($R1913="","",IF($R1913="T",$K$3,IF($R1913="B",COUNTIFS($M$4:$M$2003,INDEX($M$4:$M$2003,$S1913),$N$4:$N$2003,1),1)))</f>
        <v/>
      </c>
      <c r="L1913">
        <f>IF($K$1="","",IFERROR(INDEX(Lines!$A:$AA,ROW()-2,$K$1),""))</f>
        <v/>
      </c>
      <c r="M1913">
        <f>IF($K$2="","",IFERROR(INDEX(Lines!$A:$AA,ROW()-2,$K$2),""))</f>
        <v/>
      </c>
      <c r="N1913">
        <f>IF(AND(L1913&lt;&gt;"",LEFT(L1913,1)="N",M1913&lt;&gt;"PICKING",M1913&lt;&gt;""),1,0)</f>
        <v/>
      </c>
      <c r="O1913">
        <f>IF(N1913=1,M1913&amp;"|"&amp;L1913,REPT("z",40))</f>
        <v/>
      </c>
      <c r="P1913">
        <f>IF(N1913=1,COUNTIF($O$4:$O$2003,"&lt;"&amp;O1913)+1,"")</f>
        <v/>
      </c>
      <c r="Q1913">
        <f>IF(OR($R1912="",$R1912="T"),"",IF($R1912="B",$Q1912,IF($Q1912+1&gt;$K$3,"",$Q1912+1)))</f>
        <v/>
      </c>
      <c r="R1913">
        <f>IF(OR($R1912="",$R1912="T"),"",IF($R1912="B","S",IF($Q1912+1&gt;$K$3,"T",IF(INDEX($M$4:$M$2003,MATCH($Q1912+1,$P$4:$P$2003,0))&lt;&gt;INDEX($M$4:$M$2003,MATCH($Q1912,$P$4:$P$2003,0)),"B","S"))))</f>
        <v/>
      </c>
      <c r="S1913">
        <f>IF(Q1913="","",IFERROR(MATCH(Q1913,$P$4:$P$2003,0),""))</f>
        <v/>
      </c>
    </row>
    <row r="1914">
      <c r="A1914" s="4">
        <f>IF($R1914="","",IF($R1914="T","Gesamtergebnis",IF($R1914="B",INDEX($M$4:$M$2003,$S1914),INDEX($L$4:$L$2003,$S1914))))</f>
        <v/>
      </c>
      <c r="B1914" s="4">
        <f>IF($R1914="","",IF($R1914="T",$K$3,IF($R1914="B",COUNTIFS($M$4:$M$2003,INDEX($M$4:$M$2003,$S1914),$N$4:$N$2003,1),1)))</f>
        <v/>
      </c>
      <c r="L1914">
        <f>IF($K$1="","",IFERROR(INDEX(Lines!$A:$AA,ROW()-2,$K$1),""))</f>
        <v/>
      </c>
      <c r="M1914">
        <f>IF($K$2="","",IFERROR(INDEX(Lines!$A:$AA,ROW()-2,$K$2),""))</f>
        <v/>
      </c>
      <c r="N1914">
        <f>IF(AND(L1914&lt;&gt;"",LEFT(L1914,1)="N",M1914&lt;&gt;"PICKING",M1914&lt;&gt;""),1,0)</f>
        <v/>
      </c>
      <c r="O1914">
        <f>IF(N1914=1,M1914&amp;"|"&amp;L1914,REPT("z",40))</f>
        <v/>
      </c>
      <c r="P1914">
        <f>IF(N1914=1,COUNTIF($O$4:$O$2003,"&lt;"&amp;O1914)+1,"")</f>
        <v/>
      </c>
      <c r="Q1914">
        <f>IF(OR($R1913="",$R1913="T"),"",IF($R1913="B",$Q1913,IF($Q1913+1&gt;$K$3,"",$Q1913+1)))</f>
        <v/>
      </c>
      <c r="R1914">
        <f>IF(OR($R1913="",$R1913="T"),"",IF($R1913="B","S",IF($Q1913+1&gt;$K$3,"T",IF(INDEX($M$4:$M$2003,MATCH($Q1913+1,$P$4:$P$2003,0))&lt;&gt;INDEX($M$4:$M$2003,MATCH($Q1913,$P$4:$P$2003,0)),"B","S"))))</f>
        <v/>
      </c>
      <c r="S1914">
        <f>IF(Q1914="","",IFERROR(MATCH(Q1914,$P$4:$P$2003,0),""))</f>
        <v/>
      </c>
    </row>
    <row r="1915">
      <c r="A1915" s="4">
        <f>IF($R1915="","",IF($R1915="T","Gesamtergebnis",IF($R1915="B",INDEX($M$4:$M$2003,$S1915),INDEX($L$4:$L$2003,$S1915))))</f>
        <v/>
      </c>
      <c r="B1915" s="4">
        <f>IF($R1915="","",IF($R1915="T",$K$3,IF($R1915="B",COUNTIFS($M$4:$M$2003,INDEX($M$4:$M$2003,$S1915),$N$4:$N$2003,1),1)))</f>
        <v/>
      </c>
      <c r="L1915">
        <f>IF($K$1="","",IFERROR(INDEX(Lines!$A:$AA,ROW()-2,$K$1),""))</f>
        <v/>
      </c>
      <c r="M1915">
        <f>IF($K$2="","",IFERROR(INDEX(Lines!$A:$AA,ROW()-2,$K$2),""))</f>
        <v/>
      </c>
      <c r="N1915">
        <f>IF(AND(L1915&lt;&gt;"",LEFT(L1915,1)="N",M1915&lt;&gt;"PICKING",M1915&lt;&gt;""),1,0)</f>
        <v/>
      </c>
      <c r="O1915">
        <f>IF(N1915=1,M1915&amp;"|"&amp;L1915,REPT("z",40))</f>
        <v/>
      </c>
      <c r="P1915">
        <f>IF(N1915=1,COUNTIF($O$4:$O$2003,"&lt;"&amp;O1915)+1,"")</f>
        <v/>
      </c>
      <c r="Q1915">
        <f>IF(OR($R1914="",$R1914="T"),"",IF($R1914="B",$Q1914,IF($Q1914+1&gt;$K$3,"",$Q1914+1)))</f>
        <v/>
      </c>
      <c r="R1915">
        <f>IF(OR($R1914="",$R1914="T"),"",IF($R1914="B","S",IF($Q1914+1&gt;$K$3,"T",IF(INDEX($M$4:$M$2003,MATCH($Q1914+1,$P$4:$P$2003,0))&lt;&gt;INDEX($M$4:$M$2003,MATCH($Q1914,$P$4:$P$2003,0)),"B","S"))))</f>
        <v/>
      </c>
      <c r="S1915">
        <f>IF(Q1915="","",IFERROR(MATCH(Q1915,$P$4:$P$2003,0),""))</f>
        <v/>
      </c>
    </row>
    <row r="1916">
      <c r="A1916" s="4">
        <f>IF($R1916="","",IF($R1916="T","Gesamtergebnis",IF($R1916="B",INDEX($M$4:$M$2003,$S1916),INDEX($L$4:$L$2003,$S1916))))</f>
        <v/>
      </c>
      <c r="B1916" s="4">
        <f>IF($R1916="","",IF($R1916="T",$K$3,IF($R1916="B",COUNTIFS($M$4:$M$2003,INDEX($M$4:$M$2003,$S1916),$N$4:$N$2003,1),1)))</f>
        <v/>
      </c>
      <c r="L1916">
        <f>IF($K$1="","",IFERROR(INDEX(Lines!$A:$AA,ROW()-2,$K$1),""))</f>
        <v/>
      </c>
      <c r="M1916">
        <f>IF($K$2="","",IFERROR(INDEX(Lines!$A:$AA,ROW()-2,$K$2),""))</f>
        <v/>
      </c>
      <c r="N1916">
        <f>IF(AND(L1916&lt;&gt;"",LEFT(L1916,1)="N",M1916&lt;&gt;"PICKING",M1916&lt;&gt;""),1,0)</f>
        <v/>
      </c>
      <c r="O1916">
        <f>IF(N1916=1,M1916&amp;"|"&amp;L1916,REPT("z",40))</f>
        <v/>
      </c>
      <c r="P1916">
        <f>IF(N1916=1,COUNTIF($O$4:$O$2003,"&lt;"&amp;O1916)+1,"")</f>
        <v/>
      </c>
      <c r="Q1916">
        <f>IF(OR($R1915="",$R1915="T"),"",IF($R1915="B",$Q1915,IF($Q1915+1&gt;$K$3,"",$Q1915+1)))</f>
        <v/>
      </c>
      <c r="R1916">
        <f>IF(OR($R1915="",$R1915="T"),"",IF($R1915="B","S",IF($Q1915+1&gt;$K$3,"T",IF(INDEX($M$4:$M$2003,MATCH($Q1915+1,$P$4:$P$2003,0))&lt;&gt;INDEX($M$4:$M$2003,MATCH($Q1915,$P$4:$P$2003,0)),"B","S"))))</f>
        <v/>
      </c>
      <c r="S1916">
        <f>IF(Q1916="","",IFERROR(MATCH(Q1916,$P$4:$P$2003,0),""))</f>
        <v/>
      </c>
    </row>
    <row r="1917">
      <c r="A1917" s="4">
        <f>IF($R1917="","",IF($R1917="T","Gesamtergebnis",IF($R1917="B",INDEX($M$4:$M$2003,$S1917),INDEX($L$4:$L$2003,$S1917))))</f>
        <v/>
      </c>
      <c r="B1917" s="4">
        <f>IF($R1917="","",IF($R1917="T",$K$3,IF($R1917="B",COUNTIFS($M$4:$M$2003,INDEX($M$4:$M$2003,$S1917),$N$4:$N$2003,1),1)))</f>
        <v/>
      </c>
      <c r="L1917">
        <f>IF($K$1="","",IFERROR(INDEX(Lines!$A:$AA,ROW()-2,$K$1),""))</f>
        <v/>
      </c>
      <c r="M1917">
        <f>IF($K$2="","",IFERROR(INDEX(Lines!$A:$AA,ROW()-2,$K$2),""))</f>
        <v/>
      </c>
      <c r="N1917">
        <f>IF(AND(L1917&lt;&gt;"",LEFT(L1917,1)="N",M1917&lt;&gt;"PICKING",M1917&lt;&gt;""),1,0)</f>
        <v/>
      </c>
      <c r="O1917">
        <f>IF(N1917=1,M1917&amp;"|"&amp;L1917,REPT("z",40))</f>
        <v/>
      </c>
      <c r="P1917">
        <f>IF(N1917=1,COUNTIF($O$4:$O$2003,"&lt;"&amp;O1917)+1,"")</f>
        <v/>
      </c>
      <c r="Q1917">
        <f>IF(OR($R1916="",$R1916="T"),"",IF($R1916="B",$Q1916,IF($Q1916+1&gt;$K$3,"",$Q1916+1)))</f>
        <v/>
      </c>
      <c r="R1917">
        <f>IF(OR($R1916="",$R1916="T"),"",IF($R1916="B","S",IF($Q1916+1&gt;$K$3,"T",IF(INDEX($M$4:$M$2003,MATCH($Q1916+1,$P$4:$P$2003,0))&lt;&gt;INDEX($M$4:$M$2003,MATCH($Q1916,$P$4:$P$2003,0)),"B","S"))))</f>
        <v/>
      </c>
      <c r="S1917">
        <f>IF(Q1917="","",IFERROR(MATCH(Q1917,$P$4:$P$2003,0),""))</f>
        <v/>
      </c>
    </row>
    <row r="1918">
      <c r="A1918" s="4">
        <f>IF($R1918="","",IF($R1918="T","Gesamtergebnis",IF($R1918="B",INDEX($M$4:$M$2003,$S1918),INDEX($L$4:$L$2003,$S1918))))</f>
        <v/>
      </c>
      <c r="B1918" s="4">
        <f>IF($R1918="","",IF($R1918="T",$K$3,IF($R1918="B",COUNTIFS($M$4:$M$2003,INDEX($M$4:$M$2003,$S1918),$N$4:$N$2003,1),1)))</f>
        <v/>
      </c>
      <c r="L1918">
        <f>IF($K$1="","",IFERROR(INDEX(Lines!$A:$AA,ROW()-2,$K$1),""))</f>
        <v/>
      </c>
      <c r="M1918">
        <f>IF($K$2="","",IFERROR(INDEX(Lines!$A:$AA,ROW()-2,$K$2),""))</f>
        <v/>
      </c>
      <c r="N1918">
        <f>IF(AND(L1918&lt;&gt;"",LEFT(L1918,1)="N",M1918&lt;&gt;"PICKING",M1918&lt;&gt;""),1,0)</f>
        <v/>
      </c>
      <c r="O1918">
        <f>IF(N1918=1,M1918&amp;"|"&amp;L1918,REPT("z",40))</f>
        <v/>
      </c>
      <c r="P1918">
        <f>IF(N1918=1,COUNTIF($O$4:$O$2003,"&lt;"&amp;O1918)+1,"")</f>
        <v/>
      </c>
      <c r="Q1918">
        <f>IF(OR($R1917="",$R1917="T"),"",IF($R1917="B",$Q1917,IF($Q1917+1&gt;$K$3,"",$Q1917+1)))</f>
        <v/>
      </c>
      <c r="R1918">
        <f>IF(OR($R1917="",$R1917="T"),"",IF($R1917="B","S",IF($Q1917+1&gt;$K$3,"T",IF(INDEX($M$4:$M$2003,MATCH($Q1917+1,$P$4:$P$2003,0))&lt;&gt;INDEX($M$4:$M$2003,MATCH($Q1917,$P$4:$P$2003,0)),"B","S"))))</f>
        <v/>
      </c>
      <c r="S1918">
        <f>IF(Q1918="","",IFERROR(MATCH(Q1918,$P$4:$P$2003,0),""))</f>
        <v/>
      </c>
    </row>
    <row r="1919">
      <c r="A1919" s="4">
        <f>IF($R1919="","",IF($R1919="T","Gesamtergebnis",IF($R1919="B",INDEX($M$4:$M$2003,$S1919),INDEX($L$4:$L$2003,$S1919))))</f>
        <v/>
      </c>
      <c r="B1919" s="4">
        <f>IF($R1919="","",IF($R1919="T",$K$3,IF($R1919="B",COUNTIFS($M$4:$M$2003,INDEX($M$4:$M$2003,$S1919),$N$4:$N$2003,1),1)))</f>
        <v/>
      </c>
      <c r="L1919">
        <f>IF($K$1="","",IFERROR(INDEX(Lines!$A:$AA,ROW()-2,$K$1),""))</f>
        <v/>
      </c>
      <c r="M1919">
        <f>IF($K$2="","",IFERROR(INDEX(Lines!$A:$AA,ROW()-2,$K$2),""))</f>
        <v/>
      </c>
      <c r="N1919">
        <f>IF(AND(L1919&lt;&gt;"",LEFT(L1919,1)="N",M1919&lt;&gt;"PICKING",M1919&lt;&gt;""),1,0)</f>
        <v/>
      </c>
      <c r="O1919">
        <f>IF(N1919=1,M1919&amp;"|"&amp;L1919,REPT("z",40))</f>
        <v/>
      </c>
      <c r="P1919">
        <f>IF(N1919=1,COUNTIF($O$4:$O$2003,"&lt;"&amp;O1919)+1,"")</f>
        <v/>
      </c>
      <c r="Q1919">
        <f>IF(OR($R1918="",$R1918="T"),"",IF($R1918="B",$Q1918,IF($Q1918+1&gt;$K$3,"",$Q1918+1)))</f>
        <v/>
      </c>
      <c r="R1919">
        <f>IF(OR($R1918="",$R1918="T"),"",IF($R1918="B","S",IF($Q1918+1&gt;$K$3,"T",IF(INDEX($M$4:$M$2003,MATCH($Q1918+1,$P$4:$P$2003,0))&lt;&gt;INDEX($M$4:$M$2003,MATCH($Q1918,$P$4:$P$2003,0)),"B","S"))))</f>
        <v/>
      </c>
      <c r="S1919">
        <f>IF(Q1919="","",IFERROR(MATCH(Q1919,$P$4:$P$2003,0),""))</f>
        <v/>
      </c>
    </row>
    <row r="1920">
      <c r="A1920" s="4">
        <f>IF($R1920="","",IF($R1920="T","Gesamtergebnis",IF($R1920="B",INDEX($M$4:$M$2003,$S1920),INDEX($L$4:$L$2003,$S1920))))</f>
        <v/>
      </c>
      <c r="B1920" s="4">
        <f>IF($R1920="","",IF($R1920="T",$K$3,IF($R1920="B",COUNTIFS($M$4:$M$2003,INDEX($M$4:$M$2003,$S1920),$N$4:$N$2003,1),1)))</f>
        <v/>
      </c>
      <c r="L1920">
        <f>IF($K$1="","",IFERROR(INDEX(Lines!$A:$AA,ROW()-2,$K$1),""))</f>
        <v/>
      </c>
      <c r="M1920">
        <f>IF($K$2="","",IFERROR(INDEX(Lines!$A:$AA,ROW()-2,$K$2),""))</f>
        <v/>
      </c>
      <c r="N1920">
        <f>IF(AND(L1920&lt;&gt;"",LEFT(L1920,1)="N",M1920&lt;&gt;"PICKING",M1920&lt;&gt;""),1,0)</f>
        <v/>
      </c>
      <c r="O1920">
        <f>IF(N1920=1,M1920&amp;"|"&amp;L1920,REPT("z",40))</f>
        <v/>
      </c>
      <c r="P1920">
        <f>IF(N1920=1,COUNTIF($O$4:$O$2003,"&lt;"&amp;O1920)+1,"")</f>
        <v/>
      </c>
      <c r="Q1920">
        <f>IF(OR($R1919="",$R1919="T"),"",IF($R1919="B",$Q1919,IF($Q1919+1&gt;$K$3,"",$Q1919+1)))</f>
        <v/>
      </c>
      <c r="R1920">
        <f>IF(OR($R1919="",$R1919="T"),"",IF($R1919="B","S",IF($Q1919+1&gt;$K$3,"T",IF(INDEX($M$4:$M$2003,MATCH($Q1919+1,$P$4:$P$2003,0))&lt;&gt;INDEX($M$4:$M$2003,MATCH($Q1919,$P$4:$P$2003,0)),"B","S"))))</f>
        <v/>
      </c>
      <c r="S1920">
        <f>IF(Q1920="","",IFERROR(MATCH(Q1920,$P$4:$P$2003,0),""))</f>
        <v/>
      </c>
    </row>
    <row r="1921">
      <c r="A1921" s="4">
        <f>IF($R1921="","",IF($R1921="T","Gesamtergebnis",IF($R1921="B",INDEX($M$4:$M$2003,$S1921),INDEX($L$4:$L$2003,$S1921))))</f>
        <v/>
      </c>
      <c r="B1921" s="4">
        <f>IF($R1921="","",IF($R1921="T",$K$3,IF($R1921="B",COUNTIFS($M$4:$M$2003,INDEX($M$4:$M$2003,$S1921),$N$4:$N$2003,1),1)))</f>
        <v/>
      </c>
      <c r="L1921">
        <f>IF($K$1="","",IFERROR(INDEX(Lines!$A:$AA,ROW()-2,$K$1),""))</f>
        <v/>
      </c>
      <c r="M1921">
        <f>IF($K$2="","",IFERROR(INDEX(Lines!$A:$AA,ROW()-2,$K$2),""))</f>
        <v/>
      </c>
      <c r="N1921">
        <f>IF(AND(L1921&lt;&gt;"",LEFT(L1921,1)="N",M1921&lt;&gt;"PICKING",M1921&lt;&gt;""),1,0)</f>
        <v/>
      </c>
      <c r="O1921">
        <f>IF(N1921=1,M1921&amp;"|"&amp;L1921,REPT("z",40))</f>
        <v/>
      </c>
      <c r="P1921">
        <f>IF(N1921=1,COUNTIF($O$4:$O$2003,"&lt;"&amp;O1921)+1,"")</f>
        <v/>
      </c>
      <c r="Q1921">
        <f>IF(OR($R1920="",$R1920="T"),"",IF($R1920="B",$Q1920,IF($Q1920+1&gt;$K$3,"",$Q1920+1)))</f>
        <v/>
      </c>
      <c r="R1921">
        <f>IF(OR($R1920="",$R1920="T"),"",IF($R1920="B","S",IF($Q1920+1&gt;$K$3,"T",IF(INDEX($M$4:$M$2003,MATCH($Q1920+1,$P$4:$P$2003,0))&lt;&gt;INDEX($M$4:$M$2003,MATCH($Q1920,$P$4:$P$2003,0)),"B","S"))))</f>
        <v/>
      </c>
      <c r="S1921">
        <f>IF(Q1921="","",IFERROR(MATCH(Q1921,$P$4:$P$2003,0),""))</f>
        <v/>
      </c>
    </row>
    <row r="1922">
      <c r="A1922" s="4">
        <f>IF($R1922="","",IF($R1922="T","Gesamtergebnis",IF($R1922="B",INDEX($M$4:$M$2003,$S1922),INDEX($L$4:$L$2003,$S1922))))</f>
        <v/>
      </c>
      <c r="B1922" s="4">
        <f>IF($R1922="","",IF($R1922="T",$K$3,IF($R1922="B",COUNTIFS($M$4:$M$2003,INDEX($M$4:$M$2003,$S1922),$N$4:$N$2003,1),1)))</f>
        <v/>
      </c>
      <c r="L1922">
        <f>IF($K$1="","",IFERROR(INDEX(Lines!$A:$AA,ROW()-2,$K$1),""))</f>
        <v/>
      </c>
      <c r="M1922">
        <f>IF($K$2="","",IFERROR(INDEX(Lines!$A:$AA,ROW()-2,$K$2),""))</f>
        <v/>
      </c>
      <c r="N1922">
        <f>IF(AND(L1922&lt;&gt;"",LEFT(L1922,1)="N",M1922&lt;&gt;"PICKING",M1922&lt;&gt;""),1,0)</f>
        <v/>
      </c>
      <c r="O1922">
        <f>IF(N1922=1,M1922&amp;"|"&amp;L1922,REPT("z",40))</f>
        <v/>
      </c>
      <c r="P1922">
        <f>IF(N1922=1,COUNTIF($O$4:$O$2003,"&lt;"&amp;O1922)+1,"")</f>
        <v/>
      </c>
      <c r="Q1922">
        <f>IF(OR($R1921="",$R1921="T"),"",IF($R1921="B",$Q1921,IF($Q1921+1&gt;$K$3,"",$Q1921+1)))</f>
        <v/>
      </c>
      <c r="R1922">
        <f>IF(OR($R1921="",$R1921="T"),"",IF($R1921="B","S",IF($Q1921+1&gt;$K$3,"T",IF(INDEX($M$4:$M$2003,MATCH($Q1921+1,$P$4:$P$2003,0))&lt;&gt;INDEX($M$4:$M$2003,MATCH($Q1921,$P$4:$P$2003,0)),"B","S"))))</f>
        <v/>
      </c>
      <c r="S1922">
        <f>IF(Q1922="","",IFERROR(MATCH(Q1922,$P$4:$P$2003,0),""))</f>
        <v/>
      </c>
    </row>
    <row r="1923">
      <c r="A1923" s="4">
        <f>IF($R1923="","",IF($R1923="T","Gesamtergebnis",IF($R1923="B",INDEX($M$4:$M$2003,$S1923),INDEX($L$4:$L$2003,$S1923))))</f>
        <v/>
      </c>
      <c r="B1923" s="4">
        <f>IF($R1923="","",IF($R1923="T",$K$3,IF($R1923="B",COUNTIFS($M$4:$M$2003,INDEX($M$4:$M$2003,$S1923),$N$4:$N$2003,1),1)))</f>
        <v/>
      </c>
      <c r="L1923">
        <f>IF($K$1="","",IFERROR(INDEX(Lines!$A:$AA,ROW()-2,$K$1),""))</f>
        <v/>
      </c>
      <c r="M1923">
        <f>IF($K$2="","",IFERROR(INDEX(Lines!$A:$AA,ROW()-2,$K$2),""))</f>
        <v/>
      </c>
      <c r="N1923">
        <f>IF(AND(L1923&lt;&gt;"",LEFT(L1923,1)="N",M1923&lt;&gt;"PICKING",M1923&lt;&gt;""),1,0)</f>
        <v/>
      </c>
      <c r="O1923">
        <f>IF(N1923=1,M1923&amp;"|"&amp;L1923,REPT("z",40))</f>
        <v/>
      </c>
      <c r="P1923">
        <f>IF(N1923=1,COUNTIF($O$4:$O$2003,"&lt;"&amp;O1923)+1,"")</f>
        <v/>
      </c>
      <c r="Q1923">
        <f>IF(OR($R1922="",$R1922="T"),"",IF($R1922="B",$Q1922,IF($Q1922+1&gt;$K$3,"",$Q1922+1)))</f>
        <v/>
      </c>
      <c r="R1923">
        <f>IF(OR($R1922="",$R1922="T"),"",IF($R1922="B","S",IF($Q1922+1&gt;$K$3,"T",IF(INDEX($M$4:$M$2003,MATCH($Q1922+1,$P$4:$P$2003,0))&lt;&gt;INDEX($M$4:$M$2003,MATCH($Q1922,$P$4:$P$2003,0)),"B","S"))))</f>
        <v/>
      </c>
      <c r="S1923">
        <f>IF(Q1923="","",IFERROR(MATCH(Q1923,$P$4:$P$2003,0),""))</f>
        <v/>
      </c>
    </row>
    <row r="1924">
      <c r="A1924" s="4">
        <f>IF($R1924="","",IF($R1924="T","Gesamtergebnis",IF($R1924="B",INDEX($M$4:$M$2003,$S1924),INDEX($L$4:$L$2003,$S1924))))</f>
        <v/>
      </c>
      <c r="B1924" s="4">
        <f>IF($R1924="","",IF($R1924="T",$K$3,IF($R1924="B",COUNTIFS($M$4:$M$2003,INDEX($M$4:$M$2003,$S1924),$N$4:$N$2003,1),1)))</f>
        <v/>
      </c>
      <c r="L1924">
        <f>IF($K$1="","",IFERROR(INDEX(Lines!$A:$AA,ROW()-2,$K$1),""))</f>
        <v/>
      </c>
      <c r="M1924">
        <f>IF($K$2="","",IFERROR(INDEX(Lines!$A:$AA,ROW()-2,$K$2),""))</f>
        <v/>
      </c>
      <c r="N1924">
        <f>IF(AND(L1924&lt;&gt;"",LEFT(L1924,1)="N",M1924&lt;&gt;"PICKING",M1924&lt;&gt;""),1,0)</f>
        <v/>
      </c>
      <c r="O1924">
        <f>IF(N1924=1,M1924&amp;"|"&amp;L1924,REPT("z",40))</f>
        <v/>
      </c>
      <c r="P1924">
        <f>IF(N1924=1,COUNTIF($O$4:$O$2003,"&lt;"&amp;O1924)+1,"")</f>
        <v/>
      </c>
      <c r="Q1924">
        <f>IF(OR($R1923="",$R1923="T"),"",IF($R1923="B",$Q1923,IF($Q1923+1&gt;$K$3,"",$Q1923+1)))</f>
        <v/>
      </c>
      <c r="R1924">
        <f>IF(OR($R1923="",$R1923="T"),"",IF($R1923="B","S",IF($Q1923+1&gt;$K$3,"T",IF(INDEX($M$4:$M$2003,MATCH($Q1923+1,$P$4:$P$2003,0))&lt;&gt;INDEX($M$4:$M$2003,MATCH($Q1923,$P$4:$P$2003,0)),"B","S"))))</f>
        <v/>
      </c>
      <c r="S1924">
        <f>IF(Q1924="","",IFERROR(MATCH(Q1924,$P$4:$P$2003,0),""))</f>
        <v/>
      </c>
    </row>
    <row r="1925">
      <c r="A1925" s="4">
        <f>IF($R1925="","",IF($R1925="T","Gesamtergebnis",IF($R1925="B",INDEX($M$4:$M$2003,$S1925),INDEX($L$4:$L$2003,$S1925))))</f>
        <v/>
      </c>
      <c r="B1925" s="4">
        <f>IF($R1925="","",IF($R1925="T",$K$3,IF($R1925="B",COUNTIFS($M$4:$M$2003,INDEX($M$4:$M$2003,$S1925),$N$4:$N$2003,1),1)))</f>
        <v/>
      </c>
      <c r="L1925">
        <f>IF($K$1="","",IFERROR(INDEX(Lines!$A:$AA,ROW()-2,$K$1),""))</f>
        <v/>
      </c>
      <c r="M1925">
        <f>IF($K$2="","",IFERROR(INDEX(Lines!$A:$AA,ROW()-2,$K$2),""))</f>
        <v/>
      </c>
      <c r="N1925">
        <f>IF(AND(L1925&lt;&gt;"",LEFT(L1925,1)="N",M1925&lt;&gt;"PICKING",M1925&lt;&gt;""),1,0)</f>
        <v/>
      </c>
      <c r="O1925">
        <f>IF(N1925=1,M1925&amp;"|"&amp;L1925,REPT("z",40))</f>
        <v/>
      </c>
      <c r="P1925">
        <f>IF(N1925=1,COUNTIF($O$4:$O$2003,"&lt;"&amp;O1925)+1,"")</f>
        <v/>
      </c>
      <c r="Q1925">
        <f>IF(OR($R1924="",$R1924="T"),"",IF($R1924="B",$Q1924,IF($Q1924+1&gt;$K$3,"",$Q1924+1)))</f>
        <v/>
      </c>
      <c r="R1925">
        <f>IF(OR($R1924="",$R1924="T"),"",IF($R1924="B","S",IF($Q1924+1&gt;$K$3,"T",IF(INDEX($M$4:$M$2003,MATCH($Q1924+1,$P$4:$P$2003,0))&lt;&gt;INDEX($M$4:$M$2003,MATCH($Q1924,$P$4:$P$2003,0)),"B","S"))))</f>
        <v/>
      </c>
      <c r="S1925">
        <f>IF(Q1925="","",IFERROR(MATCH(Q1925,$P$4:$P$2003,0),""))</f>
        <v/>
      </c>
    </row>
    <row r="1926">
      <c r="A1926" s="4">
        <f>IF($R1926="","",IF($R1926="T","Gesamtergebnis",IF($R1926="B",INDEX($M$4:$M$2003,$S1926),INDEX($L$4:$L$2003,$S1926))))</f>
        <v/>
      </c>
      <c r="B1926" s="4">
        <f>IF($R1926="","",IF($R1926="T",$K$3,IF($R1926="B",COUNTIFS($M$4:$M$2003,INDEX($M$4:$M$2003,$S1926),$N$4:$N$2003,1),1)))</f>
        <v/>
      </c>
      <c r="L1926">
        <f>IF($K$1="","",IFERROR(INDEX(Lines!$A:$AA,ROW()-2,$K$1),""))</f>
        <v/>
      </c>
      <c r="M1926">
        <f>IF($K$2="","",IFERROR(INDEX(Lines!$A:$AA,ROW()-2,$K$2),""))</f>
        <v/>
      </c>
      <c r="N1926">
        <f>IF(AND(L1926&lt;&gt;"",LEFT(L1926,1)="N",M1926&lt;&gt;"PICKING",M1926&lt;&gt;""),1,0)</f>
        <v/>
      </c>
      <c r="O1926">
        <f>IF(N1926=1,M1926&amp;"|"&amp;L1926,REPT("z",40))</f>
        <v/>
      </c>
      <c r="P1926">
        <f>IF(N1926=1,COUNTIF($O$4:$O$2003,"&lt;"&amp;O1926)+1,"")</f>
        <v/>
      </c>
      <c r="Q1926">
        <f>IF(OR($R1925="",$R1925="T"),"",IF($R1925="B",$Q1925,IF($Q1925+1&gt;$K$3,"",$Q1925+1)))</f>
        <v/>
      </c>
      <c r="R1926">
        <f>IF(OR($R1925="",$R1925="T"),"",IF($R1925="B","S",IF($Q1925+1&gt;$K$3,"T",IF(INDEX($M$4:$M$2003,MATCH($Q1925+1,$P$4:$P$2003,0))&lt;&gt;INDEX($M$4:$M$2003,MATCH($Q1925,$P$4:$P$2003,0)),"B","S"))))</f>
        <v/>
      </c>
      <c r="S1926">
        <f>IF(Q1926="","",IFERROR(MATCH(Q1926,$P$4:$P$2003,0),""))</f>
        <v/>
      </c>
    </row>
    <row r="1927">
      <c r="A1927" s="4">
        <f>IF($R1927="","",IF($R1927="T","Gesamtergebnis",IF($R1927="B",INDEX($M$4:$M$2003,$S1927),INDEX($L$4:$L$2003,$S1927))))</f>
        <v/>
      </c>
      <c r="B1927" s="4">
        <f>IF($R1927="","",IF($R1927="T",$K$3,IF($R1927="B",COUNTIFS($M$4:$M$2003,INDEX($M$4:$M$2003,$S1927),$N$4:$N$2003,1),1)))</f>
        <v/>
      </c>
      <c r="L1927">
        <f>IF($K$1="","",IFERROR(INDEX(Lines!$A:$AA,ROW()-2,$K$1),""))</f>
        <v/>
      </c>
      <c r="M1927">
        <f>IF($K$2="","",IFERROR(INDEX(Lines!$A:$AA,ROW()-2,$K$2),""))</f>
        <v/>
      </c>
      <c r="N1927">
        <f>IF(AND(L1927&lt;&gt;"",LEFT(L1927,1)="N",M1927&lt;&gt;"PICKING",M1927&lt;&gt;""),1,0)</f>
        <v/>
      </c>
      <c r="O1927">
        <f>IF(N1927=1,M1927&amp;"|"&amp;L1927,REPT("z",40))</f>
        <v/>
      </c>
      <c r="P1927">
        <f>IF(N1927=1,COUNTIF($O$4:$O$2003,"&lt;"&amp;O1927)+1,"")</f>
        <v/>
      </c>
      <c r="Q1927">
        <f>IF(OR($R1926="",$R1926="T"),"",IF($R1926="B",$Q1926,IF($Q1926+1&gt;$K$3,"",$Q1926+1)))</f>
        <v/>
      </c>
      <c r="R1927">
        <f>IF(OR($R1926="",$R1926="T"),"",IF($R1926="B","S",IF($Q1926+1&gt;$K$3,"T",IF(INDEX($M$4:$M$2003,MATCH($Q1926+1,$P$4:$P$2003,0))&lt;&gt;INDEX($M$4:$M$2003,MATCH($Q1926,$P$4:$P$2003,0)),"B","S"))))</f>
        <v/>
      </c>
      <c r="S1927">
        <f>IF(Q1927="","",IFERROR(MATCH(Q1927,$P$4:$P$2003,0),""))</f>
        <v/>
      </c>
    </row>
    <row r="1928">
      <c r="A1928" s="4">
        <f>IF($R1928="","",IF($R1928="T","Gesamtergebnis",IF($R1928="B",INDEX($M$4:$M$2003,$S1928),INDEX($L$4:$L$2003,$S1928))))</f>
        <v/>
      </c>
      <c r="B1928" s="4">
        <f>IF($R1928="","",IF($R1928="T",$K$3,IF($R1928="B",COUNTIFS($M$4:$M$2003,INDEX($M$4:$M$2003,$S1928),$N$4:$N$2003,1),1)))</f>
        <v/>
      </c>
      <c r="L1928">
        <f>IF($K$1="","",IFERROR(INDEX(Lines!$A:$AA,ROW()-2,$K$1),""))</f>
        <v/>
      </c>
      <c r="M1928">
        <f>IF($K$2="","",IFERROR(INDEX(Lines!$A:$AA,ROW()-2,$K$2),""))</f>
        <v/>
      </c>
      <c r="N1928">
        <f>IF(AND(L1928&lt;&gt;"",LEFT(L1928,1)="N",M1928&lt;&gt;"PICKING",M1928&lt;&gt;""),1,0)</f>
        <v/>
      </c>
      <c r="O1928">
        <f>IF(N1928=1,M1928&amp;"|"&amp;L1928,REPT("z",40))</f>
        <v/>
      </c>
      <c r="P1928">
        <f>IF(N1928=1,COUNTIF($O$4:$O$2003,"&lt;"&amp;O1928)+1,"")</f>
        <v/>
      </c>
      <c r="Q1928">
        <f>IF(OR($R1927="",$R1927="T"),"",IF($R1927="B",$Q1927,IF($Q1927+1&gt;$K$3,"",$Q1927+1)))</f>
        <v/>
      </c>
      <c r="R1928">
        <f>IF(OR($R1927="",$R1927="T"),"",IF($R1927="B","S",IF($Q1927+1&gt;$K$3,"T",IF(INDEX($M$4:$M$2003,MATCH($Q1927+1,$P$4:$P$2003,0))&lt;&gt;INDEX($M$4:$M$2003,MATCH($Q1927,$P$4:$P$2003,0)),"B","S"))))</f>
        <v/>
      </c>
      <c r="S1928">
        <f>IF(Q1928="","",IFERROR(MATCH(Q1928,$P$4:$P$2003,0),""))</f>
        <v/>
      </c>
    </row>
    <row r="1929">
      <c r="A1929" s="4">
        <f>IF($R1929="","",IF($R1929="T","Gesamtergebnis",IF($R1929="B",INDEX($M$4:$M$2003,$S1929),INDEX($L$4:$L$2003,$S1929))))</f>
        <v/>
      </c>
      <c r="B1929" s="4">
        <f>IF($R1929="","",IF($R1929="T",$K$3,IF($R1929="B",COUNTIFS($M$4:$M$2003,INDEX($M$4:$M$2003,$S1929),$N$4:$N$2003,1),1)))</f>
        <v/>
      </c>
      <c r="L1929">
        <f>IF($K$1="","",IFERROR(INDEX(Lines!$A:$AA,ROW()-2,$K$1),""))</f>
        <v/>
      </c>
      <c r="M1929">
        <f>IF($K$2="","",IFERROR(INDEX(Lines!$A:$AA,ROW()-2,$K$2),""))</f>
        <v/>
      </c>
      <c r="N1929">
        <f>IF(AND(L1929&lt;&gt;"",LEFT(L1929,1)="N",M1929&lt;&gt;"PICKING",M1929&lt;&gt;""),1,0)</f>
        <v/>
      </c>
      <c r="O1929">
        <f>IF(N1929=1,M1929&amp;"|"&amp;L1929,REPT("z",40))</f>
        <v/>
      </c>
      <c r="P1929">
        <f>IF(N1929=1,COUNTIF($O$4:$O$2003,"&lt;"&amp;O1929)+1,"")</f>
        <v/>
      </c>
      <c r="Q1929">
        <f>IF(OR($R1928="",$R1928="T"),"",IF($R1928="B",$Q1928,IF($Q1928+1&gt;$K$3,"",$Q1928+1)))</f>
        <v/>
      </c>
      <c r="R1929">
        <f>IF(OR($R1928="",$R1928="T"),"",IF($R1928="B","S",IF($Q1928+1&gt;$K$3,"T",IF(INDEX($M$4:$M$2003,MATCH($Q1928+1,$P$4:$P$2003,0))&lt;&gt;INDEX($M$4:$M$2003,MATCH($Q1928,$P$4:$P$2003,0)),"B","S"))))</f>
        <v/>
      </c>
      <c r="S1929">
        <f>IF(Q1929="","",IFERROR(MATCH(Q1929,$P$4:$P$2003,0),""))</f>
        <v/>
      </c>
    </row>
    <row r="1930">
      <c r="A1930" s="4">
        <f>IF($R1930="","",IF($R1930="T","Gesamtergebnis",IF($R1930="B",INDEX($M$4:$M$2003,$S1930),INDEX($L$4:$L$2003,$S1930))))</f>
        <v/>
      </c>
      <c r="B1930" s="4">
        <f>IF($R1930="","",IF($R1930="T",$K$3,IF($R1930="B",COUNTIFS($M$4:$M$2003,INDEX($M$4:$M$2003,$S1930),$N$4:$N$2003,1),1)))</f>
        <v/>
      </c>
      <c r="L1930">
        <f>IF($K$1="","",IFERROR(INDEX(Lines!$A:$AA,ROW()-2,$K$1),""))</f>
        <v/>
      </c>
      <c r="M1930">
        <f>IF($K$2="","",IFERROR(INDEX(Lines!$A:$AA,ROW()-2,$K$2),""))</f>
        <v/>
      </c>
      <c r="N1930">
        <f>IF(AND(L1930&lt;&gt;"",LEFT(L1930,1)="N",M1930&lt;&gt;"PICKING",M1930&lt;&gt;""),1,0)</f>
        <v/>
      </c>
      <c r="O1930">
        <f>IF(N1930=1,M1930&amp;"|"&amp;L1930,REPT("z",40))</f>
        <v/>
      </c>
      <c r="P1930">
        <f>IF(N1930=1,COUNTIF($O$4:$O$2003,"&lt;"&amp;O1930)+1,"")</f>
        <v/>
      </c>
      <c r="Q1930">
        <f>IF(OR($R1929="",$R1929="T"),"",IF($R1929="B",$Q1929,IF($Q1929+1&gt;$K$3,"",$Q1929+1)))</f>
        <v/>
      </c>
      <c r="R1930">
        <f>IF(OR($R1929="",$R1929="T"),"",IF($R1929="B","S",IF($Q1929+1&gt;$K$3,"T",IF(INDEX($M$4:$M$2003,MATCH($Q1929+1,$P$4:$P$2003,0))&lt;&gt;INDEX($M$4:$M$2003,MATCH($Q1929,$P$4:$P$2003,0)),"B","S"))))</f>
        <v/>
      </c>
      <c r="S1930">
        <f>IF(Q1930="","",IFERROR(MATCH(Q1930,$P$4:$P$2003,0),""))</f>
        <v/>
      </c>
    </row>
    <row r="1931">
      <c r="A1931" s="4">
        <f>IF($R1931="","",IF($R1931="T","Gesamtergebnis",IF($R1931="B",INDEX($M$4:$M$2003,$S1931),INDEX($L$4:$L$2003,$S1931))))</f>
        <v/>
      </c>
      <c r="B1931" s="4">
        <f>IF($R1931="","",IF($R1931="T",$K$3,IF($R1931="B",COUNTIFS($M$4:$M$2003,INDEX($M$4:$M$2003,$S1931),$N$4:$N$2003,1),1)))</f>
        <v/>
      </c>
      <c r="L1931">
        <f>IF($K$1="","",IFERROR(INDEX(Lines!$A:$AA,ROW()-2,$K$1),""))</f>
        <v/>
      </c>
      <c r="M1931">
        <f>IF($K$2="","",IFERROR(INDEX(Lines!$A:$AA,ROW()-2,$K$2),""))</f>
        <v/>
      </c>
      <c r="N1931">
        <f>IF(AND(L1931&lt;&gt;"",LEFT(L1931,1)="N",M1931&lt;&gt;"PICKING",M1931&lt;&gt;""),1,0)</f>
        <v/>
      </c>
      <c r="O1931">
        <f>IF(N1931=1,M1931&amp;"|"&amp;L1931,REPT("z",40))</f>
        <v/>
      </c>
      <c r="P1931">
        <f>IF(N1931=1,COUNTIF($O$4:$O$2003,"&lt;"&amp;O1931)+1,"")</f>
        <v/>
      </c>
      <c r="Q1931">
        <f>IF(OR($R1930="",$R1930="T"),"",IF($R1930="B",$Q1930,IF($Q1930+1&gt;$K$3,"",$Q1930+1)))</f>
        <v/>
      </c>
      <c r="R1931">
        <f>IF(OR($R1930="",$R1930="T"),"",IF($R1930="B","S",IF($Q1930+1&gt;$K$3,"T",IF(INDEX($M$4:$M$2003,MATCH($Q1930+1,$P$4:$P$2003,0))&lt;&gt;INDEX($M$4:$M$2003,MATCH($Q1930,$P$4:$P$2003,0)),"B","S"))))</f>
        <v/>
      </c>
      <c r="S1931">
        <f>IF(Q1931="","",IFERROR(MATCH(Q1931,$P$4:$P$2003,0),""))</f>
        <v/>
      </c>
    </row>
    <row r="1932">
      <c r="A1932" s="4">
        <f>IF($R1932="","",IF($R1932="T","Gesamtergebnis",IF($R1932="B",INDEX($M$4:$M$2003,$S1932),INDEX($L$4:$L$2003,$S1932))))</f>
        <v/>
      </c>
      <c r="B1932" s="4">
        <f>IF($R1932="","",IF($R1932="T",$K$3,IF($R1932="B",COUNTIFS($M$4:$M$2003,INDEX($M$4:$M$2003,$S1932),$N$4:$N$2003,1),1)))</f>
        <v/>
      </c>
      <c r="L1932">
        <f>IF($K$1="","",IFERROR(INDEX(Lines!$A:$AA,ROW()-2,$K$1),""))</f>
        <v/>
      </c>
      <c r="M1932">
        <f>IF($K$2="","",IFERROR(INDEX(Lines!$A:$AA,ROW()-2,$K$2),""))</f>
        <v/>
      </c>
      <c r="N1932">
        <f>IF(AND(L1932&lt;&gt;"",LEFT(L1932,1)="N",M1932&lt;&gt;"PICKING",M1932&lt;&gt;""),1,0)</f>
        <v/>
      </c>
      <c r="O1932">
        <f>IF(N1932=1,M1932&amp;"|"&amp;L1932,REPT("z",40))</f>
        <v/>
      </c>
      <c r="P1932">
        <f>IF(N1932=1,COUNTIF($O$4:$O$2003,"&lt;"&amp;O1932)+1,"")</f>
        <v/>
      </c>
      <c r="Q1932">
        <f>IF(OR($R1931="",$R1931="T"),"",IF($R1931="B",$Q1931,IF($Q1931+1&gt;$K$3,"",$Q1931+1)))</f>
        <v/>
      </c>
      <c r="R1932">
        <f>IF(OR($R1931="",$R1931="T"),"",IF($R1931="B","S",IF($Q1931+1&gt;$K$3,"T",IF(INDEX($M$4:$M$2003,MATCH($Q1931+1,$P$4:$P$2003,0))&lt;&gt;INDEX($M$4:$M$2003,MATCH($Q1931,$P$4:$P$2003,0)),"B","S"))))</f>
        <v/>
      </c>
      <c r="S1932">
        <f>IF(Q1932="","",IFERROR(MATCH(Q1932,$P$4:$P$2003,0),""))</f>
        <v/>
      </c>
    </row>
    <row r="1933">
      <c r="A1933" s="4">
        <f>IF($R1933="","",IF($R1933="T","Gesamtergebnis",IF($R1933="B",INDEX($M$4:$M$2003,$S1933),INDEX($L$4:$L$2003,$S1933))))</f>
        <v/>
      </c>
      <c r="B1933" s="4">
        <f>IF($R1933="","",IF($R1933="T",$K$3,IF($R1933="B",COUNTIFS($M$4:$M$2003,INDEX($M$4:$M$2003,$S1933),$N$4:$N$2003,1),1)))</f>
        <v/>
      </c>
      <c r="L1933">
        <f>IF($K$1="","",IFERROR(INDEX(Lines!$A:$AA,ROW()-2,$K$1),""))</f>
        <v/>
      </c>
      <c r="M1933">
        <f>IF($K$2="","",IFERROR(INDEX(Lines!$A:$AA,ROW()-2,$K$2),""))</f>
        <v/>
      </c>
      <c r="N1933">
        <f>IF(AND(L1933&lt;&gt;"",LEFT(L1933,1)="N",M1933&lt;&gt;"PICKING",M1933&lt;&gt;""),1,0)</f>
        <v/>
      </c>
      <c r="O1933">
        <f>IF(N1933=1,M1933&amp;"|"&amp;L1933,REPT("z",40))</f>
        <v/>
      </c>
      <c r="P1933">
        <f>IF(N1933=1,COUNTIF($O$4:$O$2003,"&lt;"&amp;O1933)+1,"")</f>
        <v/>
      </c>
      <c r="Q1933">
        <f>IF(OR($R1932="",$R1932="T"),"",IF($R1932="B",$Q1932,IF($Q1932+1&gt;$K$3,"",$Q1932+1)))</f>
        <v/>
      </c>
      <c r="R1933">
        <f>IF(OR($R1932="",$R1932="T"),"",IF($R1932="B","S",IF($Q1932+1&gt;$K$3,"T",IF(INDEX($M$4:$M$2003,MATCH($Q1932+1,$P$4:$P$2003,0))&lt;&gt;INDEX($M$4:$M$2003,MATCH($Q1932,$P$4:$P$2003,0)),"B","S"))))</f>
        <v/>
      </c>
      <c r="S1933">
        <f>IF(Q1933="","",IFERROR(MATCH(Q1933,$P$4:$P$2003,0),""))</f>
        <v/>
      </c>
    </row>
    <row r="1934">
      <c r="A1934" s="4">
        <f>IF($R1934="","",IF($R1934="T","Gesamtergebnis",IF($R1934="B",INDEX($M$4:$M$2003,$S1934),INDEX($L$4:$L$2003,$S1934))))</f>
        <v/>
      </c>
      <c r="B1934" s="4">
        <f>IF($R1934="","",IF($R1934="T",$K$3,IF($R1934="B",COUNTIFS($M$4:$M$2003,INDEX($M$4:$M$2003,$S1934),$N$4:$N$2003,1),1)))</f>
        <v/>
      </c>
      <c r="L1934">
        <f>IF($K$1="","",IFERROR(INDEX(Lines!$A:$AA,ROW()-2,$K$1),""))</f>
        <v/>
      </c>
      <c r="M1934">
        <f>IF($K$2="","",IFERROR(INDEX(Lines!$A:$AA,ROW()-2,$K$2),""))</f>
        <v/>
      </c>
      <c r="N1934">
        <f>IF(AND(L1934&lt;&gt;"",LEFT(L1934,1)="N",M1934&lt;&gt;"PICKING",M1934&lt;&gt;""),1,0)</f>
        <v/>
      </c>
      <c r="O1934">
        <f>IF(N1934=1,M1934&amp;"|"&amp;L1934,REPT("z",40))</f>
        <v/>
      </c>
      <c r="P1934">
        <f>IF(N1934=1,COUNTIF($O$4:$O$2003,"&lt;"&amp;O1934)+1,"")</f>
        <v/>
      </c>
      <c r="Q1934">
        <f>IF(OR($R1933="",$R1933="T"),"",IF($R1933="B",$Q1933,IF($Q1933+1&gt;$K$3,"",$Q1933+1)))</f>
        <v/>
      </c>
      <c r="R1934">
        <f>IF(OR($R1933="",$R1933="T"),"",IF($R1933="B","S",IF($Q1933+1&gt;$K$3,"T",IF(INDEX($M$4:$M$2003,MATCH($Q1933+1,$P$4:$P$2003,0))&lt;&gt;INDEX($M$4:$M$2003,MATCH($Q1933,$P$4:$P$2003,0)),"B","S"))))</f>
        <v/>
      </c>
      <c r="S1934">
        <f>IF(Q1934="","",IFERROR(MATCH(Q1934,$P$4:$P$2003,0),""))</f>
        <v/>
      </c>
    </row>
    <row r="1935">
      <c r="A1935" s="4">
        <f>IF($R1935="","",IF($R1935="T","Gesamtergebnis",IF($R1935="B",INDEX($M$4:$M$2003,$S1935),INDEX($L$4:$L$2003,$S1935))))</f>
        <v/>
      </c>
      <c r="B1935" s="4">
        <f>IF($R1935="","",IF($R1935="T",$K$3,IF($R1935="B",COUNTIFS($M$4:$M$2003,INDEX($M$4:$M$2003,$S1935),$N$4:$N$2003,1),1)))</f>
        <v/>
      </c>
      <c r="L1935">
        <f>IF($K$1="","",IFERROR(INDEX(Lines!$A:$AA,ROW()-2,$K$1),""))</f>
        <v/>
      </c>
      <c r="M1935">
        <f>IF($K$2="","",IFERROR(INDEX(Lines!$A:$AA,ROW()-2,$K$2),""))</f>
        <v/>
      </c>
      <c r="N1935">
        <f>IF(AND(L1935&lt;&gt;"",LEFT(L1935,1)="N",M1935&lt;&gt;"PICKING",M1935&lt;&gt;""),1,0)</f>
        <v/>
      </c>
      <c r="O1935">
        <f>IF(N1935=1,M1935&amp;"|"&amp;L1935,REPT("z",40))</f>
        <v/>
      </c>
      <c r="P1935">
        <f>IF(N1935=1,COUNTIF($O$4:$O$2003,"&lt;"&amp;O1935)+1,"")</f>
        <v/>
      </c>
      <c r="Q1935">
        <f>IF(OR($R1934="",$R1934="T"),"",IF($R1934="B",$Q1934,IF($Q1934+1&gt;$K$3,"",$Q1934+1)))</f>
        <v/>
      </c>
      <c r="R1935">
        <f>IF(OR($R1934="",$R1934="T"),"",IF($R1934="B","S",IF($Q1934+1&gt;$K$3,"T",IF(INDEX($M$4:$M$2003,MATCH($Q1934+1,$P$4:$P$2003,0))&lt;&gt;INDEX($M$4:$M$2003,MATCH($Q1934,$P$4:$P$2003,0)),"B","S"))))</f>
        <v/>
      </c>
      <c r="S1935">
        <f>IF(Q1935="","",IFERROR(MATCH(Q1935,$P$4:$P$2003,0),""))</f>
        <v/>
      </c>
    </row>
    <row r="1936">
      <c r="A1936" s="4">
        <f>IF($R1936="","",IF($R1936="T","Gesamtergebnis",IF($R1936="B",INDEX($M$4:$M$2003,$S1936),INDEX($L$4:$L$2003,$S1936))))</f>
        <v/>
      </c>
      <c r="B1936" s="4">
        <f>IF($R1936="","",IF($R1936="T",$K$3,IF($R1936="B",COUNTIFS($M$4:$M$2003,INDEX($M$4:$M$2003,$S1936),$N$4:$N$2003,1),1)))</f>
        <v/>
      </c>
      <c r="L1936">
        <f>IF($K$1="","",IFERROR(INDEX(Lines!$A:$AA,ROW()-2,$K$1),""))</f>
        <v/>
      </c>
      <c r="M1936">
        <f>IF($K$2="","",IFERROR(INDEX(Lines!$A:$AA,ROW()-2,$K$2),""))</f>
        <v/>
      </c>
      <c r="N1936">
        <f>IF(AND(L1936&lt;&gt;"",LEFT(L1936,1)="N",M1936&lt;&gt;"PICKING",M1936&lt;&gt;""),1,0)</f>
        <v/>
      </c>
      <c r="O1936">
        <f>IF(N1936=1,M1936&amp;"|"&amp;L1936,REPT("z",40))</f>
        <v/>
      </c>
      <c r="P1936">
        <f>IF(N1936=1,COUNTIF($O$4:$O$2003,"&lt;"&amp;O1936)+1,"")</f>
        <v/>
      </c>
      <c r="Q1936">
        <f>IF(OR($R1935="",$R1935="T"),"",IF($R1935="B",$Q1935,IF($Q1935+1&gt;$K$3,"",$Q1935+1)))</f>
        <v/>
      </c>
      <c r="R1936">
        <f>IF(OR($R1935="",$R1935="T"),"",IF($R1935="B","S",IF($Q1935+1&gt;$K$3,"T",IF(INDEX($M$4:$M$2003,MATCH($Q1935+1,$P$4:$P$2003,0))&lt;&gt;INDEX($M$4:$M$2003,MATCH($Q1935,$P$4:$P$2003,0)),"B","S"))))</f>
        <v/>
      </c>
      <c r="S1936">
        <f>IF(Q1936="","",IFERROR(MATCH(Q1936,$P$4:$P$2003,0),""))</f>
        <v/>
      </c>
    </row>
    <row r="1937">
      <c r="A1937" s="4">
        <f>IF($R1937="","",IF($R1937="T","Gesamtergebnis",IF($R1937="B",INDEX($M$4:$M$2003,$S1937),INDEX($L$4:$L$2003,$S1937))))</f>
        <v/>
      </c>
      <c r="B1937" s="4">
        <f>IF($R1937="","",IF($R1937="T",$K$3,IF($R1937="B",COUNTIFS($M$4:$M$2003,INDEX($M$4:$M$2003,$S1937),$N$4:$N$2003,1),1)))</f>
        <v/>
      </c>
      <c r="L1937">
        <f>IF($K$1="","",IFERROR(INDEX(Lines!$A:$AA,ROW()-2,$K$1),""))</f>
        <v/>
      </c>
      <c r="M1937">
        <f>IF($K$2="","",IFERROR(INDEX(Lines!$A:$AA,ROW()-2,$K$2),""))</f>
        <v/>
      </c>
      <c r="N1937">
        <f>IF(AND(L1937&lt;&gt;"",LEFT(L1937,1)="N",M1937&lt;&gt;"PICKING",M1937&lt;&gt;""),1,0)</f>
        <v/>
      </c>
      <c r="O1937">
        <f>IF(N1937=1,M1937&amp;"|"&amp;L1937,REPT("z",40))</f>
        <v/>
      </c>
      <c r="P1937">
        <f>IF(N1937=1,COUNTIF($O$4:$O$2003,"&lt;"&amp;O1937)+1,"")</f>
        <v/>
      </c>
      <c r="Q1937">
        <f>IF(OR($R1936="",$R1936="T"),"",IF($R1936="B",$Q1936,IF($Q1936+1&gt;$K$3,"",$Q1936+1)))</f>
        <v/>
      </c>
      <c r="R1937">
        <f>IF(OR($R1936="",$R1936="T"),"",IF($R1936="B","S",IF($Q1936+1&gt;$K$3,"T",IF(INDEX($M$4:$M$2003,MATCH($Q1936+1,$P$4:$P$2003,0))&lt;&gt;INDEX($M$4:$M$2003,MATCH($Q1936,$P$4:$P$2003,0)),"B","S"))))</f>
        <v/>
      </c>
      <c r="S1937">
        <f>IF(Q1937="","",IFERROR(MATCH(Q1937,$P$4:$P$2003,0),""))</f>
        <v/>
      </c>
    </row>
    <row r="1938">
      <c r="A1938" s="4">
        <f>IF($R1938="","",IF($R1938="T","Gesamtergebnis",IF($R1938="B",INDEX($M$4:$M$2003,$S1938),INDEX($L$4:$L$2003,$S1938))))</f>
        <v/>
      </c>
      <c r="B1938" s="4">
        <f>IF($R1938="","",IF($R1938="T",$K$3,IF($R1938="B",COUNTIFS($M$4:$M$2003,INDEX($M$4:$M$2003,$S1938),$N$4:$N$2003,1),1)))</f>
        <v/>
      </c>
      <c r="L1938">
        <f>IF($K$1="","",IFERROR(INDEX(Lines!$A:$AA,ROW()-2,$K$1),""))</f>
        <v/>
      </c>
      <c r="M1938">
        <f>IF($K$2="","",IFERROR(INDEX(Lines!$A:$AA,ROW()-2,$K$2),""))</f>
        <v/>
      </c>
      <c r="N1938">
        <f>IF(AND(L1938&lt;&gt;"",LEFT(L1938,1)="N",M1938&lt;&gt;"PICKING",M1938&lt;&gt;""),1,0)</f>
        <v/>
      </c>
      <c r="O1938">
        <f>IF(N1938=1,M1938&amp;"|"&amp;L1938,REPT("z",40))</f>
        <v/>
      </c>
      <c r="P1938">
        <f>IF(N1938=1,COUNTIF($O$4:$O$2003,"&lt;"&amp;O1938)+1,"")</f>
        <v/>
      </c>
      <c r="Q1938">
        <f>IF(OR($R1937="",$R1937="T"),"",IF($R1937="B",$Q1937,IF($Q1937+1&gt;$K$3,"",$Q1937+1)))</f>
        <v/>
      </c>
      <c r="R1938">
        <f>IF(OR($R1937="",$R1937="T"),"",IF($R1937="B","S",IF($Q1937+1&gt;$K$3,"T",IF(INDEX($M$4:$M$2003,MATCH($Q1937+1,$P$4:$P$2003,0))&lt;&gt;INDEX($M$4:$M$2003,MATCH($Q1937,$P$4:$P$2003,0)),"B","S"))))</f>
        <v/>
      </c>
      <c r="S1938">
        <f>IF(Q1938="","",IFERROR(MATCH(Q1938,$P$4:$P$2003,0),""))</f>
        <v/>
      </c>
    </row>
    <row r="1939">
      <c r="A1939" s="4">
        <f>IF($R1939="","",IF($R1939="T","Gesamtergebnis",IF($R1939="B",INDEX($M$4:$M$2003,$S1939),INDEX($L$4:$L$2003,$S1939))))</f>
        <v/>
      </c>
      <c r="B1939" s="4">
        <f>IF($R1939="","",IF($R1939="T",$K$3,IF($R1939="B",COUNTIFS($M$4:$M$2003,INDEX($M$4:$M$2003,$S1939),$N$4:$N$2003,1),1)))</f>
        <v/>
      </c>
      <c r="L1939">
        <f>IF($K$1="","",IFERROR(INDEX(Lines!$A:$AA,ROW()-2,$K$1),""))</f>
        <v/>
      </c>
      <c r="M1939">
        <f>IF($K$2="","",IFERROR(INDEX(Lines!$A:$AA,ROW()-2,$K$2),""))</f>
        <v/>
      </c>
      <c r="N1939">
        <f>IF(AND(L1939&lt;&gt;"",LEFT(L1939,1)="N",M1939&lt;&gt;"PICKING",M1939&lt;&gt;""),1,0)</f>
        <v/>
      </c>
      <c r="O1939">
        <f>IF(N1939=1,M1939&amp;"|"&amp;L1939,REPT("z",40))</f>
        <v/>
      </c>
      <c r="P1939">
        <f>IF(N1939=1,COUNTIF($O$4:$O$2003,"&lt;"&amp;O1939)+1,"")</f>
        <v/>
      </c>
      <c r="Q1939">
        <f>IF(OR($R1938="",$R1938="T"),"",IF($R1938="B",$Q1938,IF($Q1938+1&gt;$K$3,"",$Q1938+1)))</f>
        <v/>
      </c>
      <c r="R1939">
        <f>IF(OR($R1938="",$R1938="T"),"",IF($R1938="B","S",IF($Q1938+1&gt;$K$3,"T",IF(INDEX($M$4:$M$2003,MATCH($Q1938+1,$P$4:$P$2003,0))&lt;&gt;INDEX($M$4:$M$2003,MATCH($Q1938,$P$4:$P$2003,0)),"B","S"))))</f>
        <v/>
      </c>
      <c r="S1939">
        <f>IF(Q1939="","",IFERROR(MATCH(Q1939,$P$4:$P$2003,0),""))</f>
        <v/>
      </c>
    </row>
    <row r="1940">
      <c r="A1940" s="4">
        <f>IF($R1940="","",IF($R1940="T","Gesamtergebnis",IF($R1940="B",INDEX($M$4:$M$2003,$S1940),INDEX($L$4:$L$2003,$S1940))))</f>
        <v/>
      </c>
      <c r="B1940" s="4">
        <f>IF($R1940="","",IF($R1940="T",$K$3,IF($R1940="B",COUNTIFS($M$4:$M$2003,INDEX($M$4:$M$2003,$S1940),$N$4:$N$2003,1),1)))</f>
        <v/>
      </c>
      <c r="L1940">
        <f>IF($K$1="","",IFERROR(INDEX(Lines!$A:$AA,ROW()-2,$K$1),""))</f>
        <v/>
      </c>
      <c r="M1940">
        <f>IF($K$2="","",IFERROR(INDEX(Lines!$A:$AA,ROW()-2,$K$2),""))</f>
        <v/>
      </c>
      <c r="N1940">
        <f>IF(AND(L1940&lt;&gt;"",LEFT(L1940,1)="N",M1940&lt;&gt;"PICKING",M1940&lt;&gt;""),1,0)</f>
        <v/>
      </c>
      <c r="O1940">
        <f>IF(N1940=1,M1940&amp;"|"&amp;L1940,REPT("z",40))</f>
        <v/>
      </c>
      <c r="P1940">
        <f>IF(N1940=1,COUNTIF($O$4:$O$2003,"&lt;"&amp;O1940)+1,"")</f>
        <v/>
      </c>
      <c r="Q1940">
        <f>IF(OR($R1939="",$R1939="T"),"",IF($R1939="B",$Q1939,IF($Q1939+1&gt;$K$3,"",$Q1939+1)))</f>
        <v/>
      </c>
      <c r="R1940">
        <f>IF(OR($R1939="",$R1939="T"),"",IF($R1939="B","S",IF($Q1939+1&gt;$K$3,"T",IF(INDEX($M$4:$M$2003,MATCH($Q1939+1,$P$4:$P$2003,0))&lt;&gt;INDEX($M$4:$M$2003,MATCH($Q1939,$P$4:$P$2003,0)),"B","S"))))</f>
        <v/>
      </c>
      <c r="S1940">
        <f>IF(Q1940="","",IFERROR(MATCH(Q1940,$P$4:$P$2003,0),""))</f>
        <v/>
      </c>
    </row>
    <row r="1941">
      <c r="A1941" s="4">
        <f>IF($R1941="","",IF($R1941="T","Gesamtergebnis",IF($R1941="B",INDEX($M$4:$M$2003,$S1941),INDEX($L$4:$L$2003,$S1941))))</f>
        <v/>
      </c>
      <c r="B1941" s="4">
        <f>IF($R1941="","",IF($R1941="T",$K$3,IF($R1941="B",COUNTIFS($M$4:$M$2003,INDEX($M$4:$M$2003,$S1941),$N$4:$N$2003,1),1)))</f>
        <v/>
      </c>
      <c r="L1941">
        <f>IF($K$1="","",IFERROR(INDEX(Lines!$A:$AA,ROW()-2,$K$1),""))</f>
        <v/>
      </c>
      <c r="M1941">
        <f>IF($K$2="","",IFERROR(INDEX(Lines!$A:$AA,ROW()-2,$K$2),""))</f>
        <v/>
      </c>
      <c r="N1941">
        <f>IF(AND(L1941&lt;&gt;"",LEFT(L1941,1)="N",M1941&lt;&gt;"PICKING",M1941&lt;&gt;""),1,0)</f>
        <v/>
      </c>
      <c r="O1941">
        <f>IF(N1941=1,M1941&amp;"|"&amp;L1941,REPT("z",40))</f>
        <v/>
      </c>
      <c r="P1941">
        <f>IF(N1941=1,COUNTIF($O$4:$O$2003,"&lt;"&amp;O1941)+1,"")</f>
        <v/>
      </c>
      <c r="Q1941">
        <f>IF(OR($R1940="",$R1940="T"),"",IF($R1940="B",$Q1940,IF($Q1940+1&gt;$K$3,"",$Q1940+1)))</f>
        <v/>
      </c>
      <c r="R1941">
        <f>IF(OR($R1940="",$R1940="T"),"",IF($R1940="B","S",IF($Q1940+1&gt;$K$3,"T",IF(INDEX($M$4:$M$2003,MATCH($Q1940+1,$P$4:$P$2003,0))&lt;&gt;INDEX($M$4:$M$2003,MATCH($Q1940,$P$4:$P$2003,0)),"B","S"))))</f>
        <v/>
      </c>
      <c r="S1941">
        <f>IF(Q1941="","",IFERROR(MATCH(Q1941,$P$4:$P$2003,0),""))</f>
        <v/>
      </c>
    </row>
    <row r="1942">
      <c r="A1942" s="4">
        <f>IF($R1942="","",IF($R1942="T","Gesamtergebnis",IF($R1942="B",INDEX($M$4:$M$2003,$S1942),INDEX($L$4:$L$2003,$S1942))))</f>
        <v/>
      </c>
      <c r="B1942" s="4">
        <f>IF($R1942="","",IF($R1942="T",$K$3,IF($R1942="B",COUNTIFS($M$4:$M$2003,INDEX($M$4:$M$2003,$S1942),$N$4:$N$2003,1),1)))</f>
        <v/>
      </c>
      <c r="L1942">
        <f>IF($K$1="","",IFERROR(INDEX(Lines!$A:$AA,ROW()-2,$K$1),""))</f>
        <v/>
      </c>
      <c r="M1942">
        <f>IF($K$2="","",IFERROR(INDEX(Lines!$A:$AA,ROW()-2,$K$2),""))</f>
        <v/>
      </c>
      <c r="N1942">
        <f>IF(AND(L1942&lt;&gt;"",LEFT(L1942,1)="N",M1942&lt;&gt;"PICKING",M1942&lt;&gt;""),1,0)</f>
        <v/>
      </c>
      <c r="O1942">
        <f>IF(N1942=1,M1942&amp;"|"&amp;L1942,REPT("z",40))</f>
        <v/>
      </c>
      <c r="P1942">
        <f>IF(N1942=1,COUNTIF($O$4:$O$2003,"&lt;"&amp;O1942)+1,"")</f>
        <v/>
      </c>
      <c r="Q1942">
        <f>IF(OR($R1941="",$R1941="T"),"",IF($R1941="B",$Q1941,IF($Q1941+1&gt;$K$3,"",$Q1941+1)))</f>
        <v/>
      </c>
      <c r="R1942">
        <f>IF(OR($R1941="",$R1941="T"),"",IF($R1941="B","S",IF($Q1941+1&gt;$K$3,"T",IF(INDEX($M$4:$M$2003,MATCH($Q1941+1,$P$4:$P$2003,0))&lt;&gt;INDEX($M$4:$M$2003,MATCH($Q1941,$P$4:$P$2003,0)),"B","S"))))</f>
        <v/>
      </c>
      <c r="S1942">
        <f>IF(Q1942="","",IFERROR(MATCH(Q1942,$P$4:$P$2003,0),""))</f>
        <v/>
      </c>
    </row>
    <row r="1943">
      <c r="A1943" s="4">
        <f>IF($R1943="","",IF($R1943="T","Gesamtergebnis",IF($R1943="B",INDEX($M$4:$M$2003,$S1943),INDEX($L$4:$L$2003,$S1943))))</f>
        <v/>
      </c>
      <c r="B1943" s="4">
        <f>IF($R1943="","",IF($R1943="T",$K$3,IF($R1943="B",COUNTIFS($M$4:$M$2003,INDEX($M$4:$M$2003,$S1943),$N$4:$N$2003,1),1)))</f>
        <v/>
      </c>
      <c r="L1943">
        <f>IF($K$1="","",IFERROR(INDEX(Lines!$A:$AA,ROW()-2,$K$1),""))</f>
        <v/>
      </c>
      <c r="M1943">
        <f>IF($K$2="","",IFERROR(INDEX(Lines!$A:$AA,ROW()-2,$K$2),""))</f>
        <v/>
      </c>
      <c r="N1943">
        <f>IF(AND(L1943&lt;&gt;"",LEFT(L1943,1)="N",M1943&lt;&gt;"PICKING",M1943&lt;&gt;""),1,0)</f>
        <v/>
      </c>
      <c r="O1943">
        <f>IF(N1943=1,M1943&amp;"|"&amp;L1943,REPT("z",40))</f>
        <v/>
      </c>
      <c r="P1943">
        <f>IF(N1943=1,COUNTIF($O$4:$O$2003,"&lt;"&amp;O1943)+1,"")</f>
        <v/>
      </c>
      <c r="Q1943">
        <f>IF(OR($R1942="",$R1942="T"),"",IF($R1942="B",$Q1942,IF($Q1942+1&gt;$K$3,"",$Q1942+1)))</f>
        <v/>
      </c>
      <c r="R1943">
        <f>IF(OR($R1942="",$R1942="T"),"",IF($R1942="B","S",IF($Q1942+1&gt;$K$3,"T",IF(INDEX($M$4:$M$2003,MATCH($Q1942+1,$P$4:$P$2003,0))&lt;&gt;INDEX($M$4:$M$2003,MATCH($Q1942,$P$4:$P$2003,0)),"B","S"))))</f>
        <v/>
      </c>
      <c r="S1943">
        <f>IF(Q1943="","",IFERROR(MATCH(Q1943,$P$4:$P$2003,0),""))</f>
        <v/>
      </c>
    </row>
    <row r="1944">
      <c r="A1944" s="4">
        <f>IF($R1944="","",IF($R1944="T","Gesamtergebnis",IF($R1944="B",INDEX($M$4:$M$2003,$S1944),INDEX($L$4:$L$2003,$S1944))))</f>
        <v/>
      </c>
      <c r="B1944" s="4">
        <f>IF($R1944="","",IF($R1944="T",$K$3,IF($R1944="B",COUNTIFS($M$4:$M$2003,INDEX($M$4:$M$2003,$S1944),$N$4:$N$2003,1),1)))</f>
        <v/>
      </c>
      <c r="L1944">
        <f>IF($K$1="","",IFERROR(INDEX(Lines!$A:$AA,ROW()-2,$K$1),""))</f>
        <v/>
      </c>
      <c r="M1944">
        <f>IF($K$2="","",IFERROR(INDEX(Lines!$A:$AA,ROW()-2,$K$2),""))</f>
        <v/>
      </c>
      <c r="N1944">
        <f>IF(AND(L1944&lt;&gt;"",LEFT(L1944,1)="N",M1944&lt;&gt;"PICKING",M1944&lt;&gt;""),1,0)</f>
        <v/>
      </c>
      <c r="O1944">
        <f>IF(N1944=1,M1944&amp;"|"&amp;L1944,REPT("z",40))</f>
        <v/>
      </c>
      <c r="P1944">
        <f>IF(N1944=1,COUNTIF($O$4:$O$2003,"&lt;"&amp;O1944)+1,"")</f>
        <v/>
      </c>
      <c r="Q1944">
        <f>IF(OR($R1943="",$R1943="T"),"",IF($R1943="B",$Q1943,IF($Q1943+1&gt;$K$3,"",$Q1943+1)))</f>
        <v/>
      </c>
      <c r="R1944">
        <f>IF(OR($R1943="",$R1943="T"),"",IF($R1943="B","S",IF($Q1943+1&gt;$K$3,"T",IF(INDEX($M$4:$M$2003,MATCH($Q1943+1,$P$4:$P$2003,0))&lt;&gt;INDEX($M$4:$M$2003,MATCH($Q1943,$P$4:$P$2003,0)),"B","S"))))</f>
        <v/>
      </c>
      <c r="S1944">
        <f>IF(Q1944="","",IFERROR(MATCH(Q1944,$P$4:$P$2003,0),""))</f>
        <v/>
      </c>
    </row>
    <row r="1945">
      <c r="A1945" s="4">
        <f>IF($R1945="","",IF($R1945="T","Gesamtergebnis",IF($R1945="B",INDEX($M$4:$M$2003,$S1945),INDEX($L$4:$L$2003,$S1945))))</f>
        <v/>
      </c>
      <c r="B1945" s="4">
        <f>IF($R1945="","",IF($R1945="T",$K$3,IF($R1945="B",COUNTIFS($M$4:$M$2003,INDEX($M$4:$M$2003,$S1945),$N$4:$N$2003,1),1)))</f>
        <v/>
      </c>
      <c r="L1945">
        <f>IF($K$1="","",IFERROR(INDEX(Lines!$A:$AA,ROW()-2,$K$1),""))</f>
        <v/>
      </c>
      <c r="M1945">
        <f>IF($K$2="","",IFERROR(INDEX(Lines!$A:$AA,ROW()-2,$K$2),""))</f>
        <v/>
      </c>
      <c r="N1945">
        <f>IF(AND(L1945&lt;&gt;"",LEFT(L1945,1)="N",M1945&lt;&gt;"PICKING",M1945&lt;&gt;""),1,0)</f>
        <v/>
      </c>
      <c r="O1945">
        <f>IF(N1945=1,M1945&amp;"|"&amp;L1945,REPT("z",40))</f>
        <v/>
      </c>
      <c r="P1945">
        <f>IF(N1945=1,COUNTIF($O$4:$O$2003,"&lt;"&amp;O1945)+1,"")</f>
        <v/>
      </c>
      <c r="Q1945">
        <f>IF(OR($R1944="",$R1944="T"),"",IF($R1944="B",$Q1944,IF($Q1944+1&gt;$K$3,"",$Q1944+1)))</f>
        <v/>
      </c>
      <c r="R1945">
        <f>IF(OR($R1944="",$R1944="T"),"",IF($R1944="B","S",IF($Q1944+1&gt;$K$3,"T",IF(INDEX($M$4:$M$2003,MATCH($Q1944+1,$P$4:$P$2003,0))&lt;&gt;INDEX($M$4:$M$2003,MATCH($Q1944,$P$4:$P$2003,0)),"B","S"))))</f>
        <v/>
      </c>
      <c r="S1945">
        <f>IF(Q1945="","",IFERROR(MATCH(Q1945,$P$4:$P$2003,0),""))</f>
        <v/>
      </c>
    </row>
    <row r="1946">
      <c r="A1946" s="4">
        <f>IF($R1946="","",IF($R1946="T","Gesamtergebnis",IF($R1946="B",INDEX($M$4:$M$2003,$S1946),INDEX($L$4:$L$2003,$S1946))))</f>
        <v/>
      </c>
      <c r="B1946" s="4">
        <f>IF($R1946="","",IF($R1946="T",$K$3,IF($R1946="B",COUNTIFS($M$4:$M$2003,INDEX($M$4:$M$2003,$S1946),$N$4:$N$2003,1),1)))</f>
        <v/>
      </c>
      <c r="L1946">
        <f>IF($K$1="","",IFERROR(INDEX(Lines!$A:$AA,ROW()-2,$K$1),""))</f>
        <v/>
      </c>
      <c r="M1946">
        <f>IF($K$2="","",IFERROR(INDEX(Lines!$A:$AA,ROW()-2,$K$2),""))</f>
        <v/>
      </c>
      <c r="N1946">
        <f>IF(AND(L1946&lt;&gt;"",LEFT(L1946,1)="N",M1946&lt;&gt;"PICKING",M1946&lt;&gt;""),1,0)</f>
        <v/>
      </c>
      <c r="O1946">
        <f>IF(N1946=1,M1946&amp;"|"&amp;L1946,REPT("z",40))</f>
        <v/>
      </c>
      <c r="P1946">
        <f>IF(N1946=1,COUNTIF($O$4:$O$2003,"&lt;"&amp;O1946)+1,"")</f>
        <v/>
      </c>
      <c r="Q1946">
        <f>IF(OR($R1945="",$R1945="T"),"",IF($R1945="B",$Q1945,IF($Q1945+1&gt;$K$3,"",$Q1945+1)))</f>
        <v/>
      </c>
      <c r="R1946">
        <f>IF(OR($R1945="",$R1945="T"),"",IF($R1945="B","S",IF($Q1945+1&gt;$K$3,"T",IF(INDEX($M$4:$M$2003,MATCH($Q1945+1,$P$4:$P$2003,0))&lt;&gt;INDEX($M$4:$M$2003,MATCH($Q1945,$P$4:$P$2003,0)),"B","S"))))</f>
        <v/>
      </c>
      <c r="S1946">
        <f>IF(Q1946="","",IFERROR(MATCH(Q1946,$P$4:$P$2003,0),""))</f>
        <v/>
      </c>
    </row>
    <row r="1947">
      <c r="A1947" s="4">
        <f>IF($R1947="","",IF($R1947="T","Gesamtergebnis",IF($R1947="B",INDEX($M$4:$M$2003,$S1947),INDEX($L$4:$L$2003,$S1947))))</f>
        <v/>
      </c>
      <c r="B1947" s="4">
        <f>IF($R1947="","",IF($R1947="T",$K$3,IF($R1947="B",COUNTIFS($M$4:$M$2003,INDEX($M$4:$M$2003,$S1947),$N$4:$N$2003,1),1)))</f>
        <v/>
      </c>
      <c r="L1947">
        <f>IF($K$1="","",IFERROR(INDEX(Lines!$A:$AA,ROW()-2,$K$1),""))</f>
        <v/>
      </c>
      <c r="M1947">
        <f>IF($K$2="","",IFERROR(INDEX(Lines!$A:$AA,ROW()-2,$K$2),""))</f>
        <v/>
      </c>
      <c r="N1947">
        <f>IF(AND(L1947&lt;&gt;"",LEFT(L1947,1)="N",M1947&lt;&gt;"PICKING",M1947&lt;&gt;""),1,0)</f>
        <v/>
      </c>
      <c r="O1947">
        <f>IF(N1947=1,M1947&amp;"|"&amp;L1947,REPT("z",40))</f>
        <v/>
      </c>
      <c r="P1947">
        <f>IF(N1947=1,COUNTIF($O$4:$O$2003,"&lt;"&amp;O1947)+1,"")</f>
        <v/>
      </c>
      <c r="Q1947">
        <f>IF(OR($R1946="",$R1946="T"),"",IF($R1946="B",$Q1946,IF($Q1946+1&gt;$K$3,"",$Q1946+1)))</f>
        <v/>
      </c>
      <c r="R1947">
        <f>IF(OR($R1946="",$R1946="T"),"",IF($R1946="B","S",IF($Q1946+1&gt;$K$3,"T",IF(INDEX($M$4:$M$2003,MATCH($Q1946+1,$P$4:$P$2003,0))&lt;&gt;INDEX($M$4:$M$2003,MATCH($Q1946,$P$4:$P$2003,0)),"B","S"))))</f>
        <v/>
      </c>
      <c r="S1947">
        <f>IF(Q1947="","",IFERROR(MATCH(Q1947,$P$4:$P$2003,0),""))</f>
        <v/>
      </c>
    </row>
    <row r="1948">
      <c r="A1948" s="4">
        <f>IF($R1948="","",IF($R1948="T","Gesamtergebnis",IF($R1948="B",INDEX($M$4:$M$2003,$S1948),INDEX($L$4:$L$2003,$S1948))))</f>
        <v/>
      </c>
      <c r="B1948" s="4">
        <f>IF($R1948="","",IF($R1948="T",$K$3,IF($R1948="B",COUNTIFS($M$4:$M$2003,INDEX($M$4:$M$2003,$S1948),$N$4:$N$2003,1),1)))</f>
        <v/>
      </c>
      <c r="L1948">
        <f>IF($K$1="","",IFERROR(INDEX(Lines!$A:$AA,ROW()-2,$K$1),""))</f>
        <v/>
      </c>
      <c r="M1948">
        <f>IF($K$2="","",IFERROR(INDEX(Lines!$A:$AA,ROW()-2,$K$2),""))</f>
        <v/>
      </c>
      <c r="N1948">
        <f>IF(AND(L1948&lt;&gt;"",LEFT(L1948,1)="N",M1948&lt;&gt;"PICKING",M1948&lt;&gt;""),1,0)</f>
        <v/>
      </c>
      <c r="O1948">
        <f>IF(N1948=1,M1948&amp;"|"&amp;L1948,REPT("z",40))</f>
        <v/>
      </c>
      <c r="P1948">
        <f>IF(N1948=1,COUNTIF($O$4:$O$2003,"&lt;"&amp;O1948)+1,"")</f>
        <v/>
      </c>
      <c r="Q1948">
        <f>IF(OR($R1947="",$R1947="T"),"",IF($R1947="B",$Q1947,IF($Q1947+1&gt;$K$3,"",$Q1947+1)))</f>
        <v/>
      </c>
      <c r="R1948">
        <f>IF(OR($R1947="",$R1947="T"),"",IF($R1947="B","S",IF($Q1947+1&gt;$K$3,"T",IF(INDEX($M$4:$M$2003,MATCH($Q1947+1,$P$4:$P$2003,0))&lt;&gt;INDEX($M$4:$M$2003,MATCH($Q1947,$P$4:$P$2003,0)),"B","S"))))</f>
        <v/>
      </c>
      <c r="S1948">
        <f>IF(Q1948="","",IFERROR(MATCH(Q1948,$P$4:$P$2003,0),""))</f>
        <v/>
      </c>
    </row>
    <row r="1949">
      <c r="A1949" s="4">
        <f>IF($R1949="","",IF($R1949="T","Gesamtergebnis",IF($R1949="B",INDEX($M$4:$M$2003,$S1949),INDEX($L$4:$L$2003,$S1949))))</f>
        <v/>
      </c>
      <c r="B1949" s="4">
        <f>IF($R1949="","",IF($R1949="T",$K$3,IF($R1949="B",COUNTIFS($M$4:$M$2003,INDEX($M$4:$M$2003,$S1949),$N$4:$N$2003,1),1)))</f>
        <v/>
      </c>
      <c r="L1949">
        <f>IF($K$1="","",IFERROR(INDEX(Lines!$A:$AA,ROW()-2,$K$1),""))</f>
        <v/>
      </c>
      <c r="M1949">
        <f>IF($K$2="","",IFERROR(INDEX(Lines!$A:$AA,ROW()-2,$K$2),""))</f>
        <v/>
      </c>
      <c r="N1949">
        <f>IF(AND(L1949&lt;&gt;"",LEFT(L1949,1)="N",M1949&lt;&gt;"PICKING",M1949&lt;&gt;""),1,0)</f>
        <v/>
      </c>
      <c r="O1949">
        <f>IF(N1949=1,M1949&amp;"|"&amp;L1949,REPT("z",40))</f>
        <v/>
      </c>
      <c r="P1949">
        <f>IF(N1949=1,COUNTIF($O$4:$O$2003,"&lt;"&amp;O1949)+1,"")</f>
        <v/>
      </c>
      <c r="Q1949">
        <f>IF(OR($R1948="",$R1948="T"),"",IF($R1948="B",$Q1948,IF($Q1948+1&gt;$K$3,"",$Q1948+1)))</f>
        <v/>
      </c>
      <c r="R1949">
        <f>IF(OR($R1948="",$R1948="T"),"",IF($R1948="B","S",IF($Q1948+1&gt;$K$3,"T",IF(INDEX($M$4:$M$2003,MATCH($Q1948+1,$P$4:$P$2003,0))&lt;&gt;INDEX($M$4:$M$2003,MATCH($Q1948,$P$4:$P$2003,0)),"B","S"))))</f>
        <v/>
      </c>
      <c r="S1949">
        <f>IF(Q1949="","",IFERROR(MATCH(Q1949,$P$4:$P$2003,0),""))</f>
        <v/>
      </c>
    </row>
    <row r="1950">
      <c r="A1950" s="4">
        <f>IF($R1950="","",IF($R1950="T","Gesamtergebnis",IF($R1950="B",INDEX($M$4:$M$2003,$S1950),INDEX($L$4:$L$2003,$S1950))))</f>
        <v/>
      </c>
      <c r="B1950" s="4">
        <f>IF($R1950="","",IF($R1950="T",$K$3,IF($R1950="B",COUNTIFS($M$4:$M$2003,INDEX($M$4:$M$2003,$S1950),$N$4:$N$2003,1),1)))</f>
        <v/>
      </c>
      <c r="L1950">
        <f>IF($K$1="","",IFERROR(INDEX(Lines!$A:$AA,ROW()-2,$K$1),""))</f>
        <v/>
      </c>
      <c r="M1950">
        <f>IF($K$2="","",IFERROR(INDEX(Lines!$A:$AA,ROW()-2,$K$2),""))</f>
        <v/>
      </c>
      <c r="N1950">
        <f>IF(AND(L1950&lt;&gt;"",LEFT(L1950,1)="N",M1950&lt;&gt;"PICKING",M1950&lt;&gt;""),1,0)</f>
        <v/>
      </c>
      <c r="O1950">
        <f>IF(N1950=1,M1950&amp;"|"&amp;L1950,REPT("z",40))</f>
        <v/>
      </c>
      <c r="P1950">
        <f>IF(N1950=1,COUNTIF($O$4:$O$2003,"&lt;"&amp;O1950)+1,"")</f>
        <v/>
      </c>
      <c r="Q1950">
        <f>IF(OR($R1949="",$R1949="T"),"",IF($R1949="B",$Q1949,IF($Q1949+1&gt;$K$3,"",$Q1949+1)))</f>
        <v/>
      </c>
      <c r="R1950">
        <f>IF(OR($R1949="",$R1949="T"),"",IF($R1949="B","S",IF($Q1949+1&gt;$K$3,"T",IF(INDEX($M$4:$M$2003,MATCH($Q1949+1,$P$4:$P$2003,0))&lt;&gt;INDEX($M$4:$M$2003,MATCH($Q1949,$P$4:$P$2003,0)),"B","S"))))</f>
        <v/>
      </c>
      <c r="S1950">
        <f>IF(Q1950="","",IFERROR(MATCH(Q1950,$P$4:$P$2003,0),""))</f>
        <v/>
      </c>
    </row>
    <row r="1951">
      <c r="A1951" s="4">
        <f>IF($R1951="","",IF($R1951="T","Gesamtergebnis",IF($R1951="B",INDEX($M$4:$M$2003,$S1951),INDEX($L$4:$L$2003,$S1951))))</f>
        <v/>
      </c>
      <c r="B1951" s="4">
        <f>IF($R1951="","",IF($R1951="T",$K$3,IF($R1951="B",COUNTIFS($M$4:$M$2003,INDEX($M$4:$M$2003,$S1951),$N$4:$N$2003,1),1)))</f>
        <v/>
      </c>
      <c r="L1951">
        <f>IF($K$1="","",IFERROR(INDEX(Lines!$A:$AA,ROW()-2,$K$1),""))</f>
        <v/>
      </c>
      <c r="M1951">
        <f>IF($K$2="","",IFERROR(INDEX(Lines!$A:$AA,ROW()-2,$K$2),""))</f>
        <v/>
      </c>
      <c r="N1951">
        <f>IF(AND(L1951&lt;&gt;"",LEFT(L1951,1)="N",M1951&lt;&gt;"PICKING",M1951&lt;&gt;""),1,0)</f>
        <v/>
      </c>
      <c r="O1951">
        <f>IF(N1951=1,M1951&amp;"|"&amp;L1951,REPT("z",40))</f>
        <v/>
      </c>
      <c r="P1951">
        <f>IF(N1951=1,COUNTIF($O$4:$O$2003,"&lt;"&amp;O1951)+1,"")</f>
        <v/>
      </c>
      <c r="Q1951">
        <f>IF(OR($R1950="",$R1950="T"),"",IF($R1950="B",$Q1950,IF($Q1950+1&gt;$K$3,"",$Q1950+1)))</f>
        <v/>
      </c>
      <c r="R1951">
        <f>IF(OR($R1950="",$R1950="T"),"",IF($R1950="B","S",IF($Q1950+1&gt;$K$3,"T",IF(INDEX($M$4:$M$2003,MATCH($Q1950+1,$P$4:$P$2003,0))&lt;&gt;INDEX($M$4:$M$2003,MATCH($Q1950,$P$4:$P$2003,0)),"B","S"))))</f>
        <v/>
      </c>
      <c r="S1951">
        <f>IF(Q1951="","",IFERROR(MATCH(Q1951,$P$4:$P$2003,0),""))</f>
        <v/>
      </c>
    </row>
    <row r="1952">
      <c r="A1952" s="4">
        <f>IF($R1952="","",IF($R1952="T","Gesamtergebnis",IF($R1952="B",INDEX($M$4:$M$2003,$S1952),INDEX($L$4:$L$2003,$S1952))))</f>
        <v/>
      </c>
      <c r="B1952" s="4">
        <f>IF($R1952="","",IF($R1952="T",$K$3,IF($R1952="B",COUNTIFS($M$4:$M$2003,INDEX($M$4:$M$2003,$S1952),$N$4:$N$2003,1),1)))</f>
        <v/>
      </c>
      <c r="L1952">
        <f>IF($K$1="","",IFERROR(INDEX(Lines!$A:$AA,ROW()-2,$K$1),""))</f>
        <v/>
      </c>
      <c r="M1952">
        <f>IF($K$2="","",IFERROR(INDEX(Lines!$A:$AA,ROW()-2,$K$2),""))</f>
        <v/>
      </c>
      <c r="N1952">
        <f>IF(AND(L1952&lt;&gt;"",LEFT(L1952,1)="N",M1952&lt;&gt;"PICKING",M1952&lt;&gt;""),1,0)</f>
        <v/>
      </c>
      <c r="O1952">
        <f>IF(N1952=1,M1952&amp;"|"&amp;L1952,REPT("z",40))</f>
        <v/>
      </c>
      <c r="P1952">
        <f>IF(N1952=1,COUNTIF($O$4:$O$2003,"&lt;"&amp;O1952)+1,"")</f>
        <v/>
      </c>
      <c r="Q1952">
        <f>IF(OR($R1951="",$R1951="T"),"",IF($R1951="B",$Q1951,IF($Q1951+1&gt;$K$3,"",$Q1951+1)))</f>
        <v/>
      </c>
      <c r="R1952">
        <f>IF(OR($R1951="",$R1951="T"),"",IF($R1951="B","S",IF($Q1951+1&gt;$K$3,"T",IF(INDEX($M$4:$M$2003,MATCH($Q1951+1,$P$4:$P$2003,0))&lt;&gt;INDEX($M$4:$M$2003,MATCH($Q1951,$P$4:$P$2003,0)),"B","S"))))</f>
        <v/>
      </c>
      <c r="S1952">
        <f>IF(Q1952="","",IFERROR(MATCH(Q1952,$P$4:$P$2003,0),""))</f>
        <v/>
      </c>
    </row>
    <row r="1953">
      <c r="A1953" s="4">
        <f>IF($R1953="","",IF($R1953="T","Gesamtergebnis",IF($R1953="B",INDEX($M$4:$M$2003,$S1953),INDEX($L$4:$L$2003,$S1953))))</f>
        <v/>
      </c>
      <c r="B1953" s="4">
        <f>IF($R1953="","",IF($R1953="T",$K$3,IF($R1953="B",COUNTIFS($M$4:$M$2003,INDEX($M$4:$M$2003,$S1953),$N$4:$N$2003,1),1)))</f>
        <v/>
      </c>
      <c r="L1953">
        <f>IF($K$1="","",IFERROR(INDEX(Lines!$A:$AA,ROW()-2,$K$1),""))</f>
        <v/>
      </c>
      <c r="M1953">
        <f>IF($K$2="","",IFERROR(INDEX(Lines!$A:$AA,ROW()-2,$K$2),""))</f>
        <v/>
      </c>
      <c r="N1953">
        <f>IF(AND(L1953&lt;&gt;"",LEFT(L1953,1)="N",M1953&lt;&gt;"PICKING",M1953&lt;&gt;""),1,0)</f>
        <v/>
      </c>
      <c r="O1953">
        <f>IF(N1953=1,M1953&amp;"|"&amp;L1953,REPT("z",40))</f>
        <v/>
      </c>
      <c r="P1953">
        <f>IF(N1953=1,COUNTIF($O$4:$O$2003,"&lt;"&amp;O1953)+1,"")</f>
        <v/>
      </c>
      <c r="Q1953">
        <f>IF(OR($R1952="",$R1952="T"),"",IF($R1952="B",$Q1952,IF($Q1952+1&gt;$K$3,"",$Q1952+1)))</f>
        <v/>
      </c>
      <c r="R1953">
        <f>IF(OR($R1952="",$R1952="T"),"",IF($R1952="B","S",IF($Q1952+1&gt;$K$3,"T",IF(INDEX($M$4:$M$2003,MATCH($Q1952+1,$P$4:$P$2003,0))&lt;&gt;INDEX($M$4:$M$2003,MATCH($Q1952,$P$4:$P$2003,0)),"B","S"))))</f>
        <v/>
      </c>
      <c r="S1953">
        <f>IF(Q1953="","",IFERROR(MATCH(Q1953,$P$4:$P$2003,0),""))</f>
        <v/>
      </c>
    </row>
    <row r="1954">
      <c r="A1954" s="4">
        <f>IF($R1954="","",IF($R1954="T","Gesamtergebnis",IF($R1954="B",INDEX($M$4:$M$2003,$S1954),INDEX($L$4:$L$2003,$S1954))))</f>
        <v/>
      </c>
      <c r="B1954" s="4">
        <f>IF($R1954="","",IF($R1954="T",$K$3,IF($R1954="B",COUNTIFS($M$4:$M$2003,INDEX($M$4:$M$2003,$S1954),$N$4:$N$2003,1),1)))</f>
        <v/>
      </c>
      <c r="L1954">
        <f>IF($K$1="","",IFERROR(INDEX(Lines!$A:$AA,ROW()-2,$K$1),""))</f>
        <v/>
      </c>
      <c r="M1954">
        <f>IF($K$2="","",IFERROR(INDEX(Lines!$A:$AA,ROW()-2,$K$2),""))</f>
        <v/>
      </c>
      <c r="N1954">
        <f>IF(AND(L1954&lt;&gt;"",LEFT(L1954,1)="N",M1954&lt;&gt;"PICKING",M1954&lt;&gt;""),1,0)</f>
        <v/>
      </c>
      <c r="O1954">
        <f>IF(N1954=1,M1954&amp;"|"&amp;L1954,REPT("z",40))</f>
        <v/>
      </c>
      <c r="P1954">
        <f>IF(N1954=1,COUNTIF($O$4:$O$2003,"&lt;"&amp;O1954)+1,"")</f>
        <v/>
      </c>
      <c r="Q1954">
        <f>IF(OR($R1953="",$R1953="T"),"",IF($R1953="B",$Q1953,IF($Q1953+1&gt;$K$3,"",$Q1953+1)))</f>
        <v/>
      </c>
      <c r="R1954">
        <f>IF(OR($R1953="",$R1953="T"),"",IF($R1953="B","S",IF($Q1953+1&gt;$K$3,"T",IF(INDEX($M$4:$M$2003,MATCH($Q1953+1,$P$4:$P$2003,0))&lt;&gt;INDEX($M$4:$M$2003,MATCH($Q1953,$P$4:$P$2003,0)),"B","S"))))</f>
        <v/>
      </c>
      <c r="S1954">
        <f>IF(Q1954="","",IFERROR(MATCH(Q1954,$P$4:$P$2003,0),""))</f>
        <v/>
      </c>
    </row>
    <row r="1955">
      <c r="A1955" s="4">
        <f>IF($R1955="","",IF($R1955="T","Gesamtergebnis",IF($R1955="B",INDEX($M$4:$M$2003,$S1955),INDEX($L$4:$L$2003,$S1955))))</f>
        <v/>
      </c>
      <c r="B1955" s="4">
        <f>IF($R1955="","",IF($R1955="T",$K$3,IF($R1955="B",COUNTIFS($M$4:$M$2003,INDEX($M$4:$M$2003,$S1955),$N$4:$N$2003,1),1)))</f>
        <v/>
      </c>
      <c r="L1955">
        <f>IF($K$1="","",IFERROR(INDEX(Lines!$A:$AA,ROW()-2,$K$1),""))</f>
        <v/>
      </c>
      <c r="M1955">
        <f>IF($K$2="","",IFERROR(INDEX(Lines!$A:$AA,ROW()-2,$K$2),""))</f>
        <v/>
      </c>
      <c r="N1955">
        <f>IF(AND(L1955&lt;&gt;"",LEFT(L1955,1)="N",M1955&lt;&gt;"PICKING",M1955&lt;&gt;""),1,0)</f>
        <v/>
      </c>
      <c r="O1955">
        <f>IF(N1955=1,M1955&amp;"|"&amp;L1955,REPT("z",40))</f>
        <v/>
      </c>
      <c r="P1955">
        <f>IF(N1955=1,COUNTIF($O$4:$O$2003,"&lt;"&amp;O1955)+1,"")</f>
        <v/>
      </c>
      <c r="Q1955">
        <f>IF(OR($R1954="",$R1954="T"),"",IF($R1954="B",$Q1954,IF($Q1954+1&gt;$K$3,"",$Q1954+1)))</f>
        <v/>
      </c>
      <c r="R1955">
        <f>IF(OR($R1954="",$R1954="T"),"",IF($R1954="B","S",IF($Q1954+1&gt;$K$3,"T",IF(INDEX($M$4:$M$2003,MATCH($Q1954+1,$P$4:$P$2003,0))&lt;&gt;INDEX($M$4:$M$2003,MATCH($Q1954,$P$4:$P$2003,0)),"B","S"))))</f>
        <v/>
      </c>
      <c r="S1955">
        <f>IF(Q1955="","",IFERROR(MATCH(Q1955,$P$4:$P$2003,0),""))</f>
        <v/>
      </c>
    </row>
    <row r="1956">
      <c r="A1956" s="4">
        <f>IF($R1956="","",IF($R1956="T","Gesamtergebnis",IF($R1956="B",INDEX($M$4:$M$2003,$S1956),INDEX($L$4:$L$2003,$S1956))))</f>
        <v/>
      </c>
      <c r="B1956" s="4">
        <f>IF($R1956="","",IF($R1956="T",$K$3,IF($R1956="B",COUNTIFS($M$4:$M$2003,INDEX($M$4:$M$2003,$S1956),$N$4:$N$2003,1),1)))</f>
        <v/>
      </c>
      <c r="L1956">
        <f>IF($K$1="","",IFERROR(INDEX(Lines!$A:$AA,ROW()-2,$K$1),""))</f>
        <v/>
      </c>
      <c r="M1956">
        <f>IF($K$2="","",IFERROR(INDEX(Lines!$A:$AA,ROW()-2,$K$2),""))</f>
        <v/>
      </c>
      <c r="N1956">
        <f>IF(AND(L1956&lt;&gt;"",LEFT(L1956,1)="N",M1956&lt;&gt;"PICKING",M1956&lt;&gt;""),1,0)</f>
        <v/>
      </c>
      <c r="O1956">
        <f>IF(N1956=1,M1956&amp;"|"&amp;L1956,REPT("z",40))</f>
        <v/>
      </c>
      <c r="P1956">
        <f>IF(N1956=1,COUNTIF($O$4:$O$2003,"&lt;"&amp;O1956)+1,"")</f>
        <v/>
      </c>
      <c r="Q1956">
        <f>IF(OR($R1955="",$R1955="T"),"",IF($R1955="B",$Q1955,IF($Q1955+1&gt;$K$3,"",$Q1955+1)))</f>
        <v/>
      </c>
      <c r="R1956">
        <f>IF(OR($R1955="",$R1955="T"),"",IF($R1955="B","S",IF($Q1955+1&gt;$K$3,"T",IF(INDEX($M$4:$M$2003,MATCH($Q1955+1,$P$4:$P$2003,0))&lt;&gt;INDEX($M$4:$M$2003,MATCH($Q1955,$P$4:$P$2003,0)),"B","S"))))</f>
        <v/>
      </c>
      <c r="S1956">
        <f>IF(Q1956="","",IFERROR(MATCH(Q1956,$P$4:$P$2003,0),""))</f>
        <v/>
      </c>
    </row>
    <row r="1957">
      <c r="A1957" s="4">
        <f>IF($R1957="","",IF($R1957="T","Gesamtergebnis",IF($R1957="B",INDEX($M$4:$M$2003,$S1957),INDEX($L$4:$L$2003,$S1957))))</f>
        <v/>
      </c>
      <c r="B1957" s="4">
        <f>IF($R1957="","",IF($R1957="T",$K$3,IF($R1957="B",COUNTIFS($M$4:$M$2003,INDEX($M$4:$M$2003,$S1957),$N$4:$N$2003,1),1)))</f>
        <v/>
      </c>
      <c r="L1957">
        <f>IF($K$1="","",IFERROR(INDEX(Lines!$A:$AA,ROW()-2,$K$1),""))</f>
        <v/>
      </c>
      <c r="M1957">
        <f>IF($K$2="","",IFERROR(INDEX(Lines!$A:$AA,ROW()-2,$K$2),""))</f>
        <v/>
      </c>
      <c r="N1957">
        <f>IF(AND(L1957&lt;&gt;"",LEFT(L1957,1)="N",M1957&lt;&gt;"PICKING",M1957&lt;&gt;""),1,0)</f>
        <v/>
      </c>
      <c r="O1957">
        <f>IF(N1957=1,M1957&amp;"|"&amp;L1957,REPT("z",40))</f>
        <v/>
      </c>
      <c r="P1957">
        <f>IF(N1957=1,COUNTIF($O$4:$O$2003,"&lt;"&amp;O1957)+1,"")</f>
        <v/>
      </c>
      <c r="Q1957">
        <f>IF(OR($R1956="",$R1956="T"),"",IF($R1956="B",$Q1956,IF($Q1956+1&gt;$K$3,"",$Q1956+1)))</f>
        <v/>
      </c>
      <c r="R1957">
        <f>IF(OR($R1956="",$R1956="T"),"",IF($R1956="B","S",IF($Q1956+1&gt;$K$3,"T",IF(INDEX($M$4:$M$2003,MATCH($Q1956+1,$P$4:$P$2003,0))&lt;&gt;INDEX($M$4:$M$2003,MATCH($Q1956,$P$4:$P$2003,0)),"B","S"))))</f>
        <v/>
      </c>
      <c r="S1957">
        <f>IF(Q1957="","",IFERROR(MATCH(Q1957,$P$4:$P$2003,0),""))</f>
        <v/>
      </c>
    </row>
    <row r="1958">
      <c r="A1958" s="4">
        <f>IF($R1958="","",IF($R1958="T","Gesamtergebnis",IF($R1958="B",INDEX($M$4:$M$2003,$S1958),INDEX($L$4:$L$2003,$S1958))))</f>
        <v/>
      </c>
      <c r="B1958" s="4">
        <f>IF($R1958="","",IF($R1958="T",$K$3,IF($R1958="B",COUNTIFS($M$4:$M$2003,INDEX($M$4:$M$2003,$S1958),$N$4:$N$2003,1),1)))</f>
        <v/>
      </c>
      <c r="L1958">
        <f>IF($K$1="","",IFERROR(INDEX(Lines!$A:$AA,ROW()-2,$K$1),""))</f>
        <v/>
      </c>
      <c r="M1958">
        <f>IF($K$2="","",IFERROR(INDEX(Lines!$A:$AA,ROW()-2,$K$2),""))</f>
        <v/>
      </c>
      <c r="N1958">
        <f>IF(AND(L1958&lt;&gt;"",LEFT(L1958,1)="N",M1958&lt;&gt;"PICKING",M1958&lt;&gt;""),1,0)</f>
        <v/>
      </c>
      <c r="O1958">
        <f>IF(N1958=1,M1958&amp;"|"&amp;L1958,REPT("z",40))</f>
        <v/>
      </c>
      <c r="P1958">
        <f>IF(N1958=1,COUNTIF($O$4:$O$2003,"&lt;"&amp;O1958)+1,"")</f>
        <v/>
      </c>
      <c r="Q1958">
        <f>IF(OR($R1957="",$R1957="T"),"",IF($R1957="B",$Q1957,IF($Q1957+1&gt;$K$3,"",$Q1957+1)))</f>
        <v/>
      </c>
      <c r="R1958">
        <f>IF(OR($R1957="",$R1957="T"),"",IF($R1957="B","S",IF($Q1957+1&gt;$K$3,"T",IF(INDEX($M$4:$M$2003,MATCH($Q1957+1,$P$4:$P$2003,0))&lt;&gt;INDEX($M$4:$M$2003,MATCH($Q1957,$P$4:$P$2003,0)),"B","S"))))</f>
        <v/>
      </c>
      <c r="S1958">
        <f>IF(Q1958="","",IFERROR(MATCH(Q1958,$P$4:$P$2003,0),""))</f>
        <v/>
      </c>
    </row>
    <row r="1959">
      <c r="A1959" s="4">
        <f>IF($R1959="","",IF($R1959="T","Gesamtergebnis",IF($R1959="B",INDEX($M$4:$M$2003,$S1959),INDEX($L$4:$L$2003,$S1959))))</f>
        <v/>
      </c>
      <c r="B1959" s="4">
        <f>IF($R1959="","",IF($R1959="T",$K$3,IF($R1959="B",COUNTIFS($M$4:$M$2003,INDEX($M$4:$M$2003,$S1959),$N$4:$N$2003,1),1)))</f>
        <v/>
      </c>
      <c r="L1959">
        <f>IF($K$1="","",IFERROR(INDEX(Lines!$A:$AA,ROW()-2,$K$1),""))</f>
        <v/>
      </c>
      <c r="M1959">
        <f>IF($K$2="","",IFERROR(INDEX(Lines!$A:$AA,ROW()-2,$K$2),""))</f>
        <v/>
      </c>
      <c r="N1959">
        <f>IF(AND(L1959&lt;&gt;"",LEFT(L1959,1)="N",M1959&lt;&gt;"PICKING",M1959&lt;&gt;""),1,0)</f>
        <v/>
      </c>
      <c r="O1959">
        <f>IF(N1959=1,M1959&amp;"|"&amp;L1959,REPT("z",40))</f>
        <v/>
      </c>
      <c r="P1959">
        <f>IF(N1959=1,COUNTIF($O$4:$O$2003,"&lt;"&amp;O1959)+1,"")</f>
        <v/>
      </c>
      <c r="Q1959">
        <f>IF(OR($R1958="",$R1958="T"),"",IF($R1958="B",$Q1958,IF($Q1958+1&gt;$K$3,"",$Q1958+1)))</f>
        <v/>
      </c>
      <c r="R1959">
        <f>IF(OR($R1958="",$R1958="T"),"",IF($R1958="B","S",IF($Q1958+1&gt;$K$3,"T",IF(INDEX($M$4:$M$2003,MATCH($Q1958+1,$P$4:$P$2003,0))&lt;&gt;INDEX($M$4:$M$2003,MATCH($Q1958,$P$4:$P$2003,0)),"B","S"))))</f>
        <v/>
      </c>
      <c r="S1959">
        <f>IF(Q1959="","",IFERROR(MATCH(Q1959,$P$4:$P$2003,0),""))</f>
        <v/>
      </c>
    </row>
    <row r="1960">
      <c r="A1960" s="4">
        <f>IF($R1960="","",IF($R1960="T","Gesamtergebnis",IF($R1960="B",INDEX($M$4:$M$2003,$S1960),INDEX($L$4:$L$2003,$S1960))))</f>
        <v/>
      </c>
      <c r="B1960" s="4">
        <f>IF($R1960="","",IF($R1960="T",$K$3,IF($R1960="B",COUNTIFS($M$4:$M$2003,INDEX($M$4:$M$2003,$S1960),$N$4:$N$2003,1),1)))</f>
        <v/>
      </c>
      <c r="L1960">
        <f>IF($K$1="","",IFERROR(INDEX(Lines!$A:$AA,ROW()-2,$K$1),""))</f>
        <v/>
      </c>
      <c r="M1960">
        <f>IF($K$2="","",IFERROR(INDEX(Lines!$A:$AA,ROW()-2,$K$2),""))</f>
        <v/>
      </c>
      <c r="N1960">
        <f>IF(AND(L1960&lt;&gt;"",LEFT(L1960,1)="N",M1960&lt;&gt;"PICKING",M1960&lt;&gt;""),1,0)</f>
        <v/>
      </c>
      <c r="O1960">
        <f>IF(N1960=1,M1960&amp;"|"&amp;L1960,REPT("z",40))</f>
        <v/>
      </c>
      <c r="P1960">
        <f>IF(N1960=1,COUNTIF($O$4:$O$2003,"&lt;"&amp;O1960)+1,"")</f>
        <v/>
      </c>
      <c r="Q1960">
        <f>IF(OR($R1959="",$R1959="T"),"",IF($R1959="B",$Q1959,IF($Q1959+1&gt;$K$3,"",$Q1959+1)))</f>
        <v/>
      </c>
      <c r="R1960">
        <f>IF(OR($R1959="",$R1959="T"),"",IF($R1959="B","S",IF($Q1959+1&gt;$K$3,"T",IF(INDEX($M$4:$M$2003,MATCH($Q1959+1,$P$4:$P$2003,0))&lt;&gt;INDEX($M$4:$M$2003,MATCH($Q1959,$P$4:$P$2003,0)),"B","S"))))</f>
        <v/>
      </c>
      <c r="S1960">
        <f>IF(Q1960="","",IFERROR(MATCH(Q1960,$P$4:$P$2003,0),""))</f>
        <v/>
      </c>
    </row>
    <row r="1961">
      <c r="A1961" s="4">
        <f>IF($R1961="","",IF($R1961="T","Gesamtergebnis",IF($R1961="B",INDEX($M$4:$M$2003,$S1961),INDEX($L$4:$L$2003,$S1961))))</f>
        <v/>
      </c>
      <c r="B1961" s="4">
        <f>IF($R1961="","",IF($R1961="T",$K$3,IF($R1961="B",COUNTIFS($M$4:$M$2003,INDEX($M$4:$M$2003,$S1961),$N$4:$N$2003,1),1)))</f>
        <v/>
      </c>
      <c r="L1961">
        <f>IF($K$1="","",IFERROR(INDEX(Lines!$A:$AA,ROW()-2,$K$1),""))</f>
        <v/>
      </c>
      <c r="M1961">
        <f>IF($K$2="","",IFERROR(INDEX(Lines!$A:$AA,ROW()-2,$K$2),""))</f>
        <v/>
      </c>
      <c r="N1961">
        <f>IF(AND(L1961&lt;&gt;"",LEFT(L1961,1)="N",M1961&lt;&gt;"PICKING",M1961&lt;&gt;""),1,0)</f>
        <v/>
      </c>
      <c r="O1961">
        <f>IF(N1961=1,M1961&amp;"|"&amp;L1961,REPT("z",40))</f>
        <v/>
      </c>
      <c r="P1961">
        <f>IF(N1961=1,COUNTIF($O$4:$O$2003,"&lt;"&amp;O1961)+1,"")</f>
        <v/>
      </c>
      <c r="Q1961">
        <f>IF(OR($R1960="",$R1960="T"),"",IF($R1960="B",$Q1960,IF($Q1960+1&gt;$K$3,"",$Q1960+1)))</f>
        <v/>
      </c>
      <c r="R1961">
        <f>IF(OR($R1960="",$R1960="T"),"",IF($R1960="B","S",IF($Q1960+1&gt;$K$3,"T",IF(INDEX($M$4:$M$2003,MATCH($Q1960+1,$P$4:$P$2003,0))&lt;&gt;INDEX($M$4:$M$2003,MATCH($Q1960,$P$4:$P$2003,0)),"B","S"))))</f>
        <v/>
      </c>
      <c r="S1961">
        <f>IF(Q1961="","",IFERROR(MATCH(Q1961,$P$4:$P$2003,0),""))</f>
        <v/>
      </c>
    </row>
    <row r="1962">
      <c r="A1962" s="4">
        <f>IF($R1962="","",IF($R1962="T","Gesamtergebnis",IF($R1962="B",INDEX($M$4:$M$2003,$S1962),INDEX($L$4:$L$2003,$S1962))))</f>
        <v/>
      </c>
      <c r="B1962" s="4">
        <f>IF($R1962="","",IF($R1962="T",$K$3,IF($R1962="B",COUNTIFS($M$4:$M$2003,INDEX($M$4:$M$2003,$S1962),$N$4:$N$2003,1),1)))</f>
        <v/>
      </c>
      <c r="L1962">
        <f>IF($K$1="","",IFERROR(INDEX(Lines!$A:$AA,ROW()-2,$K$1),""))</f>
        <v/>
      </c>
      <c r="M1962">
        <f>IF($K$2="","",IFERROR(INDEX(Lines!$A:$AA,ROW()-2,$K$2),""))</f>
        <v/>
      </c>
      <c r="N1962">
        <f>IF(AND(L1962&lt;&gt;"",LEFT(L1962,1)="N",M1962&lt;&gt;"PICKING",M1962&lt;&gt;""),1,0)</f>
        <v/>
      </c>
      <c r="O1962">
        <f>IF(N1962=1,M1962&amp;"|"&amp;L1962,REPT("z",40))</f>
        <v/>
      </c>
      <c r="P1962">
        <f>IF(N1962=1,COUNTIF($O$4:$O$2003,"&lt;"&amp;O1962)+1,"")</f>
        <v/>
      </c>
      <c r="Q1962">
        <f>IF(OR($R1961="",$R1961="T"),"",IF($R1961="B",$Q1961,IF($Q1961+1&gt;$K$3,"",$Q1961+1)))</f>
        <v/>
      </c>
      <c r="R1962">
        <f>IF(OR($R1961="",$R1961="T"),"",IF($R1961="B","S",IF($Q1961+1&gt;$K$3,"T",IF(INDEX($M$4:$M$2003,MATCH($Q1961+1,$P$4:$P$2003,0))&lt;&gt;INDEX($M$4:$M$2003,MATCH($Q1961,$P$4:$P$2003,0)),"B","S"))))</f>
        <v/>
      </c>
      <c r="S1962">
        <f>IF(Q1962="","",IFERROR(MATCH(Q1962,$P$4:$P$2003,0),""))</f>
        <v/>
      </c>
    </row>
    <row r="1963">
      <c r="A1963" s="4">
        <f>IF($R1963="","",IF($R1963="T","Gesamtergebnis",IF($R1963="B",INDEX($M$4:$M$2003,$S1963),INDEX($L$4:$L$2003,$S1963))))</f>
        <v/>
      </c>
      <c r="B1963" s="4">
        <f>IF($R1963="","",IF($R1963="T",$K$3,IF($R1963="B",COUNTIFS($M$4:$M$2003,INDEX($M$4:$M$2003,$S1963),$N$4:$N$2003,1),1)))</f>
        <v/>
      </c>
      <c r="L1963">
        <f>IF($K$1="","",IFERROR(INDEX(Lines!$A:$AA,ROW()-2,$K$1),""))</f>
        <v/>
      </c>
      <c r="M1963">
        <f>IF($K$2="","",IFERROR(INDEX(Lines!$A:$AA,ROW()-2,$K$2),""))</f>
        <v/>
      </c>
      <c r="N1963">
        <f>IF(AND(L1963&lt;&gt;"",LEFT(L1963,1)="N",M1963&lt;&gt;"PICKING",M1963&lt;&gt;""),1,0)</f>
        <v/>
      </c>
      <c r="O1963">
        <f>IF(N1963=1,M1963&amp;"|"&amp;L1963,REPT("z",40))</f>
        <v/>
      </c>
      <c r="P1963">
        <f>IF(N1963=1,COUNTIF($O$4:$O$2003,"&lt;"&amp;O1963)+1,"")</f>
        <v/>
      </c>
      <c r="Q1963">
        <f>IF(OR($R1962="",$R1962="T"),"",IF($R1962="B",$Q1962,IF($Q1962+1&gt;$K$3,"",$Q1962+1)))</f>
        <v/>
      </c>
      <c r="R1963">
        <f>IF(OR($R1962="",$R1962="T"),"",IF($R1962="B","S",IF($Q1962+1&gt;$K$3,"T",IF(INDEX($M$4:$M$2003,MATCH($Q1962+1,$P$4:$P$2003,0))&lt;&gt;INDEX($M$4:$M$2003,MATCH($Q1962,$P$4:$P$2003,0)),"B","S"))))</f>
        <v/>
      </c>
      <c r="S1963">
        <f>IF(Q1963="","",IFERROR(MATCH(Q1963,$P$4:$P$2003,0),""))</f>
        <v/>
      </c>
    </row>
    <row r="1964">
      <c r="A1964" s="4">
        <f>IF($R1964="","",IF($R1964="T","Gesamtergebnis",IF($R1964="B",INDEX($M$4:$M$2003,$S1964),INDEX($L$4:$L$2003,$S1964))))</f>
        <v/>
      </c>
      <c r="B1964" s="4">
        <f>IF($R1964="","",IF($R1964="T",$K$3,IF($R1964="B",COUNTIFS($M$4:$M$2003,INDEX($M$4:$M$2003,$S1964),$N$4:$N$2003,1),1)))</f>
        <v/>
      </c>
      <c r="L1964">
        <f>IF($K$1="","",IFERROR(INDEX(Lines!$A:$AA,ROW()-2,$K$1),""))</f>
        <v/>
      </c>
      <c r="M1964">
        <f>IF($K$2="","",IFERROR(INDEX(Lines!$A:$AA,ROW()-2,$K$2),""))</f>
        <v/>
      </c>
      <c r="N1964">
        <f>IF(AND(L1964&lt;&gt;"",LEFT(L1964,1)="N",M1964&lt;&gt;"PICKING",M1964&lt;&gt;""),1,0)</f>
        <v/>
      </c>
      <c r="O1964">
        <f>IF(N1964=1,M1964&amp;"|"&amp;L1964,REPT("z",40))</f>
        <v/>
      </c>
      <c r="P1964">
        <f>IF(N1964=1,COUNTIF($O$4:$O$2003,"&lt;"&amp;O1964)+1,"")</f>
        <v/>
      </c>
      <c r="Q1964">
        <f>IF(OR($R1963="",$R1963="T"),"",IF($R1963="B",$Q1963,IF($Q1963+1&gt;$K$3,"",$Q1963+1)))</f>
        <v/>
      </c>
      <c r="R1964">
        <f>IF(OR($R1963="",$R1963="T"),"",IF($R1963="B","S",IF($Q1963+1&gt;$K$3,"T",IF(INDEX($M$4:$M$2003,MATCH($Q1963+1,$P$4:$P$2003,0))&lt;&gt;INDEX($M$4:$M$2003,MATCH($Q1963,$P$4:$P$2003,0)),"B","S"))))</f>
        <v/>
      </c>
      <c r="S1964">
        <f>IF(Q1964="","",IFERROR(MATCH(Q1964,$P$4:$P$2003,0),""))</f>
        <v/>
      </c>
    </row>
    <row r="1965">
      <c r="A1965" s="4">
        <f>IF($R1965="","",IF($R1965="T","Gesamtergebnis",IF($R1965="B",INDEX($M$4:$M$2003,$S1965),INDEX($L$4:$L$2003,$S1965))))</f>
        <v/>
      </c>
      <c r="B1965" s="4">
        <f>IF($R1965="","",IF($R1965="T",$K$3,IF($R1965="B",COUNTIFS($M$4:$M$2003,INDEX($M$4:$M$2003,$S1965),$N$4:$N$2003,1),1)))</f>
        <v/>
      </c>
      <c r="L1965">
        <f>IF($K$1="","",IFERROR(INDEX(Lines!$A:$AA,ROW()-2,$K$1),""))</f>
        <v/>
      </c>
      <c r="M1965">
        <f>IF($K$2="","",IFERROR(INDEX(Lines!$A:$AA,ROW()-2,$K$2),""))</f>
        <v/>
      </c>
      <c r="N1965">
        <f>IF(AND(L1965&lt;&gt;"",LEFT(L1965,1)="N",M1965&lt;&gt;"PICKING",M1965&lt;&gt;""),1,0)</f>
        <v/>
      </c>
      <c r="O1965">
        <f>IF(N1965=1,M1965&amp;"|"&amp;L1965,REPT("z",40))</f>
        <v/>
      </c>
      <c r="P1965">
        <f>IF(N1965=1,COUNTIF($O$4:$O$2003,"&lt;"&amp;O1965)+1,"")</f>
        <v/>
      </c>
      <c r="Q1965">
        <f>IF(OR($R1964="",$R1964="T"),"",IF($R1964="B",$Q1964,IF($Q1964+1&gt;$K$3,"",$Q1964+1)))</f>
        <v/>
      </c>
      <c r="R1965">
        <f>IF(OR($R1964="",$R1964="T"),"",IF($R1964="B","S",IF($Q1964+1&gt;$K$3,"T",IF(INDEX($M$4:$M$2003,MATCH($Q1964+1,$P$4:$P$2003,0))&lt;&gt;INDEX($M$4:$M$2003,MATCH($Q1964,$P$4:$P$2003,0)),"B","S"))))</f>
        <v/>
      </c>
      <c r="S1965">
        <f>IF(Q1965="","",IFERROR(MATCH(Q1965,$P$4:$P$2003,0),""))</f>
        <v/>
      </c>
    </row>
    <row r="1966">
      <c r="A1966" s="4">
        <f>IF($R1966="","",IF($R1966="T","Gesamtergebnis",IF($R1966="B",INDEX($M$4:$M$2003,$S1966),INDEX($L$4:$L$2003,$S1966))))</f>
        <v/>
      </c>
      <c r="B1966" s="4">
        <f>IF($R1966="","",IF($R1966="T",$K$3,IF($R1966="B",COUNTIFS($M$4:$M$2003,INDEX($M$4:$M$2003,$S1966),$N$4:$N$2003,1),1)))</f>
        <v/>
      </c>
      <c r="L1966">
        <f>IF($K$1="","",IFERROR(INDEX(Lines!$A:$AA,ROW()-2,$K$1),""))</f>
        <v/>
      </c>
      <c r="M1966">
        <f>IF($K$2="","",IFERROR(INDEX(Lines!$A:$AA,ROW()-2,$K$2),""))</f>
        <v/>
      </c>
      <c r="N1966">
        <f>IF(AND(L1966&lt;&gt;"",LEFT(L1966,1)="N",M1966&lt;&gt;"PICKING",M1966&lt;&gt;""),1,0)</f>
        <v/>
      </c>
      <c r="O1966">
        <f>IF(N1966=1,M1966&amp;"|"&amp;L1966,REPT("z",40))</f>
        <v/>
      </c>
      <c r="P1966">
        <f>IF(N1966=1,COUNTIF($O$4:$O$2003,"&lt;"&amp;O1966)+1,"")</f>
        <v/>
      </c>
      <c r="Q1966">
        <f>IF(OR($R1965="",$R1965="T"),"",IF($R1965="B",$Q1965,IF($Q1965+1&gt;$K$3,"",$Q1965+1)))</f>
        <v/>
      </c>
      <c r="R1966">
        <f>IF(OR($R1965="",$R1965="T"),"",IF($R1965="B","S",IF($Q1965+1&gt;$K$3,"T",IF(INDEX($M$4:$M$2003,MATCH($Q1965+1,$P$4:$P$2003,0))&lt;&gt;INDEX($M$4:$M$2003,MATCH($Q1965,$P$4:$P$2003,0)),"B","S"))))</f>
        <v/>
      </c>
      <c r="S1966">
        <f>IF(Q1966="","",IFERROR(MATCH(Q1966,$P$4:$P$2003,0),""))</f>
        <v/>
      </c>
    </row>
    <row r="1967">
      <c r="A1967" s="4">
        <f>IF($R1967="","",IF($R1967="T","Gesamtergebnis",IF($R1967="B",INDEX($M$4:$M$2003,$S1967),INDEX($L$4:$L$2003,$S1967))))</f>
        <v/>
      </c>
      <c r="B1967" s="4">
        <f>IF($R1967="","",IF($R1967="T",$K$3,IF($R1967="B",COUNTIFS($M$4:$M$2003,INDEX($M$4:$M$2003,$S1967),$N$4:$N$2003,1),1)))</f>
        <v/>
      </c>
      <c r="L1967">
        <f>IF($K$1="","",IFERROR(INDEX(Lines!$A:$AA,ROW()-2,$K$1),""))</f>
        <v/>
      </c>
      <c r="M1967">
        <f>IF($K$2="","",IFERROR(INDEX(Lines!$A:$AA,ROW()-2,$K$2),""))</f>
        <v/>
      </c>
      <c r="N1967">
        <f>IF(AND(L1967&lt;&gt;"",LEFT(L1967,1)="N",M1967&lt;&gt;"PICKING",M1967&lt;&gt;""),1,0)</f>
        <v/>
      </c>
      <c r="O1967">
        <f>IF(N1967=1,M1967&amp;"|"&amp;L1967,REPT("z",40))</f>
        <v/>
      </c>
      <c r="P1967">
        <f>IF(N1967=1,COUNTIF($O$4:$O$2003,"&lt;"&amp;O1967)+1,"")</f>
        <v/>
      </c>
      <c r="Q1967">
        <f>IF(OR($R1966="",$R1966="T"),"",IF($R1966="B",$Q1966,IF($Q1966+1&gt;$K$3,"",$Q1966+1)))</f>
        <v/>
      </c>
      <c r="R1967">
        <f>IF(OR($R1966="",$R1966="T"),"",IF($R1966="B","S",IF($Q1966+1&gt;$K$3,"T",IF(INDEX($M$4:$M$2003,MATCH($Q1966+1,$P$4:$P$2003,0))&lt;&gt;INDEX($M$4:$M$2003,MATCH($Q1966,$P$4:$P$2003,0)),"B","S"))))</f>
        <v/>
      </c>
      <c r="S1967">
        <f>IF(Q1967="","",IFERROR(MATCH(Q1967,$P$4:$P$2003,0),""))</f>
        <v/>
      </c>
    </row>
    <row r="1968">
      <c r="A1968" s="4">
        <f>IF($R1968="","",IF($R1968="T","Gesamtergebnis",IF($R1968="B",INDEX($M$4:$M$2003,$S1968),INDEX($L$4:$L$2003,$S1968))))</f>
        <v/>
      </c>
      <c r="B1968" s="4">
        <f>IF($R1968="","",IF($R1968="T",$K$3,IF($R1968="B",COUNTIFS($M$4:$M$2003,INDEX($M$4:$M$2003,$S1968),$N$4:$N$2003,1),1)))</f>
        <v/>
      </c>
      <c r="L1968">
        <f>IF($K$1="","",IFERROR(INDEX(Lines!$A:$AA,ROW()-2,$K$1),""))</f>
        <v/>
      </c>
      <c r="M1968">
        <f>IF($K$2="","",IFERROR(INDEX(Lines!$A:$AA,ROW()-2,$K$2),""))</f>
        <v/>
      </c>
      <c r="N1968">
        <f>IF(AND(L1968&lt;&gt;"",LEFT(L1968,1)="N",M1968&lt;&gt;"PICKING",M1968&lt;&gt;""),1,0)</f>
        <v/>
      </c>
      <c r="O1968">
        <f>IF(N1968=1,M1968&amp;"|"&amp;L1968,REPT("z",40))</f>
        <v/>
      </c>
      <c r="P1968">
        <f>IF(N1968=1,COUNTIF($O$4:$O$2003,"&lt;"&amp;O1968)+1,"")</f>
        <v/>
      </c>
      <c r="Q1968">
        <f>IF(OR($R1967="",$R1967="T"),"",IF($R1967="B",$Q1967,IF($Q1967+1&gt;$K$3,"",$Q1967+1)))</f>
        <v/>
      </c>
      <c r="R1968">
        <f>IF(OR($R1967="",$R1967="T"),"",IF($R1967="B","S",IF($Q1967+1&gt;$K$3,"T",IF(INDEX($M$4:$M$2003,MATCH($Q1967+1,$P$4:$P$2003,0))&lt;&gt;INDEX($M$4:$M$2003,MATCH($Q1967,$P$4:$P$2003,0)),"B","S"))))</f>
        <v/>
      </c>
      <c r="S1968">
        <f>IF(Q1968="","",IFERROR(MATCH(Q1968,$P$4:$P$2003,0),""))</f>
        <v/>
      </c>
    </row>
    <row r="1969">
      <c r="A1969" s="4">
        <f>IF($R1969="","",IF($R1969="T","Gesamtergebnis",IF($R1969="B",INDEX($M$4:$M$2003,$S1969),INDEX($L$4:$L$2003,$S1969))))</f>
        <v/>
      </c>
      <c r="B1969" s="4">
        <f>IF($R1969="","",IF($R1969="T",$K$3,IF($R1969="B",COUNTIFS($M$4:$M$2003,INDEX($M$4:$M$2003,$S1969),$N$4:$N$2003,1),1)))</f>
        <v/>
      </c>
      <c r="L1969">
        <f>IF($K$1="","",IFERROR(INDEX(Lines!$A:$AA,ROW()-2,$K$1),""))</f>
        <v/>
      </c>
      <c r="M1969">
        <f>IF($K$2="","",IFERROR(INDEX(Lines!$A:$AA,ROW()-2,$K$2),""))</f>
        <v/>
      </c>
      <c r="N1969">
        <f>IF(AND(L1969&lt;&gt;"",LEFT(L1969,1)="N",M1969&lt;&gt;"PICKING",M1969&lt;&gt;""),1,0)</f>
        <v/>
      </c>
      <c r="O1969">
        <f>IF(N1969=1,M1969&amp;"|"&amp;L1969,REPT("z",40))</f>
        <v/>
      </c>
      <c r="P1969">
        <f>IF(N1969=1,COUNTIF($O$4:$O$2003,"&lt;"&amp;O1969)+1,"")</f>
        <v/>
      </c>
      <c r="Q1969">
        <f>IF(OR($R1968="",$R1968="T"),"",IF($R1968="B",$Q1968,IF($Q1968+1&gt;$K$3,"",$Q1968+1)))</f>
        <v/>
      </c>
      <c r="R1969">
        <f>IF(OR($R1968="",$R1968="T"),"",IF($R1968="B","S",IF($Q1968+1&gt;$K$3,"T",IF(INDEX($M$4:$M$2003,MATCH($Q1968+1,$P$4:$P$2003,0))&lt;&gt;INDEX($M$4:$M$2003,MATCH($Q1968,$P$4:$P$2003,0)),"B","S"))))</f>
        <v/>
      </c>
      <c r="S1969">
        <f>IF(Q1969="","",IFERROR(MATCH(Q1969,$P$4:$P$2003,0),""))</f>
        <v/>
      </c>
    </row>
    <row r="1970">
      <c r="A1970" s="4">
        <f>IF($R1970="","",IF($R1970="T","Gesamtergebnis",IF($R1970="B",INDEX($M$4:$M$2003,$S1970),INDEX($L$4:$L$2003,$S1970))))</f>
        <v/>
      </c>
      <c r="B1970" s="4">
        <f>IF($R1970="","",IF($R1970="T",$K$3,IF($R1970="B",COUNTIFS($M$4:$M$2003,INDEX($M$4:$M$2003,$S1970),$N$4:$N$2003,1),1)))</f>
        <v/>
      </c>
      <c r="L1970">
        <f>IF($K$1="","",IFERROR(INDEX(Lines!$A:$AA,ROW()-2,$K$1),""))</f>
        <v/>
      </c>
      <c r="M1970">
        <f>IF($K$2="","",IFERROR(INDEX(Lines!$A:$AA,ROW()-2,$K$2),""))</f>
        <v/>
      </c>
      <c r="N1970">
        <f>IF(AND(L1970&lt;&gt;"",LEFT(L1970,1)="N",M1970&lt;&gt;"PICKING",M1970&lt;&gt;""),1,0)</f>
        <v/>
      </c>
      <c r="O1970">
        <f>IF(N1970=1,M1970&amp;"|"&amp;L1970,REPT("z",40))</f>
        <v/>
      </c>
      <c r="P1970">
        <f>IF(N1970=1,COUNTIF($O$4:$O$2003,"&lt;"&amp;O1970)+1,"")</f>
        <v/>
      </c>
      <c r="Q1970">
        <f>IF(OR($R1969="",$R1969="T"),"",IF($R1969="B",$Q1969,IF($Q1969+1&gt;$K$3,"",$Q1969+1)))</f>
        <v/>
      </c>
      <c r="R1970">
        <f>IF(OR($R1969="",$R1969="T"),"",IF($R1969="B","S",IF($Q1969+1&gt;$K$3,"T",IF(INDEX($M$4:$M$2003,MATCH($Q1969+1,$P$4:$P$2003,0))&lt;&gt;INDEX($M$4:$M$2003,MATCH($Q1969,$P$4:$P$2003,0)),"B","S"))))</f>
        <v/>
      </c>
      <c r="S1970">
        <f>IF(Q1970="","",IFERROR(MATCH(Q1970,$P$4:$P$2003,0),""))</f>
        <v/>
      </c>
    </row>
    <row r="1971">
      <c r="A1971" s="4">
        <f>IF($R1971="","",IF($R1971="T","Gesamtergebnis",IF($R1971="B",INDEX($M$4:$M$2003,$S1971),INDEX($L$4:$L$2003,$S1971))))</f>
        <v/>
      </c>
      <c r="B1971" s="4">
        <f>IF($R1971="","",IF($R1971="T",$K$3,IF($R1971="B",COUNTIFS($M$4:$M$2003,INDEX($M$4:$M$2003,$S1971),$N$4:$N$2003,1),1)))</f>
        <v/>
      </c>
      <c r="L1971">
        <f>IF($K$1="","",IFERROR(INDEX(Lines!$A:$AA,ROW()-2,$K$1),""))</f>
        <v/>
      </c>
      <c r="M1971">
        <f>IF($K$2="","",IFERROR(INDEX(Lines!$A:$AA,ROW()-2,$K$2),""))</f>
        <v/>
      </c>
      <c r="N1971">
        <f>IF(AND(L1971&lt;&gt;"",LEFT(L1971,1)="N",M1971&lt;&gt;"PICKING",M1971&lt;&gt;""),1,0)</f>
        <v/>
      </c>
      <c r="O1971">
        <f>IF(N1971=1,M1971&amp;"|"&amp;L1971,REPT("z",40))</f>
        <v/>
      </c>
      <c r="P1971">
        <f>IF(N1971=1,COUNTIF($O$4:$O$2003,"&lt;"&amp;O1971)+1,"")</f>
        <v/>
      </c>
      <c r="Q1971">
        <f>IF(OR($R1970="",$R1970="T"),"",IF($R1970="B",$Q1970,IF($Q1970+1&gt;$K$3,"",$Q1970+1)))</f>
        <v/>
      </c>
      <c r="R1971">
        <f>IF(OR($R1970="",$R1970="T"),"",IF($R1970="B","S",IF($Q1970+1&gt;$K$3,"T",IF(INDEX($M$4:$M$2003,MATCH($Q1970+1,$P$4:$P$2003,0))&lt;&gt;INDEX($M$4:$M$2003,MATCH($Q1970,$P$4:$P$2003,0)),"B","S"))))</f>
        <v/>
      </c>
      <c r="S1971">
        <f>IF(Q1971="","",IFERROR(MATCH(Q1971,$P$4:$P$2003,0),""))</f>
        <v/>
      </c>
    </row>
    <row r="1972">
      <c r="A1972" s="4">
        <f>IF($R1972="","",IF($R1972="T","Gesamtergebnis",IF($R1972="B",INDEX($M$4:$M$2003,$S1972),INDEX($L$4:$L$2003,$S1972))))</f>
        <v/>
      </c>
      <c r="B1972" s="4">
        <f>IF($R1972="","",IF($R1972="T",$K$3,IF($R1972="B",COUNTIFS($M$4:$M$2003,INDEX($M$4:$M$2003,$S1972),$N$4:$N$2003,1),1)))</f>
        <v/>
      </c>
      <c r="L1972">
        <f>IF($K$1="","",IFERROR(INDEX(Lines!$A:$AA,ROW()-2,$K$1),""))</f>
        <v/>
      </c>
      <c r="M1972">
        <f>IF($K$2="","",IFERROR(INDEX(Lines!$A:$AA,ROW()-2,$K$2),""))</f>
        <v/>
      </c>
      <c r="N1972">
        <f>IF(AND(L1972&lt;&gt;"",LEFT(L1972,1)="N",M1972&lt;&gt;"PICKING",M1972&lt;&gt;""),1,0)</f>
        <v/>
      </c>
      <c r="O1972">
        <f>IF(N1972=1,M1972&amp;"|"&amp;L1972,REPT("z",40))</f>
        <v/>
      </c>
      <c r="P1972">
        <f>IF(N1972=1,COUNTIF($O$4:$O$2003,"&lt;"&amp;O1972)+1,"")</f>
        <v/>
      </c>
      <c r="Q1972">
        <f>IF(OR($R1971="",$R1971="T"),"",IF($R1971="B",$Q1971,IF($Q1971+1&gt;$K$3,"",$Q1971+1)))</f>
        <v/>
      </c>
      <c r="R1972">
        <f>IF(OR($R1971="",$R1971="T"),"",IF($R1971="B","S",IF($Q1971+1&gt;$K$3,"T",IF(INDEX($M$4:$M$2003,MATCH($Q1971+1,$P$4:$P$2003,0))&lt;&gt;INDEX($M$4:$M$2003,MATCH($Q1971,$P$4:$P$2003,0)),"B","S"))))</f>
        <v/>
      </c>
      <c r="S1972">
        <f>IF(Q1972="","",IFERROR(MATCH(Q1972,$P$4:$P$2003,0),""))</f>
        <v/>
      </c>
    </row>
    <row r="1973">
      <c r="A1973" s="4">
        <f>IF($R1973="","",IF($R1973="T","Gesamtergebnis",IF($R1973="B",INDEX($M$4:$M$2003,$S1973),INDEX($L$4:$L$2003,$S1973))))</f>
        <v/>
      </c>
      <c r="B1973" s="4">
        <f>IF($R1973="","",IF($R1973="T",$K$3,IF($R1973="B",COUNTIFS($M$4:$M$2003,INDEX($M$4:$M$2003,$S1973),$N$4:$N$2003,1),1)))</f>
        <v/>
      </c>
      <c r="L1973">
        <f>IF($K$1="","",IFERROR(INDEX(Lines!$A:$AA,ROW()-2,$K$1),""))</f>
        <v/>
      </c>
      <c r="M1973">
        <f>IF($K$2="","",IFERROR(INDEX(Lines!$A:$AA,ROW()-2,$K$2),""))</f>
        <v/>
      </c>
      <c r="N1973">
        <f>IF(AND(L1973&lt;&gt;"",LEFT(L1973,1)="N",M1973&lt;&gt;"PICKING",M1973&lt;&gt;""),1,0)</f>
        <v/>
      </c>
      <c r="O1973">
        <f>IF(N1973=1,M1973&amp;"|"&amp;L1973,REPT("z",40))</f>
        <v/>
      </c>
      <c r="P1973">
        <f>IF(N1973=1,COUNTIF($O$4:$O$2003,"&lt;"&amp;O1973)+1,"")</f>
        <v/>
      </c>
      <c r="Q1973">
        <f>IF(OR($R1972="",$R1972="T"),"",IF($R1972="B",$Q1972,IF($Q1972+1&gt;$K$3,"",$Q1972+1)))</f>
        <v/>
      </c>
      <c r="R1973">
        <f>IF(OR($R1972="",$R1972="T"),"",IF($R1972="B","S",IF($Q1972+1&gt;$K$3,"T",IF(INDEX($M$4:$M$2003,MATCH($Q1972+1,$P$4:$P$2003,0))&lt;&gt;INDEX($M$4:$M$2003,MATCH($Q1972,$P$4:$P$2003,0)),"B","S"))))</f>
        <v/>
      </c>
      <c r="S1973">
        <f>IF(Q1973="","",IFERROR(MATCH(Q1973,$P$4:$P$2003,0),""))</f>
        <v/>
      </c>
    </row>
    <row r="1974">
      <c r="A1974" s="4">
        <f>IF($R1974="","",IF($R1974="T","Gesamtergebnis",IF($R1974="B",INDEX($M$4:$M$2003,$S1974),INDEX($L$4:$L$2003,$S1974))))</f>
        <v/>
      </c>
      <c r="B1974" s="4">
        <f>IF($R1974="","",IF($R1974="T",$K$3,IF($R1974="B",COUNTIFS($M$4:$M$2003,INDEX($M$4:$M$2003,$S1974),$N$4:$N$2003,1),1)))</f>
        <v/>
      </c>
      <c r="L1974">
        <f>IF($K$1="","",IFERROR(INDEX(Lines!$A:$AA,ROW()-2,$K$1),""))</f>
        <v/>
      </c>
      <c r="M1974">
        <f>IF($K$2="","",IFERROR(INDEX(Lines!$A:$AA,ROW()-2,$K$2),""))</f>
        <v/>
      </c>
      <c r="N1974">
        <f>IF(AND(L1974&lt;&gt;"",LEFT(L1974,1)="N",M1974&lt;&gt;"PICKING",M1974&lt;&gt;""),1,0)</f>
        <v/>
      </c>
      <c r="O1974">
        <f>IF(N1974=1,M1974&amp;"|"&amp;L1974,REPT("z",40))</f>
        <v/>
      </c>
      <c r="P1974">
        <f>IF(N1974=1,COUNTIF($O$4:$O$2003,"&lt;"&amp;O1974)+1,"")</f>
        <v/>
      </c>
      <c r="Q1974">
        <f>IF(OR($R1973="",$R1973="T"),"",IF($R1973="B",$Q1973,IF($Q1973+1&gt;$K$3,"",$Q1973+1)))</f>
        <v/>
      </c>
      <c r="R1974">
        <f>IF(OR($R1973="",$R1973="T"),"",IF($R1973="B","S",IF($Q1973+1&gt;$K$3,"T",IF(INDEX($M$4:$M$2003,MATCH($Q1973+1,$P$4:$P$2003,0))&lt;&gt;INDEX($M$4:$M$2003,MATCH($Q1973,$P$4:$P$2003,0)),"B","S"))))</f>
        <v/>
      </c>
      <c r="S1974">
        <f>IF(Q1974="","",IFERROR(MATCH(Q1974,$P$4:$P$2003,0),""))</f>
        <v/>
      </c>
    </row>
    <row r="1975">
      <c r="A1975" s="4">
        <f>IF($R1975="","",IF($R1975="T","Gesamtergebnis",IF($R1975="B",INDEX($M$4:$M$2003,$S1975),INDEX($L$4:$L$2003,$S1975))))</f>
        <v/>
      </c>
      <c r="B1975" s="4">
        <f>IF($R1975="","",IF($R1975="T",$K$3,IF($R1975="B",COUNTIFS($M$4:$M$2003,INDEX($M$4:$M$2003,$S1975),$N$4:$N$2003,1),1)))</f>
        <v/>
      </c>
      <c r="L1975">
        <f>IF($K$1="","",IFERROR(INDEX(Lines!$A:$AA,ROW()-2,$K$1),""))</f>
        <v/>
      </c>
      <c r="M1975">
        <f>IF($K$2="","",IFERROR(INDEX(Lines!$A:$AA,ROW()-2,$K$2),""))</f>
        <v/>
      </c>
      <c r="N1975">
        <f>IF(AND(L1975&lt;&gt;"",LEFT(L1975,1)="N",M1975&lt;&gt;"PICKING",M1975&lt;&gt;""),1,0)</f>
        <v/>
      </c>
      <c r="O1975">
        <f>IF(N1975=1,M1975&amp;"|"&amp;L1975,REPT("z",40))</f>
        <v/>
      </c>
      <c r="P1975">
        <f>IF(N1975=1,COUNTIF($O$4:$O$2003,"&lt;"&amp;O1975)+1,"")</f>
        <v/>
      </c>
      <c r="Q1975">
        <f>IF(OR($R1974="",$R1974="T"),"",IF($R1974="B",$Q1974,IF($Q1974+1&gt;$K$3,"",$Q1974+1)))</f>
        <v/>
      </c>
      <c r="R1975">
        <f>IF(OR($R1974="",$R1974="T"),"",IF($R1974="B","S",IF($Q1974+1&gt;$K$3,"T",IF(INDEX($M$4:$M$2003,MATCH($Q1974+1,$P$4:$P$2003,0))&lt;&gt;INDEX($M$4:$M$2003,MATCH($Q1974,$P$4:$P$2003,0)),"B","S"))))</f>
        <v/>
      </c>
      <c r="S1975">
        <f>IF(Q1975="","",IFERROR(MATCH(Q1975,$P$4:$P$2003,0),""))</f>
        <v/>
      </c>
    </row>
    <row r="1976">
      <c r="A1976" s="4">
        <f>IF($R1976="","",IF($R1976="T","Gesamtergebnis",IF($R1976="B",INDEX($M$4:$M$2003,$S1976),INDEX($L$4:$L$2003,$S1976))))</f>
        <v/>
      </c>
      <c r="B1976" s="4">
        <f>IF($R1976="","",IF($R1976="T",$K$3,IF($R1976="B",COUNTIFS($M$4:$M$2003,INDEX($M$4:$M$2003,$S1976),$N$4:$N$2003,1),1)))</f>
        <v/>
      </c>
      <c r="L1976">
        <f>IF($K$1="","",IFERROR(INDEX(Lines!$A:$AA,ROW()-2,$K$1),""))</f>
        <v/>
      </c>
      <c r="M1976">
        <f>IF($K$2="","",IFERROR(INDEX(Lines!$A:$AA,ROW()-2,$K$2),""))</f>
        <v/>
      </c>
      <c r="N1976">
        <f>IF(AND(L1976&lt;&gt;"",LEFT(L1976,1)="N",M1976&lt;&gt;"PICKING",M1976&lt;&gt;""),1,0)</f>
        <v/>
      </c>
      <c r="O1976">
        <f>IF(N1976=1,M1976&amp;"|"&amp;L1976,REPT("z",40))</f>
        <v/>
      </c>
      <c r="P1976">
        <f>IF(N1976=1,COUNTIF($O$4:$O$2003,"&lt;"&amp;O1976)+1,"")</f>
        <v/>
      </c>
      <c r="Q1976">
        <f>IF(OR($R1975="",$R1975="T"),"",IF($R1975="B",$Q1975,IF($Q1975+1&gt;$K$3,"",$Q1975+1)))</f>
        <v/>
      </c>
      <c r="R1976">
        <f>IF(OR($R1975="",$R1975="T"),"",IF($R1975="B","S",IF($Q1975+1&gt;$K$3,"T",IF(INDEX($M$4:$M$2003,MATCH($Q1975+1,$P$4:$P$2003,0))&lt;&gt;INDEX($M$4:$M$2003,MATCH($Q1975,$P$4:$P$2003,0)),"B","S"))))</f>
        <v/>
      </c>
      <c r="S1976">
        <f>IF(Q1976="","",IFERROR(MATCH(Q1976,$P$4:$P$2003,0),""))</f>
        <v/>
      </c>
    </row>
    <row r="1977">
      <c r="A1977" s="4">
        <f>IF($R1977="","",IF($R1977="T","Gesamtergebnis",IF($R1977="B",INDEX($M$4:$M$2003,$S1977),INDEX($L$4:$L$2003,$S1977))))</f>
        <v/>
      </c>
      <c r="B1977" s="4">
        <f>IF($R1977="","",IF($R1977="T",$K$3,IF($R1977="B",COUNTIFS($M$4:$M$2003,INDEX($M$4:$M$2003,$S1977),$N$4:$N$2003,1),1)))</f>
        <v/>
      </c>
      <c r="L1977">
        <f>IF($K$1="","",IFERROR(INDEX(Lines!$A:$AA,ROW()-2,$K$1),""))</f>
        <v/>
      </c>
      <c r="M1977">
        <f>IF($K$2="","",IFERROR(INDEX(Lines!$A:$AA,ROW()-2,$K$2),""))</f>
        <v/>
      </c>
      <c r="N1977">
        <f>IF(AND(L1977&lt;&gt;"",LEFT(L1977,1)="N",M1977&lt;&gt;"PICKING",M1977&lt;&gt;""),1,0)</f>
        <v/>
      </c>
      <c r="O1977">
        <f>IF(N1977=1,M1977&amp;"|"&amp;L1977,REPT("z",40))</f>
        <v/>
      </c>
      <c r="P1977">
        <f>IF(N1977=1,COUNTIF($O$4:$O$2003,"&lt;"&amp;O1977)+1,"")</f>
        <v/>
      </c>
      <c r="Q1977">
        <f>IF(OR($R1976="",$R1976="T"),"",IF($R1976="B",$Q1976,IF($Q1976+1&gt;$K$3,"",$Q1976+1)))</f>
        <v/>
      </c>
      <c r="R1977">
        <f>IF(OR($R1976="",$R1976="T"),"",IF($R1976="B","S",IF($Q1976+1&gt;$K$3,"T",IF(INDEX($M$4:$M$2003,MATCH($Q1976+1,$P$4:$P$2003,0))&lt;&gt;INDEX($M$4:$M$2003,MATCH($Q1976,$P$4:$P$2003,0)),"B","S"))))</f>
        <v/>
      </c>
      <c r="S1977">
        <f>IF(Q1977="","",IFERROR(MATCH(Q1977,$P$4:$P$2003,0),""))</f>
        <v/>
      </c>
    </row>
    <row r="1978">
      <c r="A1978" s="4">
        <f>IF($R1978="","",IF($R1978="T","Gesamtergebnis",IF($R1978="B",INDEX($M$4:$M$2003,$S1978),INDEX($L$4:$L$2003,$S1978))))</f>
        <v/>
      </c>
      <c r="B1978" s="4">
        <f>IF($R1978="","",IF($R1978="T",$K$3,IF($R1978="B",COUNTIFS($M$4:$M$2003,INDEX($M$4:$M$2003,$S1978),$N$4:$N$2003,1),1)))</f>
        <v/>
      </c>
      <c r="L1978">
        <f>IF($K$1="","",IFERROR(INDEX(Lines!$A:$AA,ROW()-2,$K$1),""))</f>
        <v/>
      </c>
      <c r="M1978">
        <f>IF($K$2="","",IFERROR(INDEX(Lines!$A:$AA,ROW()-2,$K$2),""))</f>
        <v/>
      </c>
      <c r="N1978">
        <f>IF(AND(L1978&lt;&gt;"",LEFT(L1978,1)="N",M1978&lt;&gt;"PICKING",M1978&lt;&gt;""),1,0)</f>
        <v/>
      </c>
      <c r="O1978">
        <f>IF(N1978=1,M1978&amp;"|"&amp;L1978,REPT("z",40))</f>
        <v/>
      </c>
      <c r="P1978">
        <f>IF(N1978=1,COUNTIF($O$4:$O$2003,"&lt;"&amp;O1978)+1,"")</f>
        <v/>
      </c>
      <c r="Q1978">
        <f>IF(OR($R1977="",$R1977="T"),"",IF($R1977="B",$Q1977,IF($Q1977+1&gt;$K$3,"",$Q1977+1)))</f>
        <v/>
      </c>
      <c r="R1978">
        <f>IF(OR($R1977="",$R1977="T"),"",IF($R1977="B","S",IF($Q1977+1&gt;$K$3,"T",IF(INDEX($M$4:$M$2003,MATCH($Q1977+1,$P$4:$P$2003,0))&lt;&gt;INDEX($M$4:$M$2003,MATCH($Q1977,$P$4:$P$2003,0)),"B","S"))))</f>
        <v/>
      </c>
      <c r="S1978">
        <f>IF(Q1978="","",IFERROR(MATCH(Q1978,$P$4:$P$2003,0),""))</f>
        <v/>
      </c>
    </row>
    <row r="1979">
      <c r="A1979" s="4">
        <f>IF($R1979="","",IF($R1979="T","Gesamtergebnis",IF($R1979="B",INDEX($M$4:$M$2003,$S1979),INDEX($L$4:$L$2003,$S1979))))</f>
        <v/>
      </c>
      <c r="B1979" s="4">
        <f>IF($R1979="","",IF($R1979="T",$K$3,IF($R1979="B",COUNTIFS($M$4:$M$2003,INDEX($M$4:$M$2003,$S1979),$N$4:$N$2003,1),1)))</f>
        <v/>
      </c>
      <c r="L1979">
        <f>IF($K$1="","",IFERROR(INDEX(Lines!$A:$AA,ROW()-2,$K$1),""))</f>
        <v/>
      </c>
      <c r="M1979">
        <f>IF($K$2="","",IFERROR(INDEX(Lines!$A:$AA,ROW()-2,$K$2),""))</f>
        <v/>
      </c>
      <c r="N1979">
        <f>IF(AND(L1979&lt;&gt;"",LEFT(L1979,1)="N",M1979&lt;&gt;"PICKING",M1979&lt;&gt;""),1,0)</f>
        <v/>
      </c>
      <c r="O1979">
        <f>IF(N1979=1,M1979&amp;"|"&amp;L1979,REPT("z",40))</f>
        <v/>
      </c>
      <c r="P1979">
        <f>IF(N1979=1,COUNTIF($O$4:$O$2003,"&lt;"&amp;O1979)+1,"")</f>
        <v/>
      </c>
      <c r="Q1979">
        <f>IF(OR($R1978="",$R1978="T"),"",IF($R1978="B",$Q1978,IF($Q1978+1&gt;$K$3,"",$Q1978+1)))</f>
        <v/>
      </c>
      <c r="R1979">
        <f>IF(OR($R1978="",$R1978="T"),"",IF($R1978="B","S",IF($Q1978+1&gt;$K$3,"T",IF(INDEX($M$4:$M$2003,MATCH($Q1978+1,$P$4:$P$2003,0))&lt;&gt;INDEX($M$4:$M$2003,MATCH($Q1978,$P$4:$P$2003,0)),"B","S"))))</f>
        <v/>
      </c>
      <c r="S1979">
        <f>IF(Q1979="","",IFERROR(MATCH(Q1979,$P$4:$P$2003,0),""))</f>
        <v/>
      </c>
    </row>
    <row r="1980">
      <c r="A1980" s="4">
        <f>IF($R1980="","",IF($R1980="T","Gesamtergebnis",IF($R1980="B",INDEX($M$4:$M$2003,$S1980),INDEX($L$4:$L$2003,$S1980))))</f>
        <v/>
      </c>
      <c r="B1980" s="4">
        <f>IF($R1980="","",IF($R1980="T",$K$3,IF($R1980="B",COUNTIFS($M$4:$M$2003,INDEX($M$4:$M$2003,$S1980),$N$4:$N$2003,1),1)))</f>
        <v/>
      </c>
      <c r="L1980">
        <f>IF($K$1="","",IFERROR(INDEX(Lines!$A:$AA,ROW()-2,$K$1),""))</f>
        <v/>
      </c>
      <c r="M1980">
        <f>IF($K$2="","",IFERROR(INDEX(Lines!$A:$AA,ROW()-2,$K$2),""))</f>
        <v/>
      </c>
      <c r="N1980">
        <f>IF(AND(L1980&lt;&gt;"",LEFT(L1980,1)="N",M1980&lt;&gt;"PICKING",M1980&lt;&gt;""),1,0)</f>
        <v/>
      </c>
      <c r="O1980">
        <f>IF(N1980=1,M1980&amp;"|"&amp;L1980,REPT("z",40))</f>
        <v/>
      </c>
      <c r="P1980">
        <f>IF(N1980=1,COUNTIF($O$4:$O$2003,"&lt;"&amp;O1980)+1,"")</f>
        <v/>
      </c>
      <c r="Q1980">
        <f>IF(OR($R1979="",$R1979="T"),"",IF($R1979="B",$Q1979,IF($Q1979+1&gt;$K$3,"",$Q1979+1)))</f>
        <v/>
      </c>
      <c r="R1980">
        <f>IF(OR($R1979="",$R1979="T"),"",IF($R1979="B","S",IF($Q1979+1&gt;$K$3,"T",IF(INDEX($M$4:$M$2003,MATCH($Q1979+1,$P$4:$P$2003,0))&lt;&gt;INDEX($M$4:$M$2003,MATCH($Q1979,$P$4:$P$2003,0)),"B","S"))))</f>
        <v/>
      </c>
      <c r="S1980">
        <f>IF(Q1980="","",IFERROR(MATCH(Q1980,$P$4:$P$2003,0),""))</f>
        <v/>
      </c>
    </row>
    <row r="1981">
      <c r="A1981" s="4">
        <f>IF($R1981="","",IF($R1981="T","Gesamtergebnis",IF($R1981="B",INDEX($M$4:$M$2003,$S1981),INDEX($L$4:$L$2003,$S1981))))</f>
        <v/>
      </c>
      <c r="B1981" s="4">
        <f>IF($R1981="","",IF($R1981="T",$K$3,IF($R1981="B",COUNTIFS($M$4:$M$2003,INDEX($M$4:$M$2003,$S1981),$N$4:$N$2003,1),1)))</f>
        <v/>
      </c>
      <c r="L1981">
        <f>IF($K$1="","",IFERROR(INDEX(Lines!$A:$AA,ROW()-2,$K$1),""))</f>
        <v/>
      </c>
      <c r="M1981">
        <f>IF($K$2="","",IFERROR(INDEX(Lines!$A:$AA,ROW()-2,$K$2),""))</f>
        <v/>
      </c>
      <c r="N1981">
        <f>IF(AND(L1981&lt;&gt;"",LEFT(L1981,1)="N",M1981&lt;&gt;"PICKING",M1981&lt;&gt;""),1,0)</f>
        <v/>
      </c>
      <c r="O1981">
        <f>IF(N1981=1,M1981&amp;"|"&amp;L1981,REPT("z",40))</f>
        <v/>
      </c>
      <c r="P1981">
        <f>IF(N1981=1,COUNTIF($O$4:$O$2003,"&lt;"&amp;O1981)+1,"")</f>
        <v/>
      </c>
      <c r="Q1981">
        <f>IF(OR($R1980="",$R1980="T"),"",IF($R1980="B",$Q1980,IF($Q1980+1&gt;$K$3,"",$Q1980+1)))</f>
        <v/>
      </c>
      <c r="R1981">
        <f>IF(OR($R1980="",$R1980="T"),"",IF($R1980="B","S",IF($Q1980+1&gt;$K$3,"T",IF(INDEX($M$4:$M$2003,MATCH($Q1980+1,$P$4:$P$2003,0))&lt;&gt;INDEX($M$4:$M$2003,MATCH($Q1980,$P$4:$P$2003,0)),"B","S"))))</f>
        <v/>
      </c>
      <c r="S1981">
        <f>IF(Q1981="","",IFERROR(MATCH(Q1981,$P$4:$P$2003,0),""))</f>
        <v/>
      </c>
    </row>
    <row r="1982">
      <c r="A1982" s="4">
        <f>IF($R1982="","",IF($R1982="T","Gesamtergebnis",IF($R1982="B",INDEX($M$4:$M$2003,$S1982),INDEX($L$4:$L$2003,$S1982))))</f>
        <v/>
      </c>
      <c r="B1982" s="4">
        <f>IF($R1982="","",IF($R1982="T",$K$3,IF($R1982="B",COUNTIFS($M$4:$M$2003,INDEX($M$4:$M$2003,$S1982),$N$4:$N$2003,1),1)))</f>
        <v/>
      </c>
      <c r="L1982">
        <f>IF($K$1="","",IFERROR(INDEX(Lines!$A:$AA,ROW()-2,$K$1),""))</f>
        <v/>
      </c>
      <c r="M1982">
        <f>IF($K$2="","",IFERROR(INDEX(Lines!$A:$AA,ROW()-2,$K$2),""))</f>
        <v/>
      </c>
      <c r="N1982">
        <f>IF(AND(L1982&lt;&gt;"",LEFT(L1982,1)="N",M1982&lt;&gt;"PICKING",M1982&lt;&gt;""),1,0)</f>
        <v/>
      </c>
      <c r="O1982">
        <f>IF(N1982=1,M1982&amp;"|"&amp;L1982,REPT("z",40))</f>
        <v/>
      </c>
      <c r="P1982">
        <f>IF(N1982=1,COUNTIF($O$4:$O$2003,"&lt;"&amp;O1982)+1,"")</f>
        <v/>
      </c>
      <c r="Q1982">
        <f>IF(OR($R1981="",$R1981="T"),"",IF($R1981="B",$Q1981,IF($Q1981+1&gt;$K$3,"",$Q1981+1)))</f>
        <v/>
      </c>
      <c r="R1982">
        <f>IF(OR($R1981="",$R1981="T"),"",IF($R1981="B","S",IF($Q1981+1&gt;$K$3,"T",IF(INDEX($M$4:$M$2003,MATCH($Q1981+1,$P$4:$P$2003,0))&lt;&gt;INDEX($M$4:$M$2003,MATCH($Q1981,$P$4:$P$2003,0)),"B","S"))))</f>
        <v/>
      </c>
      <c r="S1982">
        <f>IF(Q1982="","",IFERROR(MATCH(Q1982,$P$4:$P$2003,0),""))</f>
        <v/>
      </c>
    </row>
    <row r="1983">
      <c r="A1983" s="4">
        <f>IF($R1983="","",IF($R1983="T","Gesamtergebnis",IF($R1983="B",INDEX($M$4:$M$2003,$S1983),INDEX($L$4:$L$2003,$S1983))))</f>
        <v/>
      </c>
      <c r="B1983" s="4">
        <f>IF($R1983="","",IF($R1983="T",$K$3,IF($R1983="B",COUNTIFS($M$4:$M$2003,INDEX($M$4:$M$2003,$S1983),$N$4:$N$2003,1),1)))</f>
        <v/>
      </c>
      <c r="L1983">
        <f>IF($K$1="","",IFERROR(INDEX(Lines!$A:$AA,ROW()-2,$K$1),""))</f>
        <v/>
      </c>
      <c r="M1983">
        <f>IF($K$2="","",IFERROR(INDEX(Lines!$A:$AA,ROW()-2,$K$2),""))</f>
        <v/>
      </c>
      <c r="N1983">
        <f>IF(AND(L1983&lt;&gt;"",LEFT(L1983,1)="N",M1983&lt;&gt;"PICKING",M1983&lt;&gt;""),1,0)</f>
        <v/>
      </c>
      <c r="O1983">
        <f>IF(N1983=1,M1983&amp;"|"&amp;L1983,REPT("z",40))</f>
        <v/>
      </c>
      <c r="P1983">
        <f>IF(N1983=1,COUNTIF($O$4:$O$2003,"&lt;"&amp;O1983)+1,"")</f>
        <v/>
      </c>
      <c r="Q1983">
        <f>IF(OR($R1982="",$R1982="T"),"",IF($R1982="B",$Q1982,IF($Q1982+1&gt;$K$3,"",$Q1982+1)))</f>
        <v/>
      </c>
      <c r="R1983">
        <f>IF(OR($R1982="",$R1982="T"),"",IF($R1982="B","S",IF($Q1982+1&gt;$K$3,"T",IF(INDEX($M$4:$M$2003,MATCH($Q1982+1,$P$4:$P$2003,0))&lt;&gt;INDEX($M$4:$M$2003,MATCH($Q1982,$P$4:$P$2003,0)),"B","S"))))</f>
        <v/>
      </c>
      <c r="S1983">
        <f>IF(Q1983="","",IFERROR(MATCH(Q1983,$P$4:$P$2003,0),""))</f>
        <v/>
      </c>
    </row>
    <row r="1984">
      <c r="A1984" s="4">
        <f>IF($R1984="","",IF($R1984="T","Gesamtergebnis",IF($R1984="B",INDEX($M$4:$M$2003,$S1984),INDEX($L$4:$L$2003,$S1984))))</f>
        <v/>
      </c>
      <c r="B1984" s="4">
        <f>IF($R1984="","",IF($R1984="T",$K$3,IF($R1984="B",COUNTIFS($M$4:$M$2003,INDEX($M$4:$M$2003,$S1984),$N$4:$N$2003,1),1)))</f>
        <v/>
      </c>
      <c r="L1984">
        <f>IF($K$1="","",IFERROR(INDEX(Lines!$A:$AA,ROW()-2,$K$1),""))</f>
        <v/>
      </c>
      <c r="M1984">
        <f>IF($K$2="","",IFERROR(INDEX(Lines!$A:$AA,ROW()-2,$K$2),""))</f>
        <v/>
      </c>
      <c r="N1984">
        <f>IF(AND(L1984&lt;&gt;"",LEFT(L1984,1)="N",M1984&lt;&gt;"PICKING",M1984&lt;&gt;""),1,0)</f>
        <v/>
      </c>
      <c r="O1984">
        <f>IF(N1984=1,M1984&amp;"|"&amp;L1984,REPT("z",40))</f>
        <v/>
      </c>
      <c r="P1984">
        <f>IF(N1984=1,COUNTIF($O$4:$O$2003,"&lt;"&amp;O1984)+1,"")</f>
        <v/>
      </c>
      <c r="Q1984">
        <f>IF(OR($R1983="",$R1983="T"),"",IF($R1983="B",$Q1983,IF($Q1983+1&gt;$K$3,"",$Q1983+1)))</f>
        <v/>
      </c>
      <c r="R1984">
        <f>IF(OR($R1983="",$R1983="T"),"",IF($R1983="B","S",IF($Q1983+1&gt;$K$3,"T",IF(INDEX($M$4:$M$2003,MATCH($Q1983+1,$P$4:$P$2003,0))&lt;&gt;INDEX($M$4:$M$2003,MATCH($Q1983,$P$4:$P$2003,0)),"B","S"))))</f>
        <v/>
      </c>
      <c r="S1984">
        <f>IF(Q1984="","",IFERROR(MATCH(Q1984,$P$4:$P$2003,0),""))</f>
        <v/>
      </c>
    </row>
    <row r="1985">
      <c r="A1985" s="4">
        <f>IF($R1985="","",IF($R1985="T","Gesamtergebnis",IF($R1985="B",INDEX($M$4:$M$2003,$S1985),INDEX($L$4:$L$2003,$S1985))))</f>
        <v/>
      </c>
      <c r="B1985" s="4">
        <f>IF($R1985="","",IF($R1985="T",$K$3,IF($R1985="B",COUNTIFS($M$4:$M$2003,INDEX($M$4:$M$2003,$S1985),$N$4:$N$2003,1),1)))</f>
        <v/>
      </c>
      <c r="L1985">
        <f>IF($K$1="","",IFERROR(INDEX(Lines!$A:$AA,ROW()-2,$K$1),""))</f>
        <v/>
      </c>
      <c r="M1985">
        <f>IF($K$2="","",IFERROR(INDEX(Lines!$A:$AA,ROW()-2,$K$2),""))</f>
        <v/>
      </c>
      <c r="N1985">
        <f>IF(AND(L1985&lt;&gt;"",LEFT(L1985,1)="N",M1985&lt;&gt;"PICKING",M1985&lt;&gt;""),1,0)</f>
        <v/>
      </c>
      <c r="O1985">
        <f>IF(N1985=1,M1985&amp;"|"&amp;L1985,REPT("z",40))</f>
        <v/>
      </c>
      <c r="P1985">
        <f>IF(N1985=1,COUNTIF($O$4:$O$2003,"&lt;"&amp;O1985)+1,"")</f>
        <v/>
      </c>
      <c r="Q1985">
        <f>IF(OR($R1984="",$R1984="T"),"",IF($R1984="B",$Q1984,IF($Q1984+1&gt;$K$3,"",$Q1984+1)))</f>
        <v/>
      </c>
      <c r="R1985">
        <f>IF(OR($R1984="",$R1984="T"),"",IF($R1984="B","S",IF($Q1984+1&gt;$K$3,"T",IF(INDEX($M$4:$M$2003,MATCH($Q1984+1,$P$4:$P$2003,0))&lt;&gt;INDEX($M$4:$M$2003,MATCH($Q1984,$P$4:$P$2003,0)),"B","S"))))</f>
        <v/>
      </c>
      <c r="S1985">
        <f>IF(Q1985="","",IFERROR(MATCH(Q1985,$P$4:$P$2003,0),""))</f>
        <v/>
      </c>
    </row>
    <row r="1986">
      <c r="A1986" s="4">
        <f>IF($R1986="","",IF($R1986="T","Gesamtergebnis",IF($R1986="B",INDEX($M$4:$M$2003,$S1986),INDEX($L$4:$L$2003,$S1986))))</f>
        <v/>
      </c>
      <c r="B1986" s="4">
        <f>IF($R1986="","",IF($R1986="T",$K$3,IF($R1986="B",COUNTIFS($M$4:$M$2003,INDEX($M$4:$M$2003,$S1986),$N$4:$N$2003,1),1)))</f>
        <v/>
      </c>
      <c r="L1986">
        <f>IF($K$1="","",IFERROR(INDEX(Lines!$A:$AA,ROW()-2,$K$1),""))</f>
        <v/>
      </c>
      <c r="M1986">
        <f>IF($K$2="","",IFERROR(INDEX(Lines!$A:$AA,ROW()-2,$K$2),""))</f>
        <v/>
      </c>
      <c r="N1986">
        <f>IF(AND(L1986&lt;&gt;"",LEFT(L1986,1)="N",M1986&lt;&gt;"PICKING",M1986&lt;&gt;""),1,0)</f>
        <v/>
      </c>
      <c r="O1986">
        <f>IF(N1986=1,M1986&amp;"|"&amp;L1986,REPT("z",40))</f>
        <v/>
      </c>
      <c r="P1986">
        <f>IF(N1986=1,COUNTIF($O$4:$O$2003,"&lt;"&amp;O1986)+1,"")</f>
        <v/>
      </c>
      <c r="Q1986">
        <f>IF(OR($R1985="",$R1985="T"),"",IF($R1985="B",$Q1985,IF($Q1985+1&gt;$K$3,"",$Q1985+1)))</f>
        <v/>
      </c>
      <c r="R1986">
        <f>IF(OR($R1985="",$R1985="T"),"",IF($R1985="B","S",IF($Q1985+1&gt;$K$3,"T",IF(INDEX($M$4:$M$2003,MATCH($Q1985+1,$P$4:$P$2003,0))&lt;&gt;INDEX($M$4:$M$2003,MATCH($Q1985,$P$4:$P$2003,0)),"B","S"))))</f>
        <v/>
      </c>
      <c r="S1986">
        <f>IF(Q1986="","",IFERROR(MATCH(Q1986,$P$4:$P$2003,0),""))</f>
        <v/>
      </c>
    </row>
    <row r="1987">
      <c r="A1987" s="4">
        <f>IF($R1987="","",IF($R1987="T","Gesamtergebnis",IF($R1987="B",INDEX($M$4:$M$2003,$S1987),INDEX($L$4:$L$2003,$S1987))))</f>
        <v/>
      </c>
      <c r="B1987" s="4">
        <f>IF($R1987="","",IF($R1987="T",$K$3,IF($R1987="B",COUNTIFS($M$4:$M$2003,INDEX($M$4:$M$2003,$S1987),$N$4:$N$2003,1),1)))</f>
        <v/>
      </c>
      <c r="L1987">
        <f>IF($K$1="","",IFERROR(INDEX(Lines!$A:$AA,ROW()-2,$K$1),""))</f>
        <v/>
      </c>
      <c r="M1987">
        <f>IF($K$2="","",IFERROR(INDEX(Lines!$A:$AA,ROW()-2,$K$2),""))</f>
        <v/>
      </c>
      <c r="N1987">
        <f>IF(AND(L1987&lt;&gt;"",LEFT(L1987,1)="N",M1987&lt;&gt;"PICKING",M1987&lt;&gt;""),1,0)</f>
        <v/>
      </c>
      <c r="O1987">
        <f>IF(N1987=1,M1987&amp;"|"&amp;L1987,REPT("z",40))</f>
        <v/>
      </c>
      <c r="P1987">
        <f>IF(N1987=1,COUNTIF($O$4:$O$2003,"&lt;"&amp;O1987)+1,"")</f>
        <v/>
      </c>
      <c r="Q1987">
        <f>IF(OR($R1986="",$R1986="T"),"",IF($R1986="B",$Q1986,IF($Q1986+1&gt;$K$3,"",$Q1986+1)))</f>
        <v/>
      </c>
      <c r="R1987">
        <f>IF(OR($R1986="",$R1986="T"),"",IF($R1986="B","S",IF($Q1986+1&gt;$K$3,"T",IF(INDEX($M$4:$M$2003,MATCH($Q1986+1,$P$4:$P$2003,0))&lt;&gt;INDEX($M$4:$M$2003,MATCH($Q1986,$P$4:$P$2003,0)),"B","S"))))</f>
        <v/>
      </c>
      <c r="S1987">
        <f>IF(Q1987="","",IFERROR(MATCH(Q1987,$P$4:$P$2003,0),""))</f>
        <v/>
      </c>
    </row>
    <row r="1988">
      <c r="A1988" s="4">
        <f>IF($R1988="","",IF($R1988="T","Gesamtergebnis",IF($R1988="B",INDEX($M$4:$M$2003,$S1988),INDEX($L$4:$L$2003,$S1988))))</f>
        <v/>
      </c>
      <c r="B1988" s="4">
        <f>IF($R1988="","",IF($R1988="T",$K$3,IF($R1988="B",COUNTIFS($M$4:$M$2003,INDEX($M$4:$M$2003,$S1988),$N$4:$N$2003,1),1)))</f>
        <v/>
      </c>
      <c r="L1988">
        <f>IF($K$1="","",IFERROR(INDEX(Lines!$A:$AA,ROW()-2,$K$1),""))</f>
        <v/>
      </c>
      <c r="M1988">
        <f>IF($K$2="","",IFERROR(INDEX(Lines!$A:$AA,ROW()-2,$K$2),""))</f>
        <v/>
      </c>
      <c r="N1988">
        <f>IF(AND(L1988&lt;&gt;"",LEFT(L1988,1)="N",M1988&lt;&gt;"PICKING",M1988&lt;&gt;""),1,0)</f>
        <v/>
      </c>
      <c r="O1988">
        <f>IF(N1988=1,M1988&amp;"|"&amp;L1988,REPT("z",40))</f>
        <v/>
      </c>
      <c r="P1988">
        <f>IF(N1988=1,COUNTIF($O$4:$O$2003,"&lt;"&amp;O1988)+1,"")</f>
        <v/>
      </c>
      <c r="Q1988">
        <f>IF(OR($R1987="",$R1987="T"),"",IF($R1987="B",$Q1987,IF($Q1987+1&gt;$K$3,"",$Q1987+1)))</f>
        <v/>
      </c>
      <c r="R1988">
        <f>IF(OR($R1987="",$R1987="T"),"",IF($R1987="B","S",IF($Q1987+1&gt;$K$3,"T",IF(INDEX($M$4:$M$2003,MATCH($Q1987+1,$P$4:$P$2003,0))&lt;&gt;INDEX($M$4:$M$2003,MATCH($Q1987,$P$4:$P$2003,0)),"B","S"))))</f>
        <v/>
      </c>
      <c r="S1988">
        <f>IF(Q1988="","",IFERROR(MATCH(Q1988,$P$4:$P$2003,0),""))</f>
        <v/>
      </c>
    </row>
    <row r="1989">
      <c r="A1989" s="4">
        <f>IF($R1989="","",IF($R1989="T","Gesamtergebnis",IF($R1989="B",INDEX($M$4:$M$2003,$S1989),INDEX($L$4:$L$2003,$S1989))))</f>
        <v/>
      </c>
      <c r="B1989" s="4">
        <f>IF($R1989="","",IF($R1989="T",$K$3,IF($R1989="B",COUNTIFS($M$4:$M$2003,INDEX($M$4:$M$2003,$S1989),$N$4:$N$2003,1),1)))</f>
        <v/>
      </c>
      <c r="L1989">
        <f>IF($K$1="","",IFERROR(INDEX(Lines!$A:$AA,ROW()-2,$K$1),""))</f>
        <v/>
      </c>
      <c r="M1989">
        <f>IF($K$2="","",IFERROR(INDEX(Lines!$A:$AA,ROW()-2,$K$2),""))</f>
        <v/>
      </c>
      <c r="N1989">
        <f>IF(AND(L1989&lt;&gt;"",LEFT(L1989,1)="N",M1989&lt;&gt;"PICKING",M1989&lt;&gt;""),1,0)</f>
        <v/>
      </c>
      <c r="O1989">
        <f>IF(N1989=1,M1989&amp;"|"&amp;L1989,REPT("z",40))</f>
        <v/>
      </c>
      <c r="P1989">
        <f>IF(N1989=1,COUNTIF($O$4:$O$2003,"&lt;"&amp;O1989)+1,"")</f>
        <v/>
      </c>
      <c r="Q1989">
        <f>IF(OR($R1988="",$R1988="T"),"",IF($R1988="B",$Q1988,IF($Q1988+1&gt;$K$3,"",$Q1988+1)))</f>
        <v/>
      </c>
      <c r="R1989">
        <f>IF(OR($R1988="",$R1988="T"),"",IF($R1988="B","S",IF($Q1988+1&gt;$K$3,"T",IF(INDEX($M$4:$M$2003,MATCH($Q1988+1,$P$4:$P$2003,0))&lt;&gt;INDEX($M$4:$M$2003,MATCH($Q1988,$P$4:$P$2003,0)),"B","S"))))</f>
        <v/>
      </c>
      <c r="S1989">
        <f>IF(Q1989="","",IFERROR(MATCH(Q1989,$P$4:$P$2003,0),""))</f>
        <v/>
      </c>
    </row>
    <row r="1990">
      <c r="A1990" s="4">
        <f>IF($R1990="","",IF($R1990="T","Gesamtergebnis",IF($R1990="B",INDEX($M$4:$M$2003,$S1990),INDEX($L$4:$L$2003,$S1990))))</f>
        <v/>
      </c>
      <c r="B1990" s="4">
        <f>IF($R1990="","",IF($R1990="T",$K$3,IF($R1990="B",COUNTIFS($M$4:$M$2003,INDEX($M$4:$M$2003,$S1990),$N$4:$N$2003,1),1)))</f>
        <v/>
      </c>
      <c r="L1990">
        <f>IF($K$1="","",IFERROR(INDEX(Lines!$A:$AA,ROW()-2,$K$1),""))</f>
        <v/>
      </c>
      <c r="M1990">
        <f>IF($K$2="","",IFERROR(INDEX(Lines!$A:$AA,ROW()-2,$K$2),""))</f>
        <v/>
      </c>
      <c r="N1990">
        <f>IF(AND(L1990&lt;&gt;"",LEFT(L1990,1)="N",M1990&lt;&gt;"PICKING",M1990&lt;&gt;""),1,0)</f>
        <v/>
      </c>
      <c r="O1990">
        <f>IF(N1990=1,M1990&amp;"|"&amp;L1990,REPT("z",40))</f>
        <v/>
      </c>
      <c r="P1990">
        <f>IF(N1990=1,COUNTIF($O$4:$O$2003,"&lt;"&amp;O1990)+1,"")</f>
        <v/>
      </c>
      <c r="Q1990">
        <f>IF(OR($R1989="",$R1989="T"),"",IF($R1989="B",$Q1989,IF($Q1989+1&gt;$K$3,"",$Q1989+1)))</f>
        <v/>
      </c>
      <c r="R1990">
        <f>IF(OR($R1989="",$R1989="T"),"",IF($R1989="B","S",IF($Q1989+1&gt;$K$3,"T",IF(INDEX($M$4:$M$2003,MATCH($Q1989+1,$P$4:$P$2003,0))&lt;&gt;INDEX($M$4:$M$2003,MATCH($Q1989,$P$4:$P$2003,0)),"B","S"))))</f>
        <v/>
      </c>
      <c r="S1990">
        <f>IF(Q1990="","",IFERROR(MATCH(Q1990,$P$4:$P$2003,0),""))</f>
        <v/>
      </c>
    </row>
    <row r="1991">
      <c r="A1991" s="4">
        <f>IF($R1991="","",IF($R1991="T","Gesamtergebnis",IF($R1991="B",INDEX($M$4:$M$2003,$S1991),INDEX($L$4:$L$2003,$S1991))))</f>
        <v/>
      </c>
      <c r="B1991" s="4">
        <f>IF($R1991="","",IF($R1991="T",$K$3,IF($R1991="B",COUNTIFS($M$4:$M$2003,INDEX($M$4:$M$2003,$S1991),$N$4:$N$2003,1),1)))</f>
        <v/>
      </c>
      <c r="L1991">
        <f>IF($K$1="","",IFERROR(INDEX(Lines!$A:$AA,ROW()-2,$K$1),""))</f>
        <v/>
      </c>
      <c r="M1991">
        <f>IF($K$2="","",IFERROR(INDEX(Lines!$A:$AA,ROW()-2,$K$2),""))</f>
        <v/>
      </c>
      <c r="N1991">
        <f>IF(AND(L1991&lt;&gt;"",LEFT(L1991,1)="N",M1991&lt;&gt;"PICKING",M1991&lt;&gt;""),1,0)</f>
        <v/>
      </c>
      <c r="O1991">
        <f>IF(N1991=1,M1991&amp;"|"&amp;L1991,REPT("z",40))</f>
        <v/>
      </c>
      <c r="P1991">
        <f>IF(N1991=1,COUNTIF($O$4:$O$2003,"&lt;"&amp;O1991)+1,"")</f>
        <v/>
      </c>
      <c r="Q1991">
        <f>IF(OR($R1990="",$R1990="T"),"",IF($R1990="B",$Q1990,IF($Q1990+1&gt;$K$3,"",$Q1990+1)))</f>
        <v/>
      </c>
      <c r="R1991">
        <f>IF(OR($R1990="",$R1990="T"),"",IF($R1990="B","S",IF($Q1990+1&gt;$K$3,"T",IF(INDEX($M$4:$M$2003,MATCH($Q1990+1,$P$4:$P$2003,0))&lt;&gt;INDEX($M$4:$M$2003,MATCH($Q1990,$P$4:$P$2003,0)),"B","S"))))</f>
        <v/>
      </c>
      <c r="S1991">
        <f>IF(Q1991="","",IFERROR(MATCH(Q1991,$P$4:$P$2003,0),""))</f>
        <v/>
      </c>
    </row>
    <row r="1992">
      <c r="A1992" s="4">
        <f>IF($R1992="","",IF($R1992="T","Gesamtergebnis",IF($R1992="B",INDEX($M$4:$M$2003,$S1992),INDEX($L$4:$L$2003,$S1992))))</f>
        <v/>
      </c>
      <c r="B1992" s="4">
        <f>IF($R1992="","",IF($R1992="T",$K$3,IF($R1992="B",COUNTIFS($M$4:$M$2003,INDEX($M$4:$M$2003,$S1992),$N$4:$N$2003,1),1)))</f>
        <v/>
      </c>
      <c r="L1992">
        <f>IF($K$1="","",IFERROR(INDEX(Lines!$A:$AA,ROW()-2,$K$1),""))</f>
        <v/>
      </c>
      <c r="M1992">
        <f>IF($K$2="","",IFERROR(INDEX(Lines!$A:$AA,ROW()-2,$K$2),""))</f>
        <v/>
      </c>
      <c r="N1992">
        <f>IF(AND(L1992&lt;&gt;"",LEFT(L1992,1)="N",M1992&lt;&gt;"PICKING",M1992&lt;&gt;""),1,0)</f>
        <v/>
      </c>
      <c r="O1992">
        <f>IF(N1992=1,M1992&amp;"|"&amp;L1992,REPT("z",40))</f>
        <v/>
      </c>
      <c r="P1992">
        <f>IF(N1992=1,COUNTIF($O$4:$O$2003,"&lt;"&amp;O1992)+1,"")</f>
        <v/>
      </c>
      <c r="Q1992">
        <f>IF(OR($R1991="",$R1991="T"),"",IF($R1991="B",$Q1991,IF($Q1991+1&gt;$K$3,"",$Q1991+1)))</f>
        <v/>
      </c>
      <c r="R1992">
        <f>IF(OR($R1991="",$R1991="T"),"",IF($R1991="B","S",IF($Q1991+1&gt;$K$3,"T",IF(INDEX($M$4:$M$2003,MATCH($Q1991+1,$P$4:$P$2003,0))&lt;&gt;INDEX($M$4:$M$2003,MATCH($Q1991,$P$4:$P$2003,0)),"B","S"))))</f>
        <v/>
      </c>
      <c r="S1992">
        <f>IF(Q1992="","",IFERROR(MATCH(Q1992,$P$4:$P$2003,0),""))</f>
        <v/>
      </c>
    </row>
    <row r="1993">
      <c r="A1993" s="4">
        <f>IF($R1993="","",IF($R1993="T","Gesamtergebnis",IF($R1993="B",INDEX($M$4:$M$2003,$S1993),INDEX($L$4:$L$2003,$S1993))))</f>
        <v/>
      </c>
      <c r="B1993" s="4">
        <f>IF($R1993="","",IF($R1993="T",$K$3,IF($R1993="B",COUNTIFS($M$4:$M$2003,INDEX($M$4:$M$2003,$S1993),$N$4:$N$2003,1),1)))</f>
        <v/>
      </c>
      <c r="L1993">
        <f>IF($K$1="","",IFERROR(INDEX(Lines!$A:$AA,ROW()-2,$K$1),""))</f>
        <v/>
      </c>
      <c r="M1993">
        <f>IF($K$2="","",IFERROR(INDEX(Lines!$A:$AA,ROW()-2,$K$2),""))</f>
        <v/>
      </c>
      <c r="N1993">
        <f>IF(AND(L1993&lt;&gt;"",LEFT(L1993,1)="N",M1993&lt;&gt;"PICKING",M1993&lt;&gt;""),1,0)</f>
        <v/>
      </c>
      <c r="O1993">
        <f>IF(N1993=1,M1993&amp;"|"&amp;L1993,REPT("z",40))</f>
        <v/>
      </c>
      <c r="P1993">
        <f>IF(N1993=1,COUNTIF($O$4:$O$2003,"&lt;"&amp;O1993)+1,"")</f>
        <v/>
      </c>
      <c r="Q1993">
        <f>IF(OR($R1992="",$R1992="T"),"",IF($R1992="B",$Q1992,IF($Q1992+1&gt;$K$3,"",$Q1992+1)))</f>
        <v/>
      </c>
      <c r="R1993">
        <f>IF(OR($R1992="",$R1992="T"),"",IF($R1992="B","S",IF($Q1992+1&gt;$K$3,"T",IF(INDEX($M$4:$M$2003,MATCH($Q1992+1,$P$4:$P$2003,0))&lt;&gt;INDEX($M$4:$M$2003,MATCH($Q1992,$P$4:$P$2003,0)),"B","S"))))</f>
        <v/>
      </c>
      <c r="S1993">
        <f>IF(Q1993="","",IFERROR(MATCH(Q1993,$P$4:$P$2003,0),""))</f>
        <v/>
      </c>
    </row>
    <row r="1994">
      <c r="A1994" s="4">
        <f>IF($R1994="","",IF($R1994="T","Gesamtergebnis",IF($R1994="B",INDEX($M$4:$M$2003,$S1994),INDEX($L$4:$L$2003,$S1994))))</f>
        <v/>
      </c>
      <c r="B1994" s="4">
        <f>IF($R1994="","",IF($R1994="T",$K$3,IF($R1994="B",COUNTIFS($M$4:$M$2003,INDEX($M$4:$M$2003,$S1994),$N$4:$N$2003,1),1)))</f>
        <v/>
      </c>
      <c r="L1994">
        <f>IF($K$1="","",IFERROR(INDEX(Lines!$A:$AA,ROW()-2,$K$1),""))</f>
        <v/>
      </c>
      <c r="M1994">
        <f>IF($K$2="","",IFERROR(INDEX(Lines!$A:$AA,ROW()-2,$K$2),""))</f>
        <v/>
      </c>
      <c r="N1994">
        <f>IF(AND(L1994&lt;&gt;"",LEFT(L1994,1)="N",M1994&lt;&gt;"PICKING",M1994&lt;&gt;""),1,0)</f>
        <v/>
      </c>
      <c r="O1994">
        <f>IF(N1994=1,M1994&amp;"|"&amp;L1994,REPT("z",40))</f>
        <v/>
      </c>
      <c r="P1994">
        <f>IF(N1994=1,COUNTIF($O$4:$O$2003,"&lt;"&amp;O1994)+1,"")</f>
        <v/>
      </c>
      <c r="Q1994">
        <f>IF(OR($R1993="",$R1993="T"),"",IF($R1993="B",$Q1993,IF($Q1993+1&gt;$K$3,"",$Q1993+1)))</f>
        <v/>
      </c>
      <c r="R1994">
        <f>IF(OR($R1993="",$R1993="T"),"",IF($R1993="B","S",IF($Q1993+1&gt;$K$3,"T",IF(INDEX($M$4:$M$2003,MATCH($Q1993+1,$P$4:$P$2003,0))&lt;&gt;INDEX($M$4:$M$2003,MATCH($Q1993,$P$4:$P$2003,0)),"B","S"))))</f>
        <v/>
      </c>
      <c r="S1994">
        <f>IF(Q1994="","",IFERROR(MATCH(Q1994,$P$4:$P$2003,0),""))</f>
        <v/>
      </c>
    </row>
    <row r="1995">
      <c r="A1995" s="4">
        <f>IF($R1995="","",IF($R1995="T","Gesamtergebnis",IF($R1995="B",INDEX($M$4:$M$2003,$S1995),INDEX($L$4:$L$2003,$S1995))))</f>
        <v/>
      </c>
      <c r="B1995" s="4">
        <f>IF($R1995="","",IF($R1995="T",$K$3,IF($R1995="B",COUNTIFS($M$4:$M$2003,INDEX($M$4:$M$2003,$S1995),$N$4:$N$2003,1),1)))</f>
        <v/>
      </c>
      <c r="L1995">
        <f>IF($K$1="","",IFERROR(INDEX(Lines!$A:$AA,ROW()-2,$K$1),""))</f>
        <v/>
      </c>
      <c r="M1995">
        <f>IF($K$2="","",IFERROR(INDEX(Lines!$A:$AA,ROW()-2,$K$2),""))</f>
        <v/>
      </c>
      <c r="N1995">
        <f>IF(AND(L1995&lt;&gt;"",LEFT(L1995,1)="N",M1995&lt;&gt;"PICKING",M1995&lt;&gt;""),1,0)</f>
        <v/>
      </c>
      <c r="O1995">
        <f>IF(N1995=1,M1995&amp;"|"&amp;L1995,REPT("z",40))</f>
        <v/>
      </c>
      <c r="P1995">
        <f>IF(N1995=1,COUNTIF($O$4:$O$2003,"&lt;"&amp;O1995)+1,"")</f>
        <v/>
      </c>
      <c r="Q1995">
        <f>IF(OR($R1994="",$R1994="T"),"",IF($R1994="B",$Q1994,IF($Q1994+1&gt;$K$3,"",$Q1994+1)))</f>
        <v/>
      </c>
      <c r="R1995">
        <f>IF(OR($R1994="",$R1994="T"),"",IF($R1994="B","S",IF($Q1994+1&gt;$K$3,"T",IF(INDEX($M$4:$M$2003,MATCH($Q1994+1,$P$4:$P$2003,0))&lt;&gt;INDEX($M$4:$M$2003,MATCH($Q1994,$P$4:$P$2003,0)),"B","S"))))</f>
        <v/>
      </c>
      <c r="S1995">
        <f>IF(Q1995="","",IFERROR(MATCH(Q1995,$P$4:$P$2003,0),""))</f>
        <v/>
      </c>
    </row>
    <row r="1996">
      <c r="A1996" s="4">
        <f>IF($R1996="","",IF($R1996="T","Gesamtergebnis",IF($R1996="B",INDEX($M$4:$M$2003,$S1996),INDEX($L$4:$L$2003,$S1996))))</f>
        <v/>
      </c>
      <c r="B1996" s="4">
        <f>IF($R1996="","",IF($R1996="T",$K$3,IF($R1996="B",COUNTIFS($M$4:$M$2003,INDEX($M$4:$M$2003,$S1996),$N$4:$N$2003,1),1)))</f>
        <v/>
      </c>
      <c r="L1996">
        <f>IF($K$1="","",IFERROR(INDEX(Lines!$A:$AA,ROW()-2,$K$1),""))</f>
        <v/>
      </c>
      <c r="M1996">
        <f>IF($K$2="","",IFERROR(INDEX(Lines!$A:$AA,ROW()-2,$K$2),""))</f>
        <v/>
      </c>
      <c r="N1996">
        <f>IF(AND(L1996&lt;&gt;"",LEFT(L1996,1)="N",M1996&lt;&gt;"PICKING",M1996&lt;&gt;""),1,0)</f>
        <v/>
      </c>
      <c r="O1996">
        <f>IF(N1996=1,M1996&amp;"|"&amp;L1996,REPT("z",40))</f>
        <v/>
      </c>
      <c r="P1996">
        <f>IF(N1996=1,COUNTIF($O$4:$O$2003,"&lt;"&amp;O1996)+1,"")</f>
        <v/>
      </c>
      <c r="Q1996">
        <f>IF(OR($R1995="",$R1995="T"),"",IF($R1995="B",$Q1995,IF($Q1995+1&gt;$K$3,"",$Q1995+1)))</f>
        <v/>
      </c>
      <c r="R1996">
        <f>IF(OR($R1995="",$R1995="T"),"",IF($R1995="B","S",IF($Q1995+1&gt;$K$3,"T",IF(INDEX($M$4:$M$2003,MATCH($Q1995+1,$P$4:$P$2003,0))&lt;&gt;INDEX($M$4:$M$2003,MATCH($Q1995,$P$4:$P$2003,0)),"B","S"))))</f>
        <v/>
      </c>
      <c r="S1996">
        <f>IF(Q1996="","",IFERROR(MATCH(Q1996,$P$4:$P$2003,0),""))</f>
        <v/>
      </c>
    </row>
    <row r="1997">
      <c r="A1997" s="4">
        <f>IF($R1997="","",IF($R1997="T","Gesamtergebnis",IF($R1997="B",INDEX($M$4:$M$2003,$S1997),INDEX($L$4:$L$2003,$S1997))))</f>
        <v/>
      </c>
      <c r="B1997" s="4">
        <f>IF($R1997="","",IF($R1997="T",$K$3,IF($R1997="B",COUNTIFS($M$4:$M$2003,INDEX($M$4:$M$2003,$S1997),$N$4:$N$2003,1),1)))</f>
        <v/>
      </c>
      <c r="L1997">
        <f>IF($K$1="","",IFERROR(INDEX(Lines!$A:$AA,ROW()-2,$K$1),""))</f>
        <v/>
      </c>
      <c r="M1997">
        <f>IF($K$2="","",IFERROR(INDEX(Lines!$A:$AA,ROW()-2,$K$2),""))</f>
        <v/>
      </c>
      <c r="N1997">
        <f>IF(AND(L1997&lt;&gt;"",LEFT(L1997,1)="N",M1997&lt;&gt;"PICKING",M1997&lt;&gt;""),1,0)</f>
        <v/>
      </c>
      <c r="O1997">
        <f>IF(N1997=1,M1997&amp;"|"&amp;L1997,REPT("z",40))</f>
        <v/>
      </c>
      <c r="P1997">
        <f>IF(N1997=1,COUNTIF($O$4:$O$2003,"&lt;"&amp;O1997)+1,"")</f>
        <v/>
      </c>
      <c r="Q1997">
        <f>IF(OR($R1996="",$R1996="T"),"",IF($R1996="B",$Q1996,IF($Q1996+1&gt;$K$3,"",$Q1996+1)))</f>
        <v/>
      </c>
      <c r="R1997">
        <f>IF(OR($R1996="",$R1996="T"),"",IF($R1996="B","S",IF($Q1996+1&gt;$K$3,"T",IF(INDEX($M$4:$M$2003,MATCH($Q1996+1,$P$4:$P$2003,0))&lt;&gt;INDEX($M$4:$M$2003,MATCH($Q1996,$P$4:$P$2003,0)),"B","S"))))</f>
        <v/>
      </c>
      <c r="S1997">
        <f>IF(Q1997="","",IFERROR(MATCH(Q1997,$P$4:$P$2003,0),""))</f>
        <v/>
      </c>
    </row>
    <row r="1998">
      <c r="A1998" s="4">
        <f>IF($R1998="","",IF($R1998="T","Gesamtergebnis",IF($R1998="B",INDEX($M$4:$M$2003,$S1998),INDEX($L$4:$L$2003,$S1998))))</f>
        <v/>
      </c>
      <c r="B1998" s="4">
        <f>IF($R1998="","",IF($R1998="T",$K$3,IF($R1998="B",COUNTIFS($M$4:$M$2003,INDEX($M$4:$M$2003,$S1998),$N$4:$N$2003,1),1)))</f>
        <v/>
      </c>
      <c r="L1998">
        <f>IF($K$1="","",IFERROR(INDEX(Lines!$A:$AA,ROW()-2,$K$1),""))</f>
        <v/>
      </c>
      <c r="M1998">
        <f>IF($K$2="","",IFERROR(INDEX(Lines!$A:$AA,ROW()-2,$K$2),""))</f>
        <v/>
      </c>
      <c r="N1998">
        <f>IF(AND(L1998&lt;&gt;"",LEFT(L1998,1)="N",M1998&lt;&gt;"PICKING",M1998&lt;&gt;""),1,0)</f>
        <v/>
      </c>
      <c r="O1998">
        <f>IF(N1998=1,M1998&amp;"|"&amp;L1998,REPT("z",40))</f>
        <v/>
      </c>
      <c r="P1998">
        <f>IF(N1998=1,COUNTIF($O$4:$O$2003,"&lt;"&amp;O1998)+1,"")</f>
        <v/>
      </c>
      <c r="Q1998">
        <f>IF(OR($R1997="",$R1997="T"),"",IF($R1997="B",$Q1997,IF($Q1997+1&gt;$K$3,"",$Q1997+1)))</f>
        <v/>
      </c>
      <c r="R1998">
        <f>IF(OR($R1997="",$R1997="T"),"",IF($R1997="B","S",IF($Q1997+1&gt;$K$3,"T",IF(INDEX($M$4:$M$2003,MATCH($Q1997+1,$P$4:$P$2003,0))&lt;&gt;INDEX($M$4:$M$2003,MATCH($Q1997,$P$4:$P$2003,0)),"B","S"))))</f>
        <v/>
      </c>
      <c r="S1998">
        <f>IF(Q1998="","",IFERROR(MATCH(Q1998,$P$4:$P$2003,0),""))</f>
        <v/>
      </c>
    </row>
    <row r="1999">
      <c r="A1999" s="4">
        <f>IF($R1999="","",IF($R1999="T","Gesamtergebnis",IF($R1999="B",INDEX($M$4:$M$2003,$S1999),INDEX($L$4:$L$2003,$S1999))))</f>
        <v/>
      </c>
      <c r="B1999" s="4">
        <f>IF($R1999="","",IF($R1999="T",$K$3,IF($R1999="B",COUNTIFS($M$4:$M$2003,INDEX($M$4:$M$2003,$S1999),$N$4:$N$2003,1),1)))</f>
        <v/>
      </c>
      <c r="L1999">
        <f>IF($K$1="","",IFERROR(INDEX(Lines!$A:$AA,ROW()-2,$K$1),""))</f>
        <v/>
      </c>
      <c r="M1999">
        <f>IF($K$2="","",IFERROR(INDEX(Lines!$A:$AA,ROW()-2,$K$2),""))</f>
        <v/>
      </c>
      <c r="N1999">
        <f>IF(AND(L1999&lt;&gt;"",LEFT(L1999,1)="N",M1999&lt;&gt;"PICKING",M1999&lt;&gt;""),1,0)</f>
        <v/>
      </c>
      <c r="O1999">
        <f>IF(N1999=1,M1999&amp;"|"&amp;L1999,REPT("z",40))</f>
        <v/>
      </c>
      <c r="P1999">
        <f>IF(N1999=1,COUNTIF($O$4:$O$2003,"&lt;"&amp;O1999)+1,"")</f>
        <v/>
      </c>
      <c r="Q1999">
        <f>IF(OR($R1998="",$R1998="T"),"",IF($R1998="B",$Q1998,IF($Q1998+1&gt;$K$3,"",$Q1998+1)))</f>
        <v/>
      </c>
      <c r="R1999">
        <f>IF(OR($R1998="",$R1998="T"),"",IF($R1998="B","S",IF($Q1998+1&gt;$K$3,"T",IF(INDEX($M$4:$M$2003,MATCH($Q1998+1,$P$4:$P$2003,0))&lt;&gt;INDEX($M$4:$M$2003,MATCH($Q1998,$P$4:$P$2003,0)),"B","S"))))</f>
        <v/>
      </c>
      <c r="S1999">
        <f>IF(Q1999="","",IFERROR(MATCH(Q1999,$P$4:$P$2003,0),""))</f>
        <v/>
      </c>
    </row>
    <row r="2000">
      <c r="A2000" s="4">
        <f>IF($R2000="","",IF($R2000="T","Gesamtergebnis",IF($R2000="B",INDEX($M$4:$M$2003,$S2000),INDEX($L$4:$L$2003,$S2000))))</f>
        <v/>
      </c>
      <c r="B2000" s="4">
        <f>IF($R2000="","",IF($R2000="T",$K$3,IF($R2000="B",COUNTIFS($M$4:$M$2003,INDEX($M$4:$M$2003,$S2000),$N$4:$N$2003,1),1)))</f>
        <v/>
      </c>
      <c r="L2000">
        <f>IF($K$1="","",IFERROR(INDEX(Lines!$A:$AA,ROW()-2,$K$1),""))</f>
        <v/>
      </c>
      <c r="M2000">
        <f>IF($K$2="","",IFERROR(INDEX(Lines!$A:$AA,ROW()-2,$K$2),""))</f>
        <v/>
      </c>
      <c r="N2000">
        <f>IF(AND(L2000&lt;&gt;"",LEFT(L2000,1)="N",M2000&lt;&gt;"PICKING",M2000&lt;&gt;""),1,0)</f>
        <v/>
      </c>
      <c r="O2000">
        <f>IF(N2000=1,M2000&amp;"|"&amp;L2000,REPT("z",40))</f>
        <v/>
      </c>
      <c r="P2000">
        <f>IF(N2000=1,COUNTIF($O$4:$O$2003,"&lt;"&amp;O2000)+1,"")</f>
        <v/>
      </c>
      <c r="Q2000">
        <f>IF(OR($R1999="",$R1999="T"),"",IF($R1999="B",$Q1999,IF($Q1999+1&gt;$K$3,"",$Q1999+1)))</f>
        <v/>
      </c>
      <c r="R2000">
        <f>IF(OR($R1999="",$R1999="T"),"",IF($R1999="B","S",IF($Q1999+1&gt;$K$3,"T",IF(INDEX($M$4:$M$2003,MATCH($Q1999+1,$P$4:$P$2003,0))&lt;&gt;INDEX($M$4:$M$2003,MATCH($Q1999,$P$4:$P$2003,0)),"B","S"))))</f>
        <v/>
      </c>
      <c r="S2000">
        <f>IF(Q2000="","",IFERROR(MATCH(Q2000,$P$4:$P$2003,0),""))</f>
        <v/>
      </c>
    </row>
    <row r="2001">
      <c r="A2001" s="4">
        <f>IF($R2001="","",IF($R2001="T","Gesamtergebnis",IF($R2001="B",INDEX($M$4:$M$2003,$S2001),INDEX($L$4:$L$2003,$S2001))))</f>
        <v/>
      </c>
      <c r="B2001" s="4">
        <f>IF($R2001="","",IF($R2001="T",$K$3,IF($R2001="B",COUNTIFS($M$4:$M$2003,INDEX($M$4:$M$2003,$S2001),$N$4:$N$2003,1),1)))</f>
        <v/>
      </c>
      <c r="L2001">
        <f>IF($K$1="","",IFERROR(INDEX(Lines!$A:$AA,ROW()-2,$K$1),""))</f>
        <v/>
      </c>
      <c r="M2001">
        <f>IF($K$2="","",IFERROR(INDEX(Lines!$A:$AA,ROW()-2,$K$2),""))</f>
        <v/>
      </c>
      <c r="N2001">
        <f>IF(AND(L2001&lt;&gt;"",LEFT(L2001,1)="N",M2001&lt;&gt;"PICKING",M2001&lt;&gt;""),1,0)</f>
        <v/>
      </c>
      <c r="O2001">
        <f>IF(N2001=1,M2001&amp;"|"&amp;L2001,REPT("z",40))</f>
        <v/>
      </c>
      <c r="P2001">
        <f>IF(N2001=1,COUNTIF($O$4:$O$2003,"&lt;"&amp;O2001)+1,"")</f>
        <v/>
      </c>
      <c r="Q2001">
        <f>IF(OR($R2000="",$R2000="T"),"",IF($R2000="B",$Q2000,IF($Q2000+1&gt;$K$3,"",$Q2000+1)))</f>
        <v/>
      </c>
      <c r="R2001">
        <f>IF(OR($R2000="",$R2000="T"),"",IF($R2000="B","S",IF($Q2000+1&gt;$K$3,"T",IF(INDEX($M$4:$M$2003,MATCH($Q2000+1,$P$4:$P$2003,0))&lt;&gt;INDEX($M$4:$M$2003,MATCH($Q2000,$P$4:$P$2003,0)),"B","S"))))</f>
        <v/>
      </c>
      <c r="S2001">
        <f>IF(Q2001="","",IFERROR(MATCH(Q2001,$P$4:$P$2003,0),""))</f>
        <v/>
      </c>
    </row>
    <row r="2002">
      <c r="A2002" s="4">
        <f>IF($R2002="","",IF($R2002="T","Gesamtergebnis",IF($R2002="B",INDEX($M$4:$M$2003,$S2002),INDEX($L$4:$L$2003,$S2002))))</f>
        <v/>
      </c>
      <c r="B2002" s="4">
        <f>IF($R2002="","",IF($R2002="T",$K$3,IF($R2002="B",COUNTIFS($M$4:$M$2003,INDEX($M$4:$M$2003,$S2002),$N$4:$N$2003,1),1)))</f>
        <v/>
      </c>
      <c r="L2002">
        <f>IF($K$1="","",IFERROR(INDEX(Lines!$A:$AA,ROW()-2,$K$1),""))</f>
        <v/>
      </c>
      <c r="M2002">
        <f>IF($K$2="","",IFERROR(INDEX(Lines!$A:$AA,ROW()-2,$K$2),""))</f>
        <v/>
      </c>
      <c r="N2002">
        <f>IF(AND(L2002&lt;&gt;"",LEFT(L2002,1)="N",M2002&lt;&gt;"PICKING",M2002&lt;&gt;""),1,0)</f>
        <v/>
      </c>
      <c r="O2002">
        <f>IF(N2002=1,M2002&amp;"|"&amp;L2002,REPT("z",40))</f>
        <v/>
      </c>
      <c r="P2002">
        <f>IF(N2002=1,COUNTIF($O$4:$O$2003,"&lt;"&amp;O2002)+1,"")</f>
        <v/>
      </c>
      <c r="Q2002">
        <f>IF(OR($R2001="",$R2001="T"),"",IF($R2001="B",$Q2001,IF($Q2001+1&gt;$K$3,"",$Q2001+1)))</f>
        <v/>
      </c>
      <c r="R2002">
        <f>IF(OR($R2001="",$R2001="T"),"",IF($R2001="B","S",IF($Q2001+1&gt;$K$3,"T",IF(INDEX($M$4:$M$2003,MATCH($Q2001+1,$P$4:$P$2003,0))&lt;&gt;INDEX($M$4:$M$2003,MATCH($Q2001,$P$4:$P$2003,0)),"B","S"))))</f>
        <v/>
      </c>
      <c r="S2002">
        <f>IF(Q2002="","",IFERROR(MATCH(Q2002,$P$4:$P$2003,0),""))</f>
        <v/>
      </c>
    </row>
    <row r="2003">
      <c r="A2003" s="4">
        <f>IF($R2003="","",IF($R2003="T","Gesamtergebnis",IF($R2003="B",INDEX($M$4:$M$2003,$S2003),INDEX($L$4:$L$2003,$S2003))))</f>
        <v/>
      </c>
      <c r="B2003" s="4">
        <f>IF($R2003="","",IF($R2003="T",$K$3,IF($R2003="B",COUNTIFS($M$4:$M$2003,INDEX($M$4:$M$2003,$S2003),$N$4:$N$2003,1),1)))</f>
        <v/>
      </c>
      <c r="L2003">
        <f>IF($K$1="","",IFERROR(INDEX(Lines!$A:$AA,ROW()-2,$K$1),""))</f>
        <v/>
      </c>
      <c r="M2003">
        <f>IF($K$2="","",IFERROR(INDEX(Lines!$A:$AA,ROW()-2,$K$2),""))</f>
        <v/>
      </c>
      <c r="N2003">
        <f>IF(AND(L2003&lt;&gt;"",LEFT(L2003,1)="N",M2003&lt;&gt;"PICKING",M2003&lt;&gt;""),1,0)</f>
        <v/>
      </c>
      <c r="O2003">
        <f>IF(N2003=1,M2003&amp;"|"&amp;L2003,REPT("z",40))</f>
        <v/>
      </c>
      <c r="P2003">
        <f>IF(N2003=1,COUNTIF($O$4:$O$2003,"&lt;"&amp;O2003)+1,"")</f>
        <v/>
      </c>
      <c r="Q2003">
        <f>IF(OR($R2002="",$R2002="T"),"",IF($R2002="B",$Q2002,IF($Q2002+1&gt;$K$3,"",$Q2002+1)))</f>
        <v/>
      </c>
      <c r="R2003">
        <f>IF(OR($R2002="",$R2002="T"),"",IF($R2002="B","S",IF($Q2002+1&gt;$K$3,"T",IF(INDEX($M$4:$M$2003,MATCH($Q2002+1,$P$4:$P$2003,0))&lt;&gt;INDEX($M$4:$M$2003,MATCH($Q2002,$P$4:$P$2003,0)),"B","S"))))</f>
        <v/>
      </c>
      <c r="S2003">
        <f>IF(Q2003="","",IFERROR(MATCH(Q2003,$P$4:$P$2003,0),""))</f>
        <v/>
      </c>
    </row>
    <row r="2004">
      <c r="A2004" s="4">
        <f>IF($R2004="","",IF($R2004="T","Gesamtergebnis",IF($R2004="B",INDEX($M$4:$M$2003,$S2004),INDEX($L$4:$L$2003,$S2004))))</f>
        <v/>
      </c>
      <c r="B2004" s="4">
        <f>IF($R2004="","",IF($R2004="T",$K$3,IF($R2004="B",COUNTIFS($M$4:$M$2003,INDEX($M$4:$M$2003,$S2004),$N$4:$N$2003,1),1)))</f>
        <v/>
      </c>
      <c r="Q2004">
        <f>IF(OR($R2003="",$R2003="T"),"",IF($R2003="B",$Q2003,IF($Q2003+1&gt;$K$3,"",$Q2003+1)))</f>
        <v/>
      </c>
      <c r="R2004">
        <f>IF(OR($R2003="",$R2003="T"),"",IF($R2003="B","S",IF($Q2003+1&gt;$K$3,"T",IF(INDEX($M$4:$M$2003,MATCH($Q2003+1,$P$4:$P$2003,0))&lt;&gt;INDEX($M$4:$M$2003,MATCH($Q2003,$P$4:$P$2003,0)),"B","S"))))</f>
        <v/>
      </c>
      <c r="S2004">
        <f>IF(Q2004="","",IFERROR(MATCH(Q2004,$P$4:$P$2003,0),""))</f>
        <v/>
      </c>
    </row>
    <row r="2005">
      <c r="A2005" s="4">
        <f>IF($R2005="","",IF($R2005="T","Gesamtergebnis",IF($R2005="B",INDEX($M$4:$M$2003,$S2005),INDEX($L$4:$L$2003,$S2005))))</f>
        <v/>
      </c>
      <c r="B2005" s="4">
        <f>IF($R2005="","",IF($R2005="T",$K$3,IF($R2005="B",COUNTIFS($M$4:$M$2003,INDEX($M$4:$M$2003,$S2005),$N$4:$N$2003,1),1)))</f>
        <v/>
      </c>
      <c r="Q2005">
        <f>IF(OR($R2004="",$R2004="T"),"",IF($R2004="B",$Q2004,IF($Q2004+1&gt;$K$3,"",$Q2004+1)))</f>
        <v/>
      </c>
      <c r="R2005">
        <f>IF(OR($R2004="",$R2004="T"),"",IF($R2004="B","S",IF($Q2004+1&gt;$K$3,"T",IF(INDEX($M$4:$M$2003,MATCH($Q2004+1,$P$4:$P$2003,0))&lt;&gt;INDEX($M$4:$M$2003,MATCH($Q2004,$P$4:$P$2003,0)),"B","S"))))</f>
        <v/>
      </c>
      <c r="S2005">
        <f>IF(Q2005="","",IFERROR(MATCH(Q2005,$P$4:$P$2003,0),""))</f>
        <v/>
      </c>
    </row>
    <row r="2006">
      <c r="A2006" s="4">
        <f>IF($R2006="","",IF($R2006="T","Gesamtergebnis",IF($R2006="B",INDEX($M$4:$M$2003,$S2006),INDEX($L$4:$L$2003,$S2006))))</f>
        <v/>
      </c>
      <c r="B2006" s="4">
        <f>IF($R2006="","",IF($R2006="T",$K$3,IF($R2006="B",COUNTIFS($M$4:$M$2003,INDEX($M$4:$M$2003,$S2006),$N$4:$N$2003,1),1)))</f>
        <v/>
      </c>
      <c r="Q2006">
        <f>IF(OR($R2005="",$R2005="T"),"",IF($R2005="B",$Q2005,IF($Q2005+1&gt;$K$3,"",$Q2005+1)))</f>
        <v/>
      </c>
      <c r="R2006">
        <f>IF(OR($R2005="",$R2005="T"),"",IF($R2005="B","S",IF($Q2005+1&gt;$K$3,"T",IF(INDEX($M$4:$M$2003,MATCH($Q2005+1,$P$4:$P$2003,0))&lt;&gt;INDEX($M$4:$M$2003,MATCH($Q2005,$P$4:$P$2003,0)),"B","S"))))</f>
        <v/>
      </c>
      <c r="S2006">
        <f>IF(Q2006="","",IFERROR(MATCH(Q2006,$P$4:$P$2003,0),""))</f>
        <v/>
      </c>
    </row>
    <row r="2007">
      <c r="A2007" s="4">
        <f>IF($R2007="","",IF($R2007="T","Gesamtergebnis",IF($R2007="B",INDEX($M$4:$M$2003,$S2007),INDEX($L$4:$L$2003,$S2007))))</f>
        <v/>
      </c>
      <c r="B2007" s="4">
        <f>IF($R2007="","",IF($R2007="T",$K$3,IF($R2007="B",COUNTIFS($M$4:$M$2003,INDEX($M$4:$M$2003,$S2007),$N$4:$N$2003,1),1)))</f>
        <v/>
      </c>
      <c r="Q2007">
        <f>IF(OR($R2006="",$R2006="T"),"",IF($R2006="B",$Q2006,IF($Q2006+1&gt;$K$3,"",$Q2006+1)))</f>
        <v/>
      </c>
      <c r="R2007">
        <f>IF(OR($R2006="",$R2006="T"),"",IF($R2006="B","S",IF($Q2006+1&gt;$K$3,"T",IF(INDEX($M$4:$M$2003,MATCH($Q2006+1,$P$4:$P$2003,0))&lt;&gt;INDEX($M$4:$M$2003,MATCH($Q2006,$P$4:$P$2003,0)),"B","S"))))</f>
        <v/>
      </c>
      <c r="S2007">
        <f>IF(Q2007="","",IFERROR(MATCH(Q2007,$P$4:$P$2003,0),""))</f>
        <v/>
      </c>
    </row>
    <row r="2008">
      <c r="A2008" s="4">
        <f>IF($R2008="","",IF($R2008="T","Gesamtergebnis",IF($R2008="B",INDEX($M$4:$M$2003,$S2008),INDEX($L$4:$L$2003,$S2008))))</f>
        <v/>
      </c>
      <c r="B2008" s="4">
        <f>IF($R2008="","",IF($R2008="T",$K$3,IF($R2008="B",COUNTIFS($M$4:$M$2003,INDEX($M$4:$M$2003,$S2008),$N$4:$N$2003,1),1)))</f>
        <v/>
      </c>
      <c r="Q2008">
        <f>IF(OR($R2007="",$R2007="T"),"",IF($R2007="B",$Q2007,IF($Q2007+1&gt;$K$3,"",$Q2007+1)))</f>
        <v/>
      </c>
      <c r="R2008">
        <f>IF(OR($R2007="",$R2007="T"),"",IF($R2007="B","S",IF($Q2007+1&gt;$K$3,"T",IF(INDEX($M$4:$M$2003,MATCH($Q2007+1,$P$4:$P$2003,0))&lt;&gt;INDEX($M$4:$M$2003,MATCH($Q2007,$P$4:$P$2003,0)),"B","S"))))</f>
        <v/>
      </c>
      <c r="S2008">
        <f>IF(Q2008="","",IFERROR(MATCH(Q2008,$P$4:$P$2003,0),""))</f>
        <v/>
      </c>
    </row>
    <row r="2009">
      <c r="A2009" s="4">
        <f>IF($R2009="","",IF($R2009="T","Gesamtergebnis",IF($R2009="B",INDEX($M$4:$M$2003,$S2009),INDEX($L$4:$L$2003,$S2009))))</f>
        <v/>
      </c>
      <c r="B2009" s="4">
        <f>IF($R2009="","",IF($R2009="T",$K$3,IF($R2009="B",COUNTIFS($M$4:$M$2003,INDEX($M$4:$M$2003,$S2009),$N$4:$N$2003,1),1)))</f>
        <v/>
      </c>
      <c r="Q2009">
        <f>IF(OR($R2008="",$R2008="T"),"",IF($R2008="B",$Q2008,IF($Q2008+1&gt;$K$3,"",$Q2008+1)))</f>
        <v/>
      </c>
      <c r="R2009">
        <f>IF(OR($R2008="",$R2008="T"),"",IF($R2008="B","S",IF($Q2008+1&gt;$K$3,"T",IF(INDEX($M$4:$M$2003,MATCH($Q2008+1,$P$4:$P$2003,0))&lt;&gt;INDEX($M$4:$M$2003,MATCH($Q2008,$P$4:$P$2003,0)),"B","S"))))</f>
        <v/>
      </c>
      <c r="S2009">
        <f>IF(Q2009="","",IFERROR(MATCH(Q2009,$P$4:$P$2003,0),""))</f>
        <v/>
      </c>
    </row>
    <row r="2010">
      <c r="A2010" s="4">
        <f>IF($R2010="","",IF($R2010="T","Gesamtergebnis",IF($R2010="B",INDEX($M$4:$M$2003,$S2010),INDEX($L$4:$L$2003,$S2010))))</f>
        <v/>
      </c>
      <c r="B2010" s="4">
        <f>IF($R2010="","",IF($R2010="T",$K$3,IF($R2010="B",COUNTIFS($M$4:$M$2003,INDEX($M$4:$M$2003,$S2010),$N$4:$N$2003,1),1)))</f>
        <v/>
      </c>
      <c r="Q2010">
        <f>IF(OR($R2009="",$R2009="T"),"",IF($R2009="B",$Q2009,IF($Q2009+1&gt;$K$3,"",$Q2009+1)))</f>
        <v/>
      </c>
      <c r="R2010">
        <f>IF(OR($R2009="",$R2009="T"),"",IF($R2009="B","S",IF($Q2009+1&gt;$K$3,"T",IF(INDEX($M$4:$M$2003,MATCH($Q2009+1,$P$4:$P$2003,0))&lt;&gt;INDEX($M$4:$M$2003,MATCH($Q2009,$P$4:$P$2003,0)),"B","S"))))</f>
        <v/>
      </c>
      <c r="S2010">
        <f>IF(Q2010="","",IFERROR(MATCH(Q2010,$P$4:$P$2003,0),""))</f>
        <v/>
      </c>
    </row>
    <row r="2011">
      <c r="A2011" s="4">
        <f>IF($R2011="","",IF($R2011="T","Gesamtergebnis",IF($R2011="B",INDEX($M$4:$M$2003,$S2011),INDEX($L$4:$L$2003,$S2011))))</f>
        <v/>
      </c>
      <c r="B2011" s="4">
        <f>IF($R2011="","",IF($R2011="T",$K$3,IF($R2011="B",COUNTIFS($M$4:$M$2003,INDEX($M$4:$M$2003,$S2011),$N$4:$N$2003,1),1)))</f>
        <v/>
      </c>
      <c r="Q2011">
        <f>IF(OR($R2010="",$R2010="T"),"",IF($R2010="B",$Q2010,IF($Q2010+1&gt;$K$3,"",$Q2010+1)))</f>
        <v/>
      </c>
      <c r="R2011">
        <f>IF(OR($R2010="",$R2010="T"),"",IF($R2010="B","S",IF($Q2010+1&gt;$K$3,"T",IF(INDEX($M$4:$M$2003,MATCH($Q2010+1,$P$4:$P$2003,0))&lt;&gt;INDEX($M$4:$M$2003,MATCH($Q2010,$P$4:$P$2003,0)),"B","S"))))</f>
        <v/>
      </c>
      <c r="S2011">
        <f>IF(Q2011="","",IFERROR(MATCH(Q2011,$P$4:$P$2003,0),""))</f>
        <v/>
      </c>
    </row>
    <row r="2012">
      <c r="A2012" s="4">
        <f>IF($R2012="","",IF($R2012="T","Gesamtergebnis",IF($R2012="B",INDEX($M$4:$M$2003,$S2012),INDEX($L$4:$L$2003,$S2012))))</f>
        <v/>
      </c>
      <c r="B2012" s="4">
        <f>IF($R2012="","",IF($R2012="T",$K$3,IF($R2012="B",COUNTIFS($M$4:$M$2003,INDEX($M$4:$M$2003,$S2012),$N$4:$N$2003,1),1)))</f>
        <v/>
      </c>
      <c r="Q2012">
        <f>IF(OR($R2011="",$R2011="T"),"",IF($R2011="B",$Q2011,IF($Q2011+1&gt;$K$3,"",$Q2011+1)))</f>
        <v/>
      </c>
      <c r="R2012">
        <f>IF(OR($R2011="",$R2011="T"),"",IF($R2011="B","S",IF($Q2011+1&gt;$K$3,"T",IF(INDEX($M$4:$M$2003,MATCH($Q2011+1,$P$4:$P$2003,0))&lt;&gt;INDEX($M$4:$M$2003,MATCH($Q2011,$P$4:$P$2003,0)),"B","S"))))</f>
        <v/>
      </c>
      <c r="S2012">
        <f>IF(Q2012="","",IFERROR(MATCH(Q2012,$P$4:$P$2003,0),""))</f>
        <v/>
      </c>
    </row>
    <row r="2013">
      <c r="A2013" s="4">
        <f>IF($R2013="","",IF($R2013="T","Gesamtergebnis",IF($R2013="B",INDEX($M$4:$M$2003,$S2013),INDEX($L$4:$L$2003,$S2013))))</f>
        <v/>
      </c>
      <c r="B2013" s="4">
        <f>IF($R2013="","",IF($R2013="T",$K$3,IF($R2013="B",COUNTIFS($M$4:$M$2003,INDEX($M$4:$M$2003,$S2013),$N$4:$N$2003,1),1)))</f>
        <v/>
      </c>
      <c r="Q2013">
        <f>IF(OR($R2012="",$R2012="T"),"",IF($R2012="B",$Q2012,IF($Q2012+1&gt;$K$3,"",$Q2012+1)))</f>
        <v/>
      </c>
      <c r="R2013">
        <f>IF(OR($R2012="",$R2012="T"),"",IF($R2012="B","S",IF($Q2012+1&gt;$K$3,"T",IF(INDEX($M$4:$M$2003,MATCH($Q2012+1,$P$4:$P$2003,0))&lt;&gt;INDEX($M$4:$M$2003,MATCH($Q2012,$P$4:$P$2003,0)),"B","S"))))</f>
        <v/>
      </c>
      <c r="S2013">
        <f>IF(Q2013="","",IFERROR(MATCH(Q2013,$P$4:$P$2003,0),""))</f>
        <v/>
      </c>
    </row>
    <row r="2014">
      <c r="A2014" s="4">
        <f>IF($R2014="","",IF($R2014="T","Gesamtergebnis",IF($R2014="B",INDEX($M$4:$M$2003,$S2014),INDEX($L$4:$L$2003,$S2014))))</f>
        <v/>
      </c>
      <c r="B2014" s="4">
        <f>IF($R2014="","",IF($R2014="T",$K$3,IF($R2014="B",COUNTIFS($M$4:$M$2003,INDEX($M$4:$M$2003,$S2014),$N$4:$N$2003,1),1)))</f>
        <v/>
      </c>
      <c r="Q2014">
        <f>IF(OR($R2013="",$R2013="T"),"",IF($R2013="B",$Q2013,IF($Q2013+1&gt;$K$3,"",$Q2013+1)))</f>
        <v/>
      </c>
      <c r="R2014">
        <f>IF(OR($R2013="",$R2013="T"),"",IF($R2013="B","S",IF($Q2013+1&gt;$K$3,"T",IF(INDEX($M$4:$M$2003,MATCH($Q2013+1,$P$4:$P$2003,0))&lt;&gt;INDEX($M$4:$M$2003,MATCH($Q2013,$P$4:$P$2003,0)),"B","S"))))</f>
        <v/>
      </c>
      <c r="S2014">
        <f>IF(Q2014="","",IFERROR(MATCH(Q2014,$P$4:$P$2003,0),""))</f>
        <v/>
      </c>
    </row>
    <row r="2015">
      <c r="A2015" s="4">
        <f>IF($R2015="","",IF($R2015="T","Gesamtergebnis",IF($R2015="B",INDEX($M$4:$M$2003,$S2015),INDEX($L$4:$L$2003,$S2015))))</f>
        <v/>
      </c>
      <c r="B2015" s="4">
        <f>IF($R2015="","",IF($R2015="T",$K$3,IF($R2015="B",COUNTIFS($M$4:$M$2003,INDEX($M$4:$M$2003,$S2015),$N$4:$N$2003,1),1)))</f>
        <v/>
      </c>
      <c r="Q2015">
        <f>IF(OR($R2014="",$R2014="T"),"",IF($R2014="B",$Q2014,IF($Q2014+1&gt;$K$3,"",$Q2014+1)))</f>
        <v/>
      </c>
      <c r="R2015">
        <f>IF(OR($R2014="",$R2014="T"),"",IF($R2014="B","S",IF($Q2014+1&gt;$K$3,"T",IF(INDEX($M$4:$M$2003,MATCH($Q2014+1,$P$4:$P$2003,0))&lt;&gt;INDEX($M$4:$M$2003,MATCH($Q2014,$P$4:$P$2003,0)),"B","S"))))</f>
        <v/>
      </c>
      <c r="S2015">
        <f>IF(Q2015="","",IFERROR(MATCH(Q2015,$P$4:$P$2003,0),""))</f>
        <v/>
      </c>
    </row>
    <row r="2016">
      <c r="A2016" s="4">
        <f>IF($R2016="","",IF($R2016="T","Gesamtergebnis",IF($R2016="B",INDEX($M$4:$M$2003,$S2016),INDEX($L$4:$L$2003,$S2016))))</f>
        <v/>
      </c>
      <c r="B2016" s="4">
        <f>IF($R2016="","",IF($R2016="T",$K$3,IF($R2016="B",COUNTIFS($M$4:$M$2003,INDEX($M$4:$M$2003,$S2016),$N$4:$N$2003,1),1)))</f>
        <v/>
      </c>
      <c r="Q2016">
        <f>IF(OR($R2015="",$R2015="T"),"",IF($R2015="B",$Q2015,IF($Q2015+1&gt;$K$3,"",$Q2015+1)))</f>
        <v/>
      </c>
      <c r="R2016">
        <f>IF(OR($R2015="",$R2015="T"),"",IF($R2015="B","S",IF($Q2015+1&gt;$K$3,"T",IF(INDEX($M$4:$M$2003,MATCH($Q2015+1,$P$4:$P$2003,0))&lt;&gt;INDEX($M$4:$M$2003,MATCH($Q2015,$P$4:$P$2003,0)),"B","S"))))</f>
        <v/>
      </c>
      <c r="S2016">
        <f>IF(Q2016="","",IFERROR(MATCH(Q2016,$P$4:$P$2003,0),""))</f>
        <v/>
      </c>
    </row>
    <row r="2017">
      <c r="A2017" s="4">
        <f>IF($R2017="","",IF($R2017="T","Gesamtergebnis",IF($R2017="B",INDEX($M$4:$M$2003,$S2017),INDEX($L$4:$L$2003,$S2017))))</f>
        <v/>
      </c>
      <c r="B2017" s="4">
        <f>IF($R2017="","",IF($R2017="T",$K$3,IF($R2017="B",COUNTIFS($M$4:$M$2003,INDEX($M$4:$M$2003,$S2017),$N$4:$N$2003,1),1)))</f>
        <v/>
      </c>
      <c r="Q2017">
        <f>IF(OR($R2016="",$R2016="T"),"",IF($R2016="B",$Q2016,IF($Q2016+1&gt;$K$3,"",$Q2016+1)))</f>
        <v/>
      </c>
      <c r="R2017">
        <f>IF(OR($R2016="",$R2016="T"),"",IF($R2016="B","S",IF($Q2016+1&gt;$K$3,"T",IF(INDEX($M$4:$M$2003,MATCH($Q2016+1,$P$4:$P$2003,0))&lt;&gt;INDEX($M$4:$M$2003,MATCH($Q2016,$P$4:$P$2003,0)),"B","S"))))</f>
        <v/>
      </c>
      <c r="S2017">
        <f>IF(Q2017="","",IFERROR(MATCH(Q2017,$P$4:$P$2003,0),""))</f>
        <v/>
      </c>
    </row>
    <row r="2018">
      <c r="A2018" s="4">
        <f>IF($R2018="","",IF($R2018="T","Gesamtergebnis",IF($R2018="B",INDEX($M$4:$M$2003,$S2018),INDEX($L$4:$L$2003,$S2018))))</f>
        <v/>
      </c>
      <c r="B2018" s="4">
        <f>IF($R2018="","",IF($R2018="T",$K$3,IF($R2018="B",COUNTIFS($M$4:$M$2003,INDEX($M$4:$M$2003,$S2018),$N$4:$N$2003,1),1)))</f>
        <v/>
      </c>
      <c r="Q2018">
        <f>IF(OR($R2017="",$R2017="T"),"",IF($R2017="B",$Q2017,IF($Q2017+1&gt;$K$3,"",$Q2017+1)))</f>
        <v/>
      </c>
      <c r="R2018">
        <f>IF(OR($R2017="",$R2017="T"),"",IF($R2017="B","S",IF($Q2017+1&gt;$K$3,"T",IF(INDEX($M$4:$M$2003,MATCH($Q2017+1,$P$4:$P$2003,0))&lt;&gt;INDEX($M$4:$M$2003,MATCH($Q2017,$P$4:$P$2003,0)),"B","S"))))</f>
        <v/>
      </c>
      <c r="S2018">
        <f>IF(Q2018="","",IFERROR(MATCH(Q2018,$P$4:$P$2003,0),""))</f>
        <v/>
      </c>
    </row>
    <row r="2019">
      <c r="A2019" s="4">
        <f>IF($R2019="","",IF($R2019="T","Gesamtergebnis",IF($R2019="B",INDEX($M$4:$M$2003,$S2019),INDEX($L$4:$L$2003,$S2019))))</f>
        <v/>
      </c>
      <c r="B2019" s="4">
        <f>IF($R2019="","",IF($R2019="T",$K$3,IF($R2019="B",COUNTIFS($M$4:$M$2003,INDEX($M$4:$M$2003,$S2019),$N$4:$N$2003,1),1)))</f>
        <v/>
      </c>
      <c r="Q2019">
        <f>IF(OR($R2018="",$R2018="T"),"",IF($R2018="B",$Q2018,IF($Q2018+1&gt;$K$3,"",$Q2018+1)))</f>
        <v/>
      </c>
      <c r="R2019">
        <f>IF(OR($R2018="",$R2018="T"),"",IF($R2018="B","S",IF($Q2018+1&gt;$K$3,"T",IF(INDEX($M$4:$M$2003,MATCH($Q2018+1,$P$4:$P$2003,0))&lt;&gt;INDEX($M$4:$M$2003,MATCH($Q2018,$P$4:$P$2003,0)),"B","S"))))</f>
        <v/>
      </c>
      <c r="S2019">
        <f>IF(Q2019="","",IFERROR(MATCH(Q2019,$P$4:$P$2003,0),""))</f>
        <v/>
      </c>
    </row>
    <row r="2020">
      <c r="A2020" s="4">
        <f>IF($R2020="","",IF($R2020="T","Gesamtergebnis",IF($R2020="B",INDEX($M$4:$M$2003,$S2020),INDEX($L$4:$L$2003,$S2020))))</f>
        <v/>
      </c>
      <c r="B2020" s="4">
        <f>IF($R2020="","",IF($R2020="T",$K$3,IF($R2020="B",COUNTIFS($M$4:$M$2003,INDEX($M$4:$M$2003,$S2020),$N$4:$N$2003,1),1)))</f>
        <v/>
      </c>
      <c r="Q2020">
        <f>IF(OR($R2019="",$R2019="T"),"",IF($R2019="B",$Q2019,IF($Q2019+1&gt;$K$3,"",$Q2019+1)))</f>
        <v/>
      </c>
      <c r="R2020">
        <f>IF(OR($R2019="",$R2019="T"),"",IF($R2019="B","S",IF($Q2019+1&gt;$K$3,"T",IF(INDEX($M$4:$M$2003,MATCH($Q2019+1,$P$4:$P$2003,0))&lt;&gt;INDEX($M$4:$M$2003,MATCH($Q2019,$P$4:$P$2003,0)),"B","S"))))</f>
        <v/>
      </c>
      <c r="S2020">
        <f>IF(Q2020="","",IFERROR(MATCH(Q2020,$P$4:$P$2003,0),""))</f>
        <v/>
      </c>
    </row>
    <row r="2021">
      <c r="A2021" s="4">
        <f>IF($R2021="","",IF($R2021="T","Gesamtergebnis",IF($R2021="B",INDEX($M$4:$M$2003,$S2021),INDEX($L$4:$L$2003,$S2021))))</f>
        <v/>
      </c>
      <c r="B2021" s="4">
        <f>IF($R2021="","",IF($R2021="T",$K$3,IF($R2021="B",COUNTIFS($M$4:$M$2003,INDEX($M$4:$M$2003,$S2021),$N$4:$N$2003,1),1)))</f>
        <v/>
      </c>
      <c r="Q2021">
        <f>IF(OR($R2020="",$R2020="T"),"",IF($R2020="B",$Q2020,IF($Q2020+1&gt;$K$3,"",$Q2020+1)))</f>
        <v/>
      </c>
      <c r="R2021">
        <f>IF(OR($R2020="",$R2020="T"),"",IF($R2020="B","S",IF($Q2020+1&gt;$K$3,"T",IF(INDEX($M$4:$M$2003,MATCH($Q2020+1,$P$4:$P$2003,0))&lt;&gt;INDEX($M$4:$M$2003,MATCH($Q2020,$P$4:$P$2003,0)),"B","S"))))</f>
        <v/>
      </c>
      <c r="S2021">
        <f>IF(Q2021="","",IFERROR(MATCH(Q2021,$P$4:$P$2003,0),""))</f>
        <v/>
      </c>
    </row>
    <row r="2022">
      <c r="A2022" s="4">
        <f>IF($R2022="","",IF($R2022="T","Gesamtergebnis",IF($R2022="B",INDEX($M$4:$M$2003,$S2022),INDEX($L$4:$L$2003,$S2022))))</f>
        <v/>
      </c>
      <c r="B2022" s="4">
        <f>IF($R2022="","",IF($R2022="T",$K$3,IF($R2022="B",COUNTIFS($M$4:$M$2003,INDEX($M$4:$M$2003,$S2022),$N$4:$N$2003,1),1)))</f>
        <v/>
      </c>
      <c r="Q2022">
        <f>IF(OR($R2021="",$R2021="T"),"",IF($R2021="B",$Q2021,IF($Q2021+1&gt;$K$3,"",$Q2021+1)))</f>
        <v/>
      </c>
      <c r="R2022">
        <f>IF(OR($R2021="",$R2021="T"),"",IF($R2021="B","S",IF($Q2021+1&gt;$K$3,"T",IF(INDEX($M$4:$M$2003,MATCH($Q2021+1,$P$4:$P$2003,0))&lt;&gt;INDEX($M$4:$M$2003,MATCH($Q2021,$P$4:$P$2003,0)),"B","S"))))</f>
        <v/>
      </c>
      <c r="S2022">
        <f>IF(Q2022="","",IFERROR(MATCH(Q2022,$P$4:$P$2003,0),""))</f>
        <v/>
      </c>
    </row>
    <row r="2023">
      <c r="A2023" s="4">
        <f>IF($R2023="","",IF($R2023="T","Gesamtergebnis",IF($R2023="B",INDEX($M$4:$M$2003,$S2023),INDEX($L$4:$L$2003,$S2023))))</f>
        <v/>
      </c>
      <c r="B2023" s="4">
        <f>IF($R2023="","",IF($R2023="T",$K$3,IF($R2023="B",COUNTIFS($M$4:$M$2003,INDEX($M$4:$M$2003,$S2023),$N$4:$N$2003,1),1)))</f>
        <v/>
      </c>
      <c r="Q2023">
        <f>IF(OR($R2022="",$R2022="T"),"",IF($R2022="B",$Q2022,IF($Q2022+1&gt;$K$3,"",$Q2022+1)))</f>
        <v/>
      </c>
      <c r="R2023">
        <f>IF(OR($R2022="",$R2022="T"),"",IF($R2022="B","S",IF($Q2022+1&gt;$K$3,"T",IF(INDEX($M$4:$M$2003,MATCH($Q2022+1,$P$4:$P$2003,0))&lt;&gt;INDEX($M$4:$M$2003,MATCH($Q2022,$P$4:$P$2003,0)),"B","S"))))</f>
        <v/>
      </c>
      <c r="S2023">
        <f>IF(Q2023="","",IFERROR(MATCH(Q2023,$P$4:$P$2003,0),""))</f>
        <v/>
      </c>
    </row>
    <row r="2024">
      <c r="A2024" s="4">
        <f>IF($R2024="","",IF($R2024="T","Gesamtergebnis",IF($R2024="B",INDEX($M$4:$M$2003,$S2024),INDEX($L$4:$L$2003,$S2024))))</f>
        <v/>
      </c>
      <c r="B2024" s="4">
        <f>IF($R2024="","",IF($R2024="T",$K$3,IF($R2024="B",COUNTIFS($M$4:$M$2003,INDEX($M$4:$M$2003,$S2024),$N$4:$N$2003,1),1)))</f>
        <v/>
      </c>
      <c r="Q2024">
        <f>IF(OR($R2023="",$R2023="T"),"",IF($R2023="B",$Q2023,IF($Q2023+1&gt;$K$3,"",$Q2023+1)))</f>
        <v/>
      </c>
      <c r="R2024">
        <f>IF(OR($R2023="",$R2023="T"),"",IF($R2023="B","S",IF($Q2023+1&gt;$K$3,"T",IF(INDEX($M$4:$M$2003,MATCH($Q2023+1,$P$4:$P$2003,0))&lt;&gt;INDEX($M$4:$M$2003,MATCH($Q2023,$P$4:$P$2003,0)),"B","S"))))</f>
        <v/>
      </c>
      <c r="S2024">
        <f>IF(Q2024="","",IFERROR(MATCH(Q2024,$P$4:$P$2003,0),""))</f>
        <v/>
      </c>
    </row>
    <row r="2025">
      <c r="A2025" s="4">
        <f>IF($R2025="","",IF($R2025="T","Gesamtergebnis",IF($R2025="B",INDEX($M$4:$M$2003,$S2025),INDEX($L$4:$L$2003,$S2025))))</f>
        <v/>
      </c>
      <c r="B2025" s="4">
        <f>IF($R2025="","",IF($R2025="T",$K$3,IF($R2025="B",COUNTIFS($M$4:$M$2003,INDEX($M$4:$M$2003,$S2025),$N$4:$N$2003,1),1)))</f>
        <v/>
      </c>
      <c r="Q2025">
        <f>IF(OR($R2024="",$R2024="T"),"",IF($R2024="B",$Q2024,IF($Q2024+1&gt;$K$3,"",$Q2024+1)))</f>
        <v/>
      </c>
      <c r="R2025">
        <f>IF(OR($R2024="",$R2024="T"),"",IF($R2024="B","S",IF($Q2024+1&gt;$K$3,"T",IF(INDEX($M$4:$M$2003,MATCH($Q2024+1,$P$4:$P$2003,0))&lt;&gt;INDEX($M$4:$M$2003,MATCH($Q2024,$P$4:$P$2003,0)),"B","S"))))</f>
        <v/>
      </c>
      <c r="S2025">
        <f>IF(Q2025="","",IFERROR(MATCH(Q2025,$P$4:$P$2003,0),""))</f>
        <v/>
      </c>
    </row>
    <row r="2026">
      <c r="A2026" s="4">
        <f>IF($R2026="","",IF($R2026="T","Gesamtergebnis",IF($R2026="B",INDEX($M$4:$M$2003,$S2026),INDEX($L$4:$L$2003,$S2026))))</f>
        <v/>
      </c>
      <c r="B2026" s="4">
        <f>IF($R2026="","",IF($R2026="T",$K$3,IF($R2026="B",COUNTIFS($M$4:$M$2003,INDEX($M$4:$M$2003,$S2026),$N$4:$N$2003,1),1)))</f>
        <v/>
      </c>
      <c r="Q2026">
        <f>IF(OR($R2025="",$R2025="T"),"",IF($R2025="B",$Q2025,IF($Q2025+1&gt;$K$3,"",$Q2025+1)))</f>
        <v/>
      </c>
      <c r="R2026">
        <f>IF(OR($R2025="",$R2025="T"),"",IF($R2025="B","S",IF($Q2025+1&gt;$K$3,"T",IF(INDEX($M$4:$M$2003,MATCH($Q2025+1,$P$4:$P$2003,0))&lt;&gt;INDEX($M$4:$M$2003,MATCH($Q2025,$P$4:$P$2003,0)),"B","S"))))</f>
        <v/>
      </c>
      <c r="S2026">
        <f>IF(Q2026="","",IFERROR(MATCH(Q2026,$P$4:$P$2003,0),""))</f>
        <v/>
      </c>
    </row>
    <row r="2027">
      <c r="A2027" s="4">
        <f>IF($R2027="","",IF($R2027="T","Gesamtergebnis",IF($R2027="B",INDEX($M$4:$M$2003,$S2027),INDEX($L$4:$L$2003,$S2027))))</f>
        <v/>
      </c>
      <c r="B2027" s="4">
        <f>IF($R2027="","",IF($R2027="T",$K$3,IF($R2027="B",COUNTIFS($M$4:$M$2003,INDEX($M$4:$M$2003,$S2027),$N$4:$N$2003,1),1)))</f>
        <v/>
      </c>
      <c r="Q2027">
        <f>IF(OR($R2026="",$R2026="T"),"",IF($R2026="B",$Q2026,IF($Q2026+1&gt;$K$3,"",$Q2026+1)))</f>
        <v/>
      </c>
      <c r="R2027">
        <f>IF(OR($R2026="",$R2026="T"),"",IF($R2026="B","S",IF($Q2026+1&gt;$K$3,"T",IF(INDEX($M$4:$M$2003,MATCH($Q2026+1,$P$4:$P$2003,0))&lt;&gt;INDEX($M$4:$M$2003,MATCH($Q2026,$P$4:$P$2003,0)),"B","S"))))</f>
        <v/>
      </c>
      <c r="S2027">
        <f>IF(Q2027="","",IFERROR(MATCH(Q2027,$P$4:$P$2003,0),""))</f>
        <v/>
      </c>
    </row>
    <row r="2028">
      <c r="A2028" s="4">
        <f>IF($R2028="","",IF($R2028="T","Gesamtergebnis",IF($R2028="B",INDEX($M$4:$M$2003,$S2028),INDEX($L$4:$L$2003,$S2028))))</f>
        <v/>
      </c>
      <c r="B2028" s="4">
        <f>IF($R2028="","",IF($R2028="T",$K$3,IF($R2028="B",COUNTIFS($M$4:$M$2003,INDEX($M$4:$M$2003,$S2028),$N$4:$N$2003,1),1)))</f>
        <v/>
      </c>
      <c r="Q2028">
        <f>IF(OR($R2027="",$R2027="T"),"",IF($R2027="B",$Q2027,IF($Q2027+1&gt;$K$3,"",$Q2027+1)))</f>
        <v/>
      </c>
      <c r="R2028">
        <f>IF(OR($R2027="",$R2027="T"),"",IF($R2027="B","S",IF($Q2027+1&gt;$K$3,"T",IF(INDEX($M$4:$M$2003,MATCH($Q2027+1,$P$4:$P$2003,0))&lt;&gt;INDEX($M$4:$M$2003,MATCH($Q2027,$P$4:$P$2003,0)),"B","S"))))</f>
        <v/>
      </c>
      <c r="S2028">
        <f>IF(Q2028="","",IFERROR(MATCH(Q2028,$P$4:$P$2003,0),""))</f>
        <v/>
      </c>
    </row>
    <row r="2029">
      <c r="A2029" s="4">
        <f>IF($R2029="","",IF($R2029="T","Gesamtergebnis",IF($R2029="B",INDEX($M$4:$M$2003,$S2029),INDEX($L$4:$L$2003,$S2029))))</f>
        <v/>
      </c>
      <c r="B2029" s="4">
        <f>IF($R2029="","",IF($R2029="T",$K$3,IF($R2029="B",COUNTIFS($M$4:$M$2003,INDEX($M$4:$M$2003,$S2029),$N$4:$N$2003,1),1)))</f>
        <v/>
      </c>
      <c r="Q2029">
        <f>IF(OR($R2028="",$R2028="T"),"",IF($R2028="B",$Q2028,IF($Q2028+1&gt;$K$3,"",$Q2028+1)))</f>
        <v/>
      </c>
      <c r="R2029">
        <f>IF(OR($R2028="",$R2028="T"),"",IF($R2028="B","S",IF($Q2028+1&gt;$K$3,"T",IF(INDEX($M$4:$M$2003,MATCH($Q2028+1,$P$4:$P$2003,0))&lt;&gt;INDEX($M$4:$M$2003,MATCH($Q2028,$P$4:$P$2003,0)),"B","S"))))</f>
        <v/>
      </c>
      <c r="S2029">
        <f>IF(Q2029="","",IFERROR(MATCH(Q2029,$P$4:$P$2003,0),""))</f>
        <v/>
      </c>
    </row>
    <row r="2030">
      <c r="A2030" s="4">
        <f>IF($R2030="","",IF($R2030="T","Gesamtergebnis",IF($R2030="B",INDEX($M$4:$M$2003,$S2030),INDEX($L$4:$L$2003,$S2030))))</f>
        <v/>
      </c>
      <c r="B2030" s="4">
        <f>IF($R2030="","",IF($R2030="T",$K$3,IF($R2030="B",COUNTIFS($M$4:$M$2003,INDEX($M$4:$M$2003,$S2030),$N$4:$N$2003,1),1)))</f>
        <v/>
      </c>
      <c r="Q2030">
        <f>IF(OR($R2029="",$R2029="T"),"",IF($R2029="B",$Q2029,IF($Q2029+1&gt;$K$3,"",$Q2029+1)))</f>
        <v/>
      </c>
      <c r="R2030">
        <f>IF(OR($R2029="",$R2029="T"),"",IF($R2029="B","S",IF($Q2029+1&gt;$K$3,"T",IF(INDEX($M$4:$M$2003,MATCH($Q2029+1,$P$4:$P$2003,0))&lt;&gt;INDEX($M$4:$M$2003,MATCH($Q2029,$P$4:$P$2003,0)),"B","S"))))</f>
        <v/>
      </c>
      <c r="S2030">
        <f>IF(Q2030="","",IFERROR(MATCH(Q2030,$P$4:$P$2003,0),""))</f>
        <v/>
      </c>
    </row>
    <row r="2031">
      <c r="A2031" s="4">
        <f>IF($R2031="","",IF($R2031="T","Gesamtergebnis",IF($R2031="B",INDEX($M$4:$M$2003,$S2031),INDEX($L$4:$L$2003,$S2031))))</f>
        <v/>
      </c>
      <c r="B2031" s="4">
        <f>IF($R2031="","",IF($R2031="T",$K$3,IF($R2031="B",COUNTIFS($M$4:$M$2003,INDEX($M$4:$M$2003,$S2031),$N$4:$N$2003,1),1)))</f>
        <v/>
      </c>
      <c r="Q2031">
        <f>IF(OR($R2030="",$R2030="T"),"",IF($R2030="B",$Q2030,IF($Q2030+1&gt;$K$3,"",$Q2030+1)))</f>
        <v/>
      </c>
      <c r="R2031">
        <f>IF(OR($R2030="",$R2030="T"),"",IF($R2030="B","S",IF($Q2030+1&gt;$K$3,"T",IF(INDEX($M$4:$M$2003,MATCH($Q2030+1,$P$4:$P$2003,0))&lt;&gt;INDEX($M$4:$M$2003,MATCH($Q2030,$P$4:$P$2003,0)),"B","S"))))</f>
        <v/>
      </c>
      <c r="S2031">
        <f>IF(Q2031="","",IFERROR(MATCH(Q2031,$P$4:$P$2003,0),""))</f>
        <v/>
      </c>
    </row>
    <row r="2032">
      <c r="A2032" s="4">
        <f>IF($R2032="","",IF($R2032="T","Gesamtergebnis",IF($R2032="B",INDEX($M$4:$M$2003,$S2032),INDEX($L$4:$L$2003,$S2032))))</f>
        <v/>
      </c>
      <c r="B2032" s="4">
        <f>IF($R2032="","",IF($R2032="T",$K$3,IF($R2032="B",COUNTIFS($M$4:$M$2003,INDEX($M$4:$M$2003,$S2032),$N$4:$N$2003,1),1)))</f>
        <v/>
      </c>
      <c r="Q2032">
        <f>IF(OR($R2031="",$R2031="T"),"",IF($R2031="B",$Q2031,IF($Q2031+1&gt;$K$3,"",$Q2031+1)))</f>
        <v/>
      </c>
      <c r="R2032">
        <f>IF(OR($R2031="",$R2031="T"),"",IF($R2031="B","S",IF($Q2031+1&gt;$K$3,"T",IF(INDEX($M$4:$M$2003,MATCH($Q2031+1,$P$4:$P$2003,0))&lt;&gt;INDEX($M$4:$M$2003,MATCH($Q2031,$P$4:$P$2003,0)),"B","S"))))</f>
        <v/>
      </c>
      <c r="S2032">
        <f>IF(Q2032="","",IFERROR(MATCH(Q2032,$P$4:$P$2003,0),""))</f>
        <v/>
      </c>
    </row>
    <row r="2033">
      <c r="A2033" s="4">
        <f>IF($R2033="","",IF($R2033="T","Gesamtergebnis",IF($R2033="B",INDEX($M$4:$M$2003,$S2033),INDEX($L$4:$L$2003,$S2033))))</f>
        <v/>
      </c>
      <c r="B2033" s="4">
        <f>IF($R2033="","",IF($R2033="T",$K$3,IF($R2033="B",COUNTIFS($M$4:$M$2003,INDEX($M$4:$M$2003,$S2033),$N$4:$N$2003,1),1)))</f>
        <v/>
      </c>
      <c r="Q2033">
        <f>IF(OR($R2032="",$R2032="T"),"",IF($R2032="B",$Q2032,IF($Q2032+1&gt;$K$3,"",$Q2032+1)))</f>
        <v/>
      </c>
      <c r="R2033">
        <f>IF(OR($R2032="",$R2032="T"),"",IF($R2032="B","S",IF($Q2032+1&gt;$K$3,"T",IF(INDEX($M$4:$M$2003,MATCH($Q2032+1,$P$4:$P$2003,0))&lt;&gt;INDEX($M$4:$M$2003,MATCH($Q2032,$P$4:$P$2003,0)),"B","S"))))</f>
        <v/>
      </c>
      <c r="S2033">
        <f>IF(Q2033="","",IFERROR(MATCH(Q2033,$P$4:$P$2003,0),""))</f>
        <v/>
      </c>
    </row>
    <row r="2034">
      <c r="A2034" s="4">
        <f>IF($R2034="","",IF($R2034="T","Gesamtergebnis",IF($R2034="B",INDEX($M$4:$M$2003,$S2034),INDEX($L$4:$L$2003,$S2034))))</f>
        <v/>
      </c>
      <c r="B2034" s="4">
        <f>IF($R2034="","",IF($R2034="T",$K$3,IF($R2034="B",COUNTIFS($M$4:$M$2003,INDEX($M$4:$M$2003,$S2034),$N$4:$N$2003,1),1)))</f>
        <v/>
      </c>
      <c r="Q2034">
        <f>IF(OR($R2033="",$R2033="T"),"",IF($R2033="B",$Q2033,IF($Q2033+1&gt;$K$3,"",$Q2033+1)))</f>
        <v/>
      </c>
      <c r="R2034">
        <f>IF(OR($R2033="",$R2033="T"),"",IF($R2033="B","S",IF($Q2033+1&gt;$K$3,"T",IF(INDEX($M$4:$M$2003,MATCH($Q2033+1,$P$4:$P$2003,0))&lt;&gt;INDEX($M$4:$M$2003,MATCH($Q2033,$P$4:$P$2003,0)),"B","S"))))</f>
        <v/>
      </c>
      <c r="S2034">
        <f>IF(Q2034="","",IFERROR(MATCH(Q2034,$P$4:$P$2003,0),""))</f>
        <v/>
      </c>
    </row>
    <row r="2035">
      <c r="A2035" s="4">
        <f>IF($R2035="","",IF($R2035="T","Gesamtergebnis",IF($R2035="B",INDEX($M$4:$M$2003,$S2035),INDEX($L$4:$L$2003,$S2035))))</f>
        <v/>
      </c>
      <c r="B2035" s="4">
        <f>IF($R2035="","",IF($R2035="T",$K$3,IF($R2035="B",COUNTIFS($M$4:$M$2003,INDEX($M$4:$M$2003,$S2035),$N$4:$N$2003,1),1)))</f>
        <v/>
      </c>
      <c r="Q2035">
        <f>IF(OR($R2034="",$R2034="T"),"",IF($R2034="B",$Q2034,IF($Q2034+1&gt;$K$3,"",$Q2034+1)))</f>
        <v/>
      </c>
      <c r="R2035">
        <f>IF(OR($R2034="",$R2034="T"),"",IF($R2034="B","S",IF($Q2034+1&gt;$K$3,"T",IF(INDEX($M$4:$M$2003,MATCH($Q2034+1,$P$4:$P$2003,0))&lt;&gt;INDEX($M$4:$M$2003,MATCH($Q2034,$P$4:$P$2003,0)),"B","S"))))</f>
        <v/>
      </c>
      <c r="S2035">
        <f>IF(Q2035="","",IFERROR(MATCH(Q2035,$P$4:$P$2003,0),""))</f>
        <v/>
      </c>
    </row>
    <row r="2036">
      <c r="A2036" s="4">
        <f>IF($R2036="","",IF($R2036="T","Gesamtergebnis",IF($R2036="B",INDEX($M$4:$M$2003,$S2036),INDEX($L$4:$L$2003,$S2036))))</f>
        <v/>
      </c>
      <c r="B2036" s="4">
        <f>IF($R2036="","",IF($R2036="T",$K$3,IF($R2036="B",COUNTIFS($M$4:$M$2003,INDEX($M$4:$M$2003,$S2036),$N$4:$N$2003,1),1)))</f>
        <v/>
      </c>
      <c r="Q2036">
        <f>IF(OR($R2035="",$R2035="T"),"",IF($R2035="B",$Q2035,IF($Q2035+1&gt;$K$3,"",$Q2035+1)))</f>
        <v/>
      </c>
      <c r="R2036">
        <f>IF(OR($R2035="",$R2035="T"),"",IF($R2035="B","S",IF($Q2035+1&gt;$K$3,"T",IF(INDEX($M$4:$M$2003,MATCH($Q2035+1,$P$4:$P$2003,0))&lt;&gt;INDEX($M$4:$M$2003,MATCH($Q2035,$P$4:$P$2003,0)),"B","S"))))</f>
        <v/>
      </c>
      <c r="S2036">
        <f>IF(Q2036="","",IFERROR(MATCH(Q2036,$P$4:$P$2003,0),""))</f>
        <v/>
      </c>
    </row>
    <row r="2037">
      <c r="A2037" s="4">
        <f>IF($R2037="","",IF($R2037="T","Gesamtergebnis",IF($R2037="B",INDEX($M$4:$M$2003,$S2037),INDEX($L$4:$L$2003,$S2037))))</f>
        <v/>
      </c>
      <c r="B2037" s="4">
        <f>IF($R2037="","",IF($R2037="T",$K$3,IF($R2037="B",COUNTIFS($M$4:$M$2003,INDEX($M$4:$M$2003,$S2037),$N$4:$N$2003,1),1)))</f>
        <v/>
      </c>
      <c r="Q2037">
        <f>IF(OR($R2036="",$R2036="T"),"",IF($R2036="B",$Q2036,IF($Q2036+1&gt;$K$3,"",$Q2036+1)))</f>
        <v/>
      </c>
      <c r="R2037">
        <f>IF(OR($R2036="",$R2036="T"),"",IF($R2036="B","S",IF($Q2036+1&gt;$K$3,"T",IF(INDEX($M$4:$M$2003,MATCH($Q2036+1,$P$4:$P$2003,0))&lt;&gt;INDEX($M$4:$M$2003,MATCH($Q2036,$P$4:$P$2003,0)),"B","S"))))</f>
        <v/>
      </c>
      <c r="S2037">
        <f>IF(Q2037="","",IFERROR(MATCH(Q2037,$P$4:$P$2003,0),""))</f>
        <v/>
      </c>
    </row>
    <row r="2038">
      <c r="A2038" s="4">
        <f>IF($R2038="","",IF($R2038="T","Gesamtergebnis",IF($R2038="B",INDEX($M$4:$M$2003,$S2038),INDEX($L$4:$L$2003,$S2038))))</f>
        <v/>
      </c>
      <c r="B2038" s="4">
        <f>IF($R2038="","",IF($R2038="T",$K$3,IF($R2038="B",COUNTIFS($M$4:$M$2003,INDEX($M$4:$M$2003,$S2038),$N$4:$N$2003,1),1)))</f>
        <v/>
      </c>
      <c r="Q2038">
        <f>IF(OR($R2037="",$R2037="T"),"",IF($R2037="B",$Q2037,IF($Q2037+1&gt;$K$3,"",$Q2037+1)))</f>
        <v/>
      </c>
      <c r="R2038">
        <f>IF(OR($R2037="",$R2037="T"),"",IF($R2037="B","S",IF($Q2037+1&gt;$K$3,"T",IF(INDEX($M$4:$M$2003,MATCH($Q2037+1,$P$4:$P$2003,0))&lt;&gt;INDEX($M$4:$M$2003,MATCH($Q2037,$P$4:$P$2003,0)),"B","S"))))</f>
        <v/>
      </c>
      <c r="S2038">
        <f>IF(Q2038="","",IFERROR(MATCH(Q2038,$P$4:$P$2003,0),""))</f>
        <v/>
      </c>
    </row>
    <row r="2039">
      <c r="A2039" s="4">
        <f>IF($R2039="","",IF($R2039="T","Gesamtergebnis",IF($R2039="B",INDEX($M$4:$M$2003,$S2039),INDEX($L$4:$L$2003,$S2039))))</f>
        <v/>
      </c>
      <c r="B2039" s="4">
        <f>IF($R2039="","",IF($R2039="T",$K$3,IF($R2039="B",COUNTIFS($M$4:$M$2003,INDEX($M$4:$M$2003,$S2039),$N$4:$N$2003,1),1)))</f>
        <v/>
      </c>
      <c r="Q2039">
        <f>IF(OR($R2038="",$R2038="T"),"",IF($R2038="B",$Q2038,IF($Q2038+1&gt;$K$3,"",$Q2038+1)))</f>
        <v/>
      </c>
      <c r="R2039">
        <f>IF(OR($R2038="",$R2038="T"),"",IF($R2038="B","S",IF($Q2038+1&gt;$K$3,"T",IF(INDEX($M$4:$M$2003,MATCH($Q2038+1,$P$4:$P$2003,0))&lt;&gt;INDEX($M$4:$M$2003,MATCH($Q2038,$P$4:$P$2003,0)),"B","S"))))</f>
        <v/>
      </c>
      <c r="S2039">
        <f>IF(Q2039="","",IFERROR(MATCH(Q2039,$P$4:$P$2003,0),""))</f>
        <v/>
      </c>
    </row>
    <row r="2040">
      <c r="A2040" s="4">
        <f>IF($R2040="","",IF($R2040="T","Gesamtergebnis",IF($R2040="B",INDEX($M$4:$M$2003,$S2040),INDEX($L$4:$L$2003,$S2040))))</f>
        <v/>
      </c>
      <c r="B2040" s="4">
        <f>IF($R2040="","",IF($R2040="T",$K$3,IF($R2040="B",COUNTIFS($M$4:$M$2003,INDEX($M$4:$M$2003,$S2040),$N$4:$N$2003,1),1)))</f>
        <v/>
      </c>
      <c r="Q2040">
        <f>IF(OR($R2039="",$R2039="T"),"",IF($R2039="B",$Q2039,IF($Q2039+1&gt;$K$3,"",$Q2039+1)))</f>
        <v/>
      </c>
      <c r="R2040">
        <f>IF(OR($R2039="",$R2039="T"),"",IF($R2039="B","S",IF($Q2039+1&gt;$K$3,"T",IF(INDEX($M$4:$M$2003,MATCH($Q2039+1,$P$4:$P$2003,0))&lt;&gt;INDEX($M$4:$M$2003,MATCH($Q2039,$P$4:$P$2003,0)),"B","S"))))</f>
        <v/>
      </c>
      <c r="S2040">
        <f>IF(Q2040="","",IFERROR(MATCH(Q2040,$P$4:$P$2003,0),""))</f>
        <v/>
      </c>
    </row>
    <row r="2041">
      <c r="A2041" s="4">
        <f>IF($R2041="","",IF($R2041="T","Gesamtergebnis",IF($R2041="B",INDEX($M$4:$M$2003,$S2041),INDEX($L$4:$L$2003,$S2041))))</f>
        <v/>
      </c>
      <c r="B2041" s="4">
        <f>IF($R2041="","",IF($R2041="T",$K$3,IF($R2041="B",COUNTIFS($M$4:$M$2003,INDEX($M$4:$M$2003,$S2041),$N$4:$N$2003,1),1)))</f>
        <v/>
      </c>
      <c r="Q2041">
        <f>IF(OR($R2040="",$R2040="T"),"",IF($R2040="B",$Q2040,IF($Q2040+1&gt;$K$3,"",$Q2040+1)))</f>
        <v/>
      </c>
      <c r="R2041">
        <f>IF(OR($R2040="",$R2040="T"),"",IF($R2040="B","S",IF($Q2040+1&gt;$K$3,"T",IF(INDEX($M$4:$M$2003,MATCH($Q2040+1,$P$4:$P$2003,0))&lt;&gt;INDEX($M$4:$M$2003,MATCH($Q2040,$P$4:$P$2003,0)),"B","S"))))</f>
        <v/>
      </c>
      <c r="S2041">
        <f>IF(Q2041="","",IFERROR(MATCH(Q2041,$P$4:$P$2003,0),""))</f>
        <v/>
      </c>
    </row>
    <row r="2042">
      <c r="A2042" s="4">
        <f>IF($R2042="","",IF($R2042="T","Gesamtergebnis",IF($R2042="B",INDEX($M$4:$M$2003,$S2042),INDEX($L$4:$L$2003,$S2042))))</f>
        <v/>
      </c>
      <c r="B2042" s="4">
        <f>IF($R2042="","",IF($R2042="T",$K$3,IF($R2042="B",COUNTIFS($M$4:$M$2003,INDEX($M$4:$M$2003,$S2042),$N$4:$N$2003,1),1)))</f>
        <v/>
      </c>
      <c r="Q2042">
        <f>IF(OR($R2041="",$R2041="T"),"",IF($R2041="B",$Q2041,IF($Q2041+1&gt;$K$3,"",$Q2041+1)))</f>
        <v/>
      </c>
      <c r="R2042">
        <f>IF(OR($R2041="",$R2041="T"),"",IF($R2041="B","S",IF($Q2041+1&gt;$K$3,"T",IF(INDEX($M$4:$M$2003,MATCH($Q2041+1,$P$4:$P$2003,0))&lt;&gt;INDEX($M$4:$M$2003,MATCH($Q2041,$P$4:$P$2003,0)),"B","S"))))</f>
        <v/>
      </c>
      <c r="S2042">
        <f>IF(Q2042="","",IFERROR(MATCH(Q2042,$P$4:$P$2003,0),""))</f>
        <v/>
      </c>
    </row>
    <row r="2043">
      <c r="A2043" s="4">
        <f>IF($R2043="","",IF($R2043="T","Gesamtergebnis",IF($R2043="B",INDEX($M$4:$M$2003,$S2043),INDEX($L$4:$L$2003,$S2043))))</f>
        <v/>
      </c>
      <c r="B2043" s="4">
        <f>IF($R2043="","",IF($R2043="T",$K$3,IF($R2043="B",COUNTIFS($M$4:$M$2003,INDEX($M$4:$M$2003,$S2043),$N$4:$N$2003,1),1)))</f>
        <v/>
      </c>
      <c r="Q2043">
        <f>IF(OR($R2042="",$R2042="T"),"",IF($R2042="B",$Q2042,IF($Q2042+1&gt;$K$3,"",$Q2042+1)))</f>
        <v/>
      </c>
      <c r="R2043">
        <f>IF(OR($R2042="",$R2042="T"),"",IF($R2042="B","S",IF($Q2042+1&gt;$K$3,"T",IF(INDEX($M$4:$M$2003,MATCH($Q2042+1,$P$4:$P$2003,0))&lt;&gt;INDEX($M$4:$M$2003,MATCH($Q2042,$P$4:$P$2003,0)),"B","S"))))</f>
        <v/>
      </c>
      <c r="S2043">
        <f>IF(Q2043="","",IFERROR(MATCH(Q2043,$P$4:$P$2003,0),""))</f>
        <v/>
      </c>
    </row>
    <row r="2044">
      <c r="A2044" s="4">
        <f>IF($R2044="","",IF($R2044="T","Gesamtergebnis",IF($R2044="B",INDEX($M$4:$M$2003,$S2044),INDEX($L$4:$L$2003,$S2044))))</f>
        <v/>
      </c>
      <c r="B2044" s="4">
        <f>IF($R2044="","",IF($R2044="T",$K$3,IF($R2044="B",COUNTIFS($M$4:$M$2003,INDEX($M$4:$M$2003,$S2044),$N$4:$N$2003,1),1)))</f>
        <v/>
      </c>
      <c r="Q2044">
        <f>IF(OR($R2043="",$R2043="T"),"",IF($R2043="B",$Q2043,IF($Q2043+1&gt;$K$3,"",$Q2043+1)))</f>
        <v/>
      </c>
      <c r="R2044">
        <f>IF(OR($R2043="",$R2043="T"),"",IF($R2043="B","S",IF($Q2043+1&gt;$K$3,"T",IF(INDEX($M$4:$M$2003,MATCH($Q2043+1,$P$4:$P$2003,0))&lt;&gt;INDEX($M$4:$M$2003,MATCH($Q2043,$P$4:$P$2003,0)),"B","S"))))</f>
        <v/>
      </c>
      <c r="S2044">
        <f>IF(Q2044="","",IFERROR(MATCH(Q2044,$P$4:$P$2003,0),""))</f>
        <v/>
      </c>
    </row>
    <row r="2045">
      <c r="A2045" s="4">
        <f>IF($R2045="","",IF($R2045="T","Gesamtergebnis",IF($R2045="B",INDEX($M$4:$M$2003,$S2045),INDEX($L$4:$L$2003,$S2045))))</f>
        <v/>
      </c>
      <c r="B2045" s="4">
        <f>IF($R2045="","",IF($R2045="T",$K$3,IF($R2045="B",COUNTIFS($M$4:$M$2003,INDEX($M$4:$M$2003,$S2045),$N$4:$N$2003,1),1)))</f>
        <v/>
      </c>
      <c r="Q2045">
        <f>IF(OR($R2044="",$R2044="T"),"",IF($R2044="B",$Q2044,IF($Q2044+1&gt;$K$3,"",$Q2044+1)))</f>
        <v/>
      </c>
      <c r="R2045">
        <f>IF(OR($R2044="",$R2044="T"),"",IF($R2044="B","S",IF($Q2044+1&gt;$K$3,"T",IF(INDEX($M$4:$M$2003,MATCH($Q2044+1,$P$4:$P$2003,0))&lt;&gt;INDEX($M$4:$M$2003,MATCH($Q2044,$P$4:$P$2003,0)),"B","S"))))</f>
        <v/>
      </c>
      <c r="S2045">
        <f>IF(Q2045="","",IFERROR(MATCH(Q2045,$P$4:$P$2003,0),""))</f>
        <v/>
      </c>
    </row>
    <row r="2046">
      <c r="A2046" s="4">
        <f>IF($R2046="","",IF($R2046="T","Gesamtergebnis",IF($R2046="B",INDEX($M$4:$M$2003,$S2046),INDEX($L$4:$L$2003,$S2046))))</f>
        <v/>
      </c>
      <c r="B2046" s="4">
        <f>IF($R2046="","",IF($R2046="T",$K$3,IF($R2046="B",COUNTIFS($M$4:$M$2003,INDEX($M$4:$M$2003,$S2046),$N$4:$N$2003,1),1)))</f>
        <v/>
      </c>
      <c r="Q2046">
        <f>IF(OR($R2045="",$R2045="T"),"",IF($R2045="B",$Q2045,IF($Q2045+1&gt;$K$3,"",$Q2045+1)))</f>
        <v/>
      </c>
      <c r="R2046">
        <f>IF(OR($R2045="",$R2045="T"),"",IF($R2045="B","S",IF($Q2045+1&gt;$K$3,"T",IF(INDEX($M$4:$M$2003,MATCH($Q2045+1,$P$4:$P$2003,0))&lt;&gt;INDEX($M$4:$M$2003,MATCH($Q2045,$P$4:$P$2003,0)),"B","S"))))</f>
        <v/>
      </c>
      <c r="S2046">
        <f>IF(Q2046="","",IFERROR(MATCH(Q2046,$P$4:$P$2003,0),""))</f>
        <v/>
      </c>
    </row>
    <row r="2047">
      <c r="A2047" s="4">
        <f>IF($R2047="","",IF($R2047="T","Gesamtergebnis",IF($R2047="B",INDEX($M$4:$M$2003,$S2047),INDEX($L$4:$L$2003,$S2047))))</f>
        <v/>
      </c>
      <c r="B2047" s="4">
        <f>IF($R2047="","",IF($R2047="T",$K$3,IF($R2047="B",COUNTIFS($M$4:$M$2003,INDEX($M$4:$M$2003,$S2047),$N$4:$N$2003,1),1)))</f>
        <v/>
      </c>
      <c r="Q2047">
        <f>IF(OR($R2046="",$R2046="T"),"",IF($R2046="B",$Q2046,IF($Q2046+1&gt;$K$3,"",$Q2046+1)))</f>
        <v/>
      </c>
      <c r="R2047">
        <f>IF(OR($R2046="",$R2046="T"),"",IF($R2046="B","S",IF($Q2046+1&gt;$K$3,"T",IF(INDEX($M$4:$M$2003,MATCH($Q2046+1,$P$4:$P$2003,0))&lt;&gt;INDEX($M$4:$M$2003,MATCH($Q2046,$P$4:$P$2003,0)),"B","S"))))</f>
        <v/>
      </c>
      <c r="S2047">
        <f>IF(Q2047="","",IFERROR(MATCH(Q2047,$P$4:$P$2003,0),""))</f>
        <v/>
      </c>
    </row>
    <row r="2048">
      <c r="A2048" s="4">
        <f>IF($R2048="","",IF($R2048="T","Gesamtergebnis",IF($R2048="B",INDEX($M$4:$M$2003,$S2048),INDEX($L$4:$L$2003,$S2048))))</f>
        <v/>
      </c>
      <c r="B2048" s="4">
        <f>IF($R2048="","",IF($R2048="T",$K$3,IF($R2048="B",COUNTIFS($M$4:$M$2003,INDEX($M$4:$M$2003,$S2048),$N$4:$N$2003,1),1)))</f>
        <v/>
      </c>
      <c r="Q2048">
        <f>IF(OR($R2047="",$R2047="T"),"",IF($R2047="B",$Q2047,IF($Q2047+1&gt;$K$3,"",$Q2047+1)))</f>
        <v/>
      </c>
      <c r="R2048">
        <f>IF(OR($R2047="",$R2047="T"),"",IF($R2047="B","S",IF($Q2047+1&gt;$K$3,"T",IF(INDEX($M$4:$M$2003,MATCH($Q2047+1,$P$4:$P$2003,0))&lt;&gt;INDEX($M$4:$M$2003,MATCH($Q2047,$P$4:$P$2003,0)),"B","S"))))</f>
        <v/>
      </c>
      <c r="S2048">
        <f>IF(Q2048="","",IFERROR(MATCH(Q2048,$P$4:$P$2003,0),""))</f>
        <v/>
      </c>
    </row>
    <row r="2049">
      <c r="A2049" s="4">
        <f>IF($R2049="","",IF($R2049="T","Gesamtergebnis",IF($R2049="B",INDEX($M$4:$M$2003,$S2049),INDEX($L$4:$L$2003,$S2049))))</f>
        <v/>
      </c>
      <c r="B2049" s="4">
        <f>IF($R2049="","",IF($R2049="T",$K$3,IF($R2049="B",COUNTIFS($M$4:$M$2003,INDEX($M$4:$M$2003,$S2049),$N$4:$N$2003,1),1)))</f>
        <v/>
      </c>
      <c r="Q2049">
        <f>IF(OR($R2048="",$R2048="T"),"",IF($R2048="B",$Q2048,IF($Q2048+1&gt;$K$3,"",$Q2048+1)))</f>
        <v/>
      </c>
      <c r="R2049">
        <f>IF(OR($R2048="",$R2048="T"),"",IF($R2048="B","S",IF($Q2048+1&gt;$K$3,"T",IF(INDEX($M$4:$M$2003,MATCH($Q2048+1,$P$4:$P$2003,0))&lt;&gt;INDEX($M$4:$M$2003,MATCH($Q2048,$P$4:$P$2003,0)),"B","S"))))</f>
        <v/>
      </c>
      <c r="S2049">
        <f>IF(Q2049="","",IFERROR(MATCH(Q2049,$P$4:$P$2003,0),""))</f>
        <v/>
      </c>
    </row>
    <row r="2050">
      <c r="A2050" s="4">
        <f>IF($R2050="","",IF($R2050="T","Gesamtergebnis",IF($R2050="B",INDEX($M$4:$M$2003,$S2050),INDEX($L$4:$L$2003,$S2050))))</f>
        <v/>
      </c>
      <c r="B2050" s="4">
        <f>IF($R2050="","",IF($R2050="T",$K$3,IF($R2050="B",COUNTIFS($M$4:$M$2003,INDEX($M$4:$M$2003,$S2050),$N$4:$N$2003,1),1)))</f>
        <v/>
      </c>
      <c r="Q2050">
        <f>IF(OR($R2049="",$R2049="T"),"",IF($R2049="B",$Q2049,IF($Q2049+1&gt;$K$3,"",$Q2049+1)))</f>
        <v/>
      </c>
      <c r="R2050">
        <f>IF(OR($R2049="",$R2049="T"),"",IF($R2049="B","S",IF($Q2049+1&gt;$K$3,"T",IF(INDEX($M$4:$M$2003,MATCH($Q2049+1,$P$4:$P$2003,0))&lt;&gt;INDEX($M$4:$M$2003,MATCH($Q2049,$P$4:$P$2003,0)),"B","S"))))</f>
        <v/>
      </c>
      <c r="S2050">
        <f>IF(Q2050="","",IFERROR(MATCH(Q2050,$P$4:$P$2003,0),""))</f>
        <v/>
      </c>
    </row>
    <row r="2051">
      <c r="A2051" s="4">
        <f>IF($R2051="","",IF($R2051="T","Gesamtergebnis",IF($R2051="B",INDEX($M$4:$M$2003,$S2051),INDEX($L$4:$L$2003,$S2051))))</f>
        <v/>
      </c>
      <c r="B2051" s="4">
        <f>IF($R2051="","",IF($R2051="T",$K$3,IF($R2051="B",COUNTIFS($M$4:$M$2003,INDEX($M$4:$M$2003,$S2051),$N$4:$N$2003,1),1)))</f>
        <v/>
      </c>
      <c r="Q2051">
        <f>IF(OR($R2050="",$R2050="T"),"",IF($R2050="B",$Q2050,IF($Q2050+1&gt;$K$3,"",$Q2050+1)))</f>
        <v/>
      </c>
      <c r="R2051">
        <f>IF(OR($R2050="",$R2050="T"),"",IF($R2050="B","S",IF($Q2050+1&gt;$K$3,"T",IF(INDEX($M$4:$M$2003,MATCH($Q2050+1,$P$4:$P$2003,0))&lt;&gt;INDEX($M$4:$M$2003,MATCH($Q2050,$P$4:$P$2003,0)),"B","S"))))</f>
        <v/>
      </c>
      <c r="S2051">
        <f>IF(Q2051="","",IFERROR(MATCH(Q2051,$P$4:$P$2003,0),""))</f>
        <v/>
      </c>
    </row>
    <row r="2052">
      <c r="A2052" s="4">
        <f>IF($R2052="","",IF($R2052="T","Gesamtergebnis",IF($R2052="B",INDEX($M$4:$M$2003,$S2052),INDEX($L$4:$L$2003,$S2052))))</f>
        <v/>
      </c>
      <c r="B2052" s="4">
        <f>IF($R2052="","",IF($R2052="T",$K$3,IF($R2052="B",COUNTIFS($M$4:$M$2003,INDEX($M$4:$M$2003,$S2052),$N$4:$N$2003,1),1)))</f>
        <v/>
      </c>
      <c r="Q2052">
        <f>IF(OR($R2051="",$R2051="T"),"",IF($R2051="B",$Q2051,IF($Q2051+1&gt;$K$3,"",$Q2051+1)))</f>
        <v/>
      </c>
      <c r="R2052">
        <f>IF(OR($R2051="",$R2051="T"),"",IF($R2051="B","S",IF($Q2051+1&gt;$K$3,"T",IF(INDEX($M$4:$M$2003,MATCH($Q2051+1,$P$4:$P$2003,0))&lt;&gt;INDEX($M$4:$M$2003,MATCH($Q2051,$P$4:$P$2003,0)),"B","S"))))</f>
        <v/>
      </c>
      <c r="S2052">
        <f>IF(Q2052="","",IFERROR(MATCH(Q2052,$P$4:$P$2003,0),""))</f>
        <v/>
      </c>
    </row>
    <row r="2053">
      <c r="A2053" s="4">
        <f>IF($R2053="","",IF($R2053="T","Gesamtergebnis",IF($R2053="B",INDEX($M$4:$M$2003,$S2053),INDEX($L$4:$L$2003,$S2053))))</f>
        <v/>
      </c>
      <c r="B2053" s="4">
        <f>IF($R2053="","",IF($R2053="T",$K$3,IF($R2053="B",COUNTIFS($M$4:$M$2003,INDEX($M$4:$M$2003,$S2053),$N$4:$N$2003,1),1)))</f>
        <v/>
      </c>
      <c r="Q2053">
        <f>IF(OR($R2052="",$R2052="T"),"",IF($R2052="B",$Q2052,IF($Q2052+1&gt;$K$3,"",$Q2052+1)))</f>
        <v/>
      </c>
      <c r="R2053">
        <f>IF(OR($R2052="",$R2052="T"),"",IF($R2052="B","S",IF($Q2052+1&gt;$K$3,"T",IF(INDEX($M$4:$M$2003,MATCH($Q2052+1,$P$4:$P$2003,0))&lt;&gt;INDEX($M$4:$M$2003,MATCH($Q2052,$P$4:$P$2003,0)),"B","S"))))</f>
        <v/>
      </c>
      <c r="S2053">
        <f>IF(Q2053="","",IFERROR(MATCH(Q2053,$P$4:$P$2003,0),""))</f>
        <v/>
      </c>
    </row>
    <row r="2054">
      <c r="A2054" s="4">
        <f>IF($R2054="","",IF($R2054="T","Gesamtergebnis",IF($R2054="B",INDEX($M$4:$M$2003,$S2054),INDEX($L$4:$L$2003,$S2054))))</f>
        <v/>
      </c>
      <c r="B2054" s="4">
        <f>IF($R2054="","",IF($R2054="T",$K$3,IF($R2054="B",COUNTIFS($M$4:$M$2003,INDEX($M$4:$M$2003,$S2054),$N$4:$N$2003,1),1)))</f>
        <v/>
      </c>
      <c r="Q2054">
        <f>IF(OR($R2053="",$R2053="T"),"",IF($R2053="B",$Q2053,IF($Q2053+1&gt;$K$3,"",$Q2053+1)))</f>
        <v/>
      </c>
      <c r="R2054">
        <f>IF(OR($R2053="",$R2053="T"),"",IF($R2053="B","S",IF($Q2053+1&gt;$K$3,"T",IF(INDEX($M$4:$M$2003,MATCH($Q2053+1,$P$4:$P$2003,0))&lt;&gt;INDEX($M$4:$M$2003,MATCH($Q2053,$P$4:$P$2003,0)),"B","S"))))</f>
        <v/>
      </c>
      <c r="S2054">
        <f>IF(Q2054="","",IFERROR(MATCH(Q2054,$P$4:$P$2003,0),""))</f>
        <v/>
      </c>
    </row>
    <row r="2055">
      <c r="A2055" s="4">
        <f>IF($R2055="","",IF($R2055="T","Gesamtergebnis",IF($R2055="B",INDEX($M$4:$M$2003,$S2055),INDEX($L$4:$L$2003,$S2055))))</f>
        <v/>
      </c>
      <c r="B2055" s="4">
        <f>IF($R2055="","",IF($R2055="T",$K$3,IF($R2055="B",COUNTIFS($M$4:$M$2003,INDEX($M$4:$M$2003,$S2055),$N$4:$N$2003,1),1)))</f>
        <v/>
      </c>
      <c r="Q2055">
        <f>IF(OR($R2054="",$R2054="T"),"",IF($R2054="B",$Q2054,IF($Q2054+1&gt;$K$3,"",$Q2054+1)))</f>
        <v/>
      </c>
      <c r="R2055">
        <f>IF(OR($R2054="",$R2054="T"),"",IF($R2054="B","S",IF($Q2054+1&gt;$K$3,"T",IF(INDEX($M$4:$M$2003,MATCH($Q2054+1,$P$4:$P$2003,0))&lt;&gt;INDEX($M$4:$M$2003,MATCH($Q2054,$P$4:$P$2003,0)),"B","S"))))</f>
        <v/>
      </c>
      <c r="S2055">
        <f>IF(Q2055="","",IFERROR(MATCH(Q2055,$P$4:$P$2003,0),""))</f>
        <v/>
      </c>
    </row>
    <row r="2056">
      <c r="A2056" s="4">
        <f>IF($R2056="","",IF($R2056="T","Gesamtergebnis",IF($R2056="B",INDEX($M$4:$M$2003,$S2056),INDEX($L$4:$L$2003,$S2056))))</f>
        <v/>
      </c>
      <c r="B2056" s="4">
        <f>IF($R2056="","",IF($R2056="T",$K$3,IF($R2056="B",COUNTIFS($M$4:$M$2003,INDEX($M$4:$M$2003,$S2056),$N$4:$N$2003,1),1)))</f>
        <v/>
      </c>
      <c r="Q2056">
        <f>IF(OR($R2055="",$R2055="T"),"",IF($R2055="B",$Q2055,IF($Q2055+1&gt;$K$3,"",$Q2055+1)))</f>
        <v/>
      </c>
      <c r="R2056">
        <f>IF(OR($R2055="",$R2055="T"),"",IF($R2055="B","S",IF($Q2055+1&gt;$K$3,"T",IF(INDEX($M$4:$M$2003,MATCH($Q2055+1,$P$4:$P$2003,0))&lt;&gt;INDEX($M$4:$M$2003,MATCH($Q2055,$P$4:$P$2003,0)),"B","S"))))</f>
        <v/>
      </c>
      <c r="S2056">
        <f>IF(Q2056="","",IFERROR(MATCH(Q2056,$P$4:$P$2003,0),""))</f>
        <v/>
      </c>
    </row>
    <row r="2057">
      <c r="A2057" s="4">
        <f>IF($R2057="","",IF($R2057="T","Gesamtergebnis",IF($R2057="B",INDEX($M$4:$M$2003,$S2057),INDEX($L$4:$L$2003,$S2057))))</f>
        <v/>
      </c>
      <c r="B2057" s="4">
        <f>IF($R2057="","",IF($R2057="T",$K$3,IF($R2057="B",COUNTIFS($M$4:$M$2003,INDEX($M$4:$M$2003,$S2057),$N$4:$N$2003,1),1)))</f>
        <v/>
      </c>
      <c r="Q2057">
        <f>IF(OR($R2056="",$R2056="T"),"",IF($R2056="B",$Q2056,IF($Q2056+1&gt;$K$3,"",$Q2056+1)))</f>
        <v/>
      </c>
      <c r="R2057">
        <f>IF(OR($R2056="",$R2056="T"),"",IF($R2056="B","S",IF($Q2056+1&gt;$K$3,"T",IF(INDEX($M$4:$M$2003,MATCH($Q2056+1,$P$4:$P$2003,0))&lt;&gt;INDEX($M$4:$M$2003,MATCH($Q2056,$P$4:$P$2003,0)),"B","S"))))</f>
        <v/>
      </c>
      <c r="S2057">
        <f>IF(Q2057="","",IFERROR(MATCH(Q2057,$P$4:$P$2003,0),""))</f>
        <v/>
      </c>
    </row>
    <row r="2058">
      <c r="A2058" s="4">
        <f>IF($R2058="","",IF($R2058="T","Gesamtergebnis",IF($R2058="B",INDEX($M$4:$M$2003,$S2058),INDEX($L$4:$L$2003,$S2058))))</f>
        <v/>
      </c>
      <c r="B2058" s="4">
        <f>IF($R2058="","",IF($R2058="T",$K$3,IF($R2058="B",COUNTIFS($M$4:$M$2003,INDEX($M$4:$M$2003,$S2058),$N$4:$N$2003,1),1)))</f>
        <v/>
      </c>
      <c r="Q2058">
        <f>IF(OR($R2057="",$R2057="T"),"",IF($R2057="B",$Q2057,IF($Q2057+1&gt;$K$3,"",$Q2057+1)))</f>
        <v/>
      </c>
      <c r="R2058">
        <f>IF(OR($R2057="",$R2057="T"),"",IF($R2057="B","S",IF($Q2057+1&gt;$K$3,"T",IF(INDEX($M$4:$M$2003,MATCH($Q2057+1,$P$4:$P$2003,0))&lt;&gt;INDEX($M$4:$M$2003,MATCH($Q2057,$P$4:$P$2003,0)),"B","S"))))</f>
        <v/>
      </c>
      <c r="S2058">
        <f>IF(Q2058="","",IFERROR(MATCH(Q2058,$P$4:$P$2003,0),""))</f>
        <v/>
      </c>
    </row>
    <row r="2059">
      <c r="A2059" s="4">
        <f>IF($R2059="","",IF($R2059="T","Gesamtergebnis",IF($R2059="B",INDEX($M$4:$M$2003,$S2059),INDEX($L$4:$L$2003,$S2059))))</f>
        <v/>
      </c>
      <c r="B2059" s="4">
        <f>IF($R2059="","",IF($R2059="T",$K$3,IF($R2059="B",COUNTIFS($M$4:$M$2003,INDEX($M$4:$M$2003,$S2059),$N$4:$N$2003,1),1)))</f>
        <v/>
      </c>
      <c r="Q2059">
        <f>IF(OR($R2058="",$R2058="T"),"",IF($R2058="B",$Q2058,IF($Q2058+1&gt;$K$3,"",$Q2058+1)))</f>
        <v/>
      </c>
      <c r="R2059">
        <f>IF(OR($R2058="",$R2058="T"),"",IF($R2058="B","S",IF($Q2058+1&gt;$K$3,"T",IF(INDEX($M$4:$M$2003,MATCH($Q2058+1,$P$4:$P$2003,0))&lt;&gt;INDEX($M$4:$M$2003,MATCH($Q2058,$P$4:$P$2003,0)),"B","S"))))</f>
        <v/>
      </c>
      <c r="S2059">
        <f>IF(Q2059="","",IFERROR(MATCH(Q2059,$P$4:$P$2003,0),""))</f>
        <v/>
      </c>
    </row>
    <row r="2060">
      <c r="A2060" s="4">
        <f>IF($R2060="","",IF($R2060="T","Gesamtergebnis",IF($R2060="B",INDEX($M$4:$M$2003,$S2060),INDEX($L$4:$L$2003,$S2060))))</f>
        <v/>
      </c>
      <c r="B2060" s="4">
        <f>IF($R2060="","",IF($R2060="T",$K$3,IF($R2060="B",COUNTIFS($M$4:$M$2003,INDEX($M$4:$M$2003,$S2060),$N$4:$N$2003,1),1)))</f>
        <v/>
      </c>
      <c r="Q2060">
        <f>IF(OR($R2059="",$R2059="T"),"",IF($R2059="B",$Q2059,IF($Q2059+1&gt;$K$3,"",$Q2059+1)))</f>
        <v/>
      </c>
      <c r="R2060">
        <f>IF(OR($R2059="",$R2059="T"),"",IF($R2059="B","S",IF($Q2059+1&gt;$K$3,"T",IF(INDEX($M$4:$M$2003,MATCH($Q2059+1,$P$4:$P$2003,0))&lt;&gt;INDEX($M$4:$M$2003,MATCH($Q2059,$P$4:$P$2003,0)),"B","S"))))</f>
        <v/>
      </c>
      <c r="S2060">
        <f>IF(Q2060="","",IFERROR(MATCH(Q2060,$P$4:$P$2003,0),""))</f>
        <v/>
      </c>
    </row>
    <row r="2061">
      <c r="A2061" s="4">
        <f>IF($R2061="","",IF($R2061="T","Gesamtergebnis",IF($R2061="B",INDEX($M$4:$M$2003,$S2061),INDEX($L$4:$L$2003,$S2061))))</f>
        <v/>
      </c>
      <c r="B2061" s="4">
        <f>IF($R2061="","",IF($R2061="T",$K$3,IF($R2061="B",COUNTIFS($M$4:$M$2003,INDEX($M$4:$M$2003,$S2061),$N$4:$N$2003,1),1)))</f>
        <v/>
      </c>
      <c r="Q2061">
        <f>IF(OR($R2060="",$R2060="T"),"",IF($R2060="B",$Q2060,IF($Q2060+1&gt;$K$3,"",$Q2060+1)))</f>
        <v/>
      </c>
      <c r="R2061">
        <f>IF(OR($R2060="",$R2060="T"),"",IF($R2060="B","S",IF($Q2060+1&gt;$K$3,"T",IF(INDEX($M$4:$M$2003,MATCH($Q2060+1,$P$4:$P$2003,0))&lt;&gt;INDEX($M$4:$M$2003,MATCH($Q2060,$P$4:$P$2003,0)),"B","S"))))</f>
        <v/>
      </c>
      <c r="S2061">
        <f>IF(Q2061="","",IFERROR(MATCH(Q2061,$P$4:$P$2003,0),""))</f>
        <v/>
      </c>
    </row>
    <row r="2062">
      <c r="A2062" s="4">
        <f>IF($R2062="","",IF($R2062="T","Gesamtergebnis",IF($R2062="B",INDEX($M$4:$M$2003,$S2062),INDEX($L$4:$L$2003,$S2062))))</f>
        <v/>
      </c>
      <c r="B2062" s="4">
        <f>IF($R2062="","",IF($R2062="T",$K$3,IF($R2062="B",COUNTIFS($M$4:$M$2003,INDEX($M$4:$M$2003,$S2062),$N$4:$N$2003,1),1)))</f>
        <v/>
      </c>
      <c r="Q2062">
        <f>IF(OR($R2061="",$R2061="T"),"",IF($R2061="B",$Q2061,IF($Q2061+1&gt;$K$3,"",$Q2061+1)))</f>
        <v/>
      </c>
      <c r="R2062">
        <f>IF(OR($R2061="",$R2061="T"),"",IF($R2061="B","S",IF($Q2061+1&gt;$K$3,"T",IF(INDEX($M$4:$M$2003,MATCH($Q2061+1,$P$4:$P$2003,0))&lt;&gt;INDEX($M$4:$M$2003,MATCH($Q2061,$P$4:$P$2003,0)),"B","S"))))</f>
        <v/>
      </c>
      <c r="S2062">
        <f>IF(Q2062="","",IFERROR(MATCH(Q2062,$P$4:$P$2003,0),""))</f>
        <v/>
      </c>
    </row>
    <row r="2063">
      <c r="A2063" s="4">
        <f>IF($R2063="","",IF($R2063="T","Gesamtergebnis",IF($R2063="B",INDEX($M$4:$M$2003,$S2063),INDEX($L$4:$L$2003,$S2063))))</f>
        <v/>
      </c>
      <c r="B2063" s="4">
        <f>IF($R2063="","",IF($R2063="T",$K$3,IF($R2063="B",COUNTIFS($M$4:$M$2003,INDEX($M$4:$M$2003,$S2063),$N$4:$N$2003,1),1)))</f>
        <v/>
      </c>
      <c r="Q2063">
        <f>IF(OR($R2062="",$R2062="T"),"",IF($R2062="B",$Q2062,IF($Q2062+1&gt;$K$3,"",$Q2062+1)))</f>
        <v/>
      </c>
      <c r="R2063">
        <f>IF(OR($R2062="",$R2062="T"),"",IF($R2062="B","S",IF($Q2062+1&gt;$K$3,"T",IF(INDEX($M$4:$M$2003,MATCH($Q2062+1,$P$4:$P$2003,0))&lt;&gt;INDEX($M$4:$M$2003,MATCH($Q2062,$P$4:$P$2003,0)),"B","S"))))</f>
        <v/>
      </c>
      <c r="S2063">
        <f>IF(Q2063="","",IFERROR(MATCH(Q2063,$P$4:$P$2003,0),""))</f>
        <v/>
      </c>
    </row>
    <row r="2064">
      <c r="A2064" s="4">
        <f>IF($R2064="","",IF($R2064="T","Gesamtergebnis",IF($R2064="B",INDEX($M$4:$M$2003,$S2064),INDEX($L$4:$L$2003,$S2064))))</f>
        <v/>
      </c>
      <c r="B2064" s="4">
        <f>IF($R2064="","",IF($R2064="T",$K$3,IF($R2064="B",COUNTIFS($M$4:$M$2003,INDEX($M$4:$M$2003,$S2064),$N$4:$N$2003,1),1)))</f>
        <v/>
      </c>
      <c r="Q2064">
        <f>IF(OR($R2063="",$R2063="T"),"",IF($R2063="B",$Q2063,IF($Q2063+1&gt;$K$3,"",$Q2063+1)))</f>
        <v/>
      </c>
      <c r="R2064">
        <f>IF(OR($R2063="",$R2063="T"),"",IF($R2063="B","S",IF($Q2063+1&gt;$K$3,"T",IF(INDEX($M$4:$M$2003,MATCH($Q2063+1,$P$4:$P$2003,0))&lt;&gt;INDEX($M$4:$M$2003,MATCH($Q2063,$P$4:$P$2003,0)),"B","S"))))</f>
        <v/>
      </c>
      <c r="S2064">
        <f>IF(Q2064="","",IFERROR(MATCH(Q2064,$P$4:$P$2003,0),""))</f>
        <v/>
      </c>
    </row>
    <row r="2065">
      <c r="A2065" s="4">
        <f>IF($R2065="","",IF($R2065="T","Gesamtergebnis",IF($R2065="B",INDEX($M$4:$M$2003,$S2065),INDEX($L$4:$L$2003,$S2065))))</f>
        <v/>
      </c>
      <c r="B2065" s="4">
        <f>IF($R2065="","",IF($R2065="T",$K$3,IF($R2065="B",COUNTIFS($M$4:$M$2003,INDEX($M$4:$M$2003,$S2065),$N$4:$N$2003,1),1)))</f>
        <v/>
      </c>
      <c r="Q2065">
        <f>IF(OR($R2064="",$R2064="T"),"",IF($R2064="B",$Q2064,IF($Q2064+1&gt;$K$3,"",$Q2064+1)))</f>
        <v/>
      </c>
      <c r="R2065">
        <f>IF(OR($R2064="",$R2064="T"),"",IF($R2064="B","S",IF($Q2064+1&gt;$K$3,"T",IF(INDEX($M$4:$M$2003,MATCH($Q2064+1,$P$4:$P$2003,0))&lt;&gt;INDEX($M$4:$M$2003,MATCH($Q2064,$P$4:$P$2003,0)),"B","S"))))</f>
        <v/>
      </c>
      <c r="S2065">
        <f>IF(Q2065="","",IFERROR(MATCH(Q2065,$P$4:$P$2003,0),""))</f>
        <v/>
      </c>
    </row>
    <row r="2066">
      <c r="A2066" s="4">
        <f>IF($R2066="","",IF($R2066="T","Gesamtergebnis",IF($R2066="B",INDEX($M$4:$M$2003,$S2066),INDEX($L$4:$L$2003,$S2066))))</f>
        <v/>
      </c>
      <c r="B2066" s="4">
        <f>IF($R2066="","",IF($R2066="T",$K$3,IF($R2066="B",COUNTIFS($M$4:$M$2003,INDEX($M$4:$M$2003,$S2066),$N$4:$N$2003,1),1)))</f>
        <v/>
      </c>
      <c r="Q2066">
        <f>IF(OR($R2065="",$R2065="T"),"",IF($R2065="B",$Q2065,IF($Q2065+1&gt;$K$3,"",$Q2065+1)))</f>
        <v/>
      </c>
      <c r="R2066">
        <f>IF(OR($R2065="",$R2065="T"),"",IF($R2065="B","S",IF($Q2065+1&gt;$K$3,"T",IF(INDEX($M$4:$M$2003,MATCH($Q2065+1,$P$4:$P$2003,0))&lt;&gt;INDEX($M$4:$M$2003,MATCH($Q2065,$P$4:$P$2003,0)),"B","S"))))</f>
        <v/>
      </c>
      <c r="S2066">
        <f>IF(Q2066="","",IFERROR(MATCH(Q2066,$P$4:$P$2003,0),""))</f>
        <v/>
      </c>
    </row>
    <row r="2067">
      <c r="A2067" s="4">
        <f>IF($R2067="","",IF($R2067="T","Gesamtergebnis",IF($R2067="B",INDEX($M$4:$M$2003,$S2067),INDEX($L$4:$L$2003,$S2067))))</f>
        <v/>
      </c>
      <c r="B2067" s="4">
        <f>IF($R2067="","",IF($R2067="T",$K$3,IF($R2067="B",COUNTIFS($M$4:$M$2003,INDEX($M$4:$M$2003,$S2067),$N$4:$N$2003,1),1)))</f>
        <v/>
      </c>
      <c r="Q2067">
        <f>IF(OR($R2066="",$R2066="T"),"",IF($R2066="B",$Q2066,IF($Q2066+1&gt;$K$3,"",$Q2066+1)))</f>
        <v/>
      </c>
      <c r="R2067">
        <f>IF(OR($R2066="",$R2066="T"),"",IF($R2066="B","S",IF($Q2066+1&gt;$K$3,"T",IF(INDEX($M$4:$M$2003,MATCH($Q2066+1,$P$4:$P$2003,0))&lt;&gt;INDEX($M$4:$M$2003,MATCH($Q2066,$P$4:$P$2003,0)),"B","S"))))</f>
        <v/>
      </c>
      <c r="S2067">
        <f>IF(Q2067="","",IFERROR(MATCH(Q2067,$P$4:$P$2003,0),""))</f>
        <v/>
      </c>
    </row>
    <row r="2068">
      <c r="A2068" s="4">
        <f>IF($R2068="","",IF($R2068="T","Gesamtergebnis",IF($R2068="B",INDEX($M$4:$M$2003,$S2068),INDEX($L$4:$L$2003,$S2068))))</f>
        <v/>
      </c>
      <c r="B2068" s="4">
        <f>IF($R2068="","",IF($R2068="T",$K$3,IF($R2068="B",COUNTIFS($M$4:$M$2003,INDEX($M$4:$M$2003,$S2068),$N$4:$N$2003,1),1)))</f>
        <v/>
      </c>
      <c r="Q2068">
        <f>IF(OR($R2067="",$R2067="T"),"",IF($R2067="B",$Q2067,IF($Q2067+1&gt;$K$3,"",$Q2067+1)))</f>
        <v/>
      </c>
      <c r="R2068">
        <f>IF(OR($R2067="",$R2067="T"),"",IF($R2067="B","S",IF($Q2067+1&gt;$K$3,"T",IF(INDEX($M$4:$M$2003,MATCH($Q2067+1,$P$4:$P$2003,0))&lt;&gt;INDEX($M$4:$M$2003,MATCH($Q2067,$P$4:$P$2003,0)),"B","S"))))</f>
        <v/>
      </c>
      <c r="S2068">
        <f>IF(Q2068="","",IFERROR(MATCH(Q2068,$P$4:$P$2003,0),""))</f>
        <v/>
      </c>
    </row>
    <row r="2069">
      <c r="A2069" s="4">
        <f>IF($R2069="","",IF($R2069="T","Gesamtergebnis",IF($R2069="B",INDEX($M$4:$M$2003,$S2069),INDEX($L$4:$L$2003,$S2069))))</f>
        <v/>
      </c>
      <c r="B2069" s="4">
        <f>IF($R2069="","",IF($R2069="T",$K$3,IF($R2069="B",COUNTIFS($M$4:$M$2003,INDEX($M$4:$M$2003,$S2069),$N$4:$N$2003,1),1)))</f>
        <v/>
      </c>
      <c r="Q2069">
        <f>IF(OR($R2068="",$R2068="T"),"",IF($R2068="B",$Q2068,IF($Q2068+1&gt;$K$3,"",$Q2068+1)))</f>
        <v/>
      </c>
      <c r="R2069">
        <f>IF(OR($R2068="",$R2068="T"),"",IF($R2068="B","S",IF($Q2068+1&gt;$K$3,"T",IF(INDEX($M$4:$M$2003,MATCH($Q2068+1,$P$4:$P$2003,0))&lt;&gt;INDEX($M$4:$M$2003,MATCH($Q2068,$P$4:$P$2003,0)),"B","S"))))</f>
        <v/>
      </c>
      <c r="S2069">
        <f>IF(Q2069="","",IFERROR(MATCH(Q2069,$P$4:$P$2003,0),""))</f>
        <v/>
      </c>
    </row>
    <row r="2070">
      <c r="A2070" s="4">
        <f>IF($R2070="","",IF($R2070="T","Gesamtergebnis",IF($R2070="B",INDEX($M$4:$M$2003,$S2070),INDEX($L$4:$L$2003,$S2070))))</f>
        <v/>
      </c>
      <c r="B2070" s="4">
        <f>IF($R2070="","",IF($R2070="T",$K$3,IF($R2070="B",COUNTIFS($M$4:$M$2003,INDEX($M$4:$M$2003,$S2070),$N$4:$N$2003,1),1)))</f>
        <v/>
      </c>
      <c r="Q2070">
        <f>IF(OR($R2069="",$R2069="T"),"",IF($R2069="B",$Q2069,IF($Q2069+1&gt;$K$3,"",$Q2069+1)))</f>
        <v/>
      </c>
      <c r="R2070">
        <f>IF(OR($R2069="",$R2069="T"),"",IF($R2069="B","S",IF($Q2069+1&gt;$K$3,"T",IF(INDEX($M$4:$M$2003,MATCH($Q2069+1,$P$4:$P$2003,0))&lt;&gt;INDEX($M$4:$M$2003,MATCH($Q2069,$P$4:$P$2003,0)),"B","S"))))</f>
        <v/>
      </c>
      <c r="S2070">
        <f>IF(Q2070="","",IFERROR(MATCH(Q2070,$P$4:$P$2003,0),""))</f>
        <v/>
      </c>
    </row>
    <row r="2071">
      <c r="A2071" s="4">
        <f>IF($R2071="","",IF($R2071="T","Gesamtergebnis",IF($R2071="B",INDEX($M$4:$M$2003,$S2071),INDEX($L$4:$L$2003,$S2071))))</f>
        <v/>
      </c>
      <c r="B2071" s="4">
        <f>IF($R2071="","",IF($R2071="T",$K$3,IF($R2071="B",COUNTIFS($M$4:$M$2003,INDEX($M$4:$M$2003,$S2071),$N$4:$N$2003,1),1)))</f>
        <v/>
      </c>
      <c r="Q2071">
        <f>IF(OR($R2070="",$R2070="T"),"",IF($R2070="B",$Q2070,IF($Q2070+1&gt;$K$3,"",$Q2070+1)))</f>
        <v/>
      </c>
      <c r="R2071">
        <f>IF(OR($R2070="",$R2070="T"),"",IF($R2070="B","S",IF($Q2070+1&gt;$K$3,"T",IF(INDEX($M$4:$M$2003,MATCH($Q2070+1,$P$4:$P$2003,0))&lt;&gt;INDEX($M$4:$M$2003,MATCH($Q2070,$P$4:$P$2003,0)),"B","S"))))</f>
        <v/>
      </c>
      <c r="S2071">
        <f>IF(Q2071="","",IFERROR(MATCH(Q2071,$P$4:$P$2003,0),""))</f>
        <v/>
      </c>
    </row>
    <row r="2072">
      <c r="A2072" s="4">
        <f>IF($R2072="","",IF($R2072="T","Gesamtergebnis",IF($R2072="B",INDEX($M$4:$M$2003,$S2072),INDEX($L$4:$L$2003,$S2072))))</f>
        <v/>
      </c>
      <c r="B2072" s="4">
        <f>IF($R2072="","",IF($R2072="T",$K$3,IF($R2072="B",COUNTIFS($M$4:$M$2003,INDEX($M$4:$M$2003,$S2072),$N$4:$N$2003,1),1)))</f>
        <v/>
      </c>
      <c r="Q2072">
        <f>IF(OR($R2071="",$R2071="T"),"",IF($R2071="B",$Q2071,IF($Q2071+1&gt;$K$3,"",$Q2071+1)))</f>
        <v/>
      </c>
      <c r="R2072">
        <f>IF(OR($R2071="",$R2071="T"),"",IF($R2071="B","S",IF($Q2071+1&gt;$K$3,"T",IF(INDEX($M$4:$M$2003,MATCH($Q2071+1,$P$4:$P$2003,0))&lt;&gt;INDEX($M$4:$M$2003,MATCH($Q2071,$P$4:$P$2003,0)),"B","S"))))</f>
        <v/>
      </c>
      <c r="S2072">
        <f>IF(Q2072="","",IFERROR(MATCH(Q2072,$P$4:$P$2003,0),""))</f>
        <v/>
      </c>
    </row>
    <row r="2073">
      <c r="A2073" s="4">
        <f>IF($R2073="","",IF($R2073="T","Gesamtergebnis",IF($R2073="B",INDEX($M$4:$M$2003,$S2073),INDEX($L$4:$L$2003,$S2073))))</f>
        <v/>
      </c>
      <c r="B2073" s="4">
        <f>IF($R2073="","",IF($R2073="T",$K$3,IF($R2073="B",COUNTIFS($M$4:$M$2003,INDEX($M$4:$M$2003,$S2073),$N$4:$N$2003,1),1)))</f>
        <v/>
      </c>
      <c r="Q2073">
        <f>IF(OR($R2072="",$R2072="T"),"",IF($R2072="B",$Q2072,IF($Q2072+1&gt;$K$3,"",$Q2072+1)))</f>
        <v/>
      </c>
      <c r="R2073">
        <f>IF(OR($R2072="",$R2072="T"),"",IF($R2072="B","S",IF($Q2072+1&gt;$K$3,"T",IF(INDEX($M$4:$M$2003,MATCH($Q2072+1,$P$4:$P$2003,0))&lt;&gt;INDEX($M$4:$M$2003,MATCH($Q2072,$P$4:$P$2003,0)),"B","S"))))</f>
        <v/>
      </c>
      <c r="S2073">
        <f>IF(Q2073="","",IFERROR(MATCH(Q2073,$P$4:$P$2003,0),""))</f>
        <v/>
      </c>
    </row>
    <row r="2074">
      <c r="A2074" s="4">
        <f>IF($R2074="","",IF($R2074="T","Gesamtergebnis",IF($R2074="B",INDEX($M$4:$M$2003,$S2074),INDEX($L$4:$L$2003,$S2074))))</f>
        <v/>
      </c>
      <c r="B2074" s="4">
        <f>IF($R2074="","",IF($R2074="T",$K$3,IF($R2074="B",COUNTIFS($M$4:$M$2003,INDEX($M$4:$M$2003,$S2074),$N$4:$N$2003,1),1)))</f>
        <v/>
      </c>
      <c r="Q2074">
        <f>IF(OR($R2073="",$R2073="T"),"",IF($R2073="B",$Q2073,IF($Q2073+1&gt;$K$3,"",$Q2073+1)))</f>
        <v/>
      </c>
      <c r="R2074">
        <f>IF(OR($R2073="",$R2073="T"),"",IF($R2073="B","S",IF($Q2073+1&gt;$K$3,"T",IF(INDEX($M$4:$M$2003,MATCH($Q2073+1,$P$4:$P$2003,0))&lt;&gt;INDEX($M$4:$M$2003,MATCH($Q2073,$P$4:$P$2003,0)),"B","S"))))</f>
        <v/>
      </c>
      <c r="S2074">
        <f>IF(Q2074="","",IFERROR(MATCH(Q2074,$P$4:$P$2003,0),""))</f>
        <v/>
      </c>
    </row>
    <row r="2075">
      <c r="A2075" s="4">
        <f>IF($R2075="","",IF($R2075="T","Gesamtergebnis",IF($R2075="B",INDEX($M$4:$M$2003,$S2075),INDEX($L$4:$L$2003,$S2075))))</f>
        <v/>
      </c>
      <c r="B2075" s="4">
        <f>IF($R2075="","",IF($R2075="T",$K$3,IF($R2075="B",COUNTIFS($M$4:$M$2003,INDEX($M$4:$M$2003,$S2075),$N$4:$N$2003,1),1)))</f>
        <v/>
      </c>
      <c r="Q2075">
        <f>IF(OR($R2074="",$R2074="T"),"",IF($R2074="B",$Q2074,IF($Q2074+1&gt;$K$3,"",$Q2074+1)))</f>
        <v/>
      </c>
      <c r="R2075">
        <f>IF(OR($R2074="",$R2074="T"),"",IF($R2074="B","S",IF($Q2074+1&gt;$K$3,"T",IF(INDEX($M$4:$M$2003,MATCH($Q2074+1,$P$4:$P$2003,0))&lt;&gt;INDEX($M$4:$M$2003,MATCH($Q2074,$P$4:$P$2003,0)),"B","S"))))</f>
        <v/>
      </c>
      <c r="S2075">
        <f>IF(Q2075="","",IFERROR(MATCH(Q2075,$P$4:$P$2003,0),""))</f>
        <v/>
      </c>
    </row>
    <row r="2076">
      <c r="A2076" s="4">
        <f>IF($R2076="","",IF($R2076="T","Gesamtergebnis",IF($R2076="B",INDEX($M$4:$M$2003,$S2076),INDEX($L$4:$L$2003,$S2076))))</f>
        <v/>
      </c>
      <c r="B2076" s="4">
        <f>IF($R2076="","",IF($R2076="T",$K$3,IF($R2076="B",COUNTIFS($M$4:$M$2003,INDEX($M$4:$M$2003,$S2076),$N$4:$N$2003,1),1)))</f>
        <v/>
      </c>
      <c r="Q2076">
        <f>IF(OR($R2075="",$R2075="T"),"",IF($R2075="B",$Q2075,IF($Q2075+1&gt;$K$3,"",$Q2075+1)))</f>
        <v/>
      </c>
      <c r="R2076">
        <f>IF(OR($R2075="",$R2075="T"),"",IF($R2075="B","S",IF($Q2075+1&gt;$K$3,"T",IF(INDEX($M$4:$M$2003,MATCH($Q2075+1,$P$4:$P$2003,0))&lt;&gt;INDEX($M$4:$M$2003,MATCH($Q2075,$P$4:$P$2003,0)),"B","S"))))</f>
        <v/>
      </c>
      <c r="S2076">
        <f>IF(Q2076="","",IFERROR(MATCH(Q2076,$P$4:$P$2003,0),""))</f>
        <v/>
      </c>
    </row>
    <row r="2077">
      <c r="A2077" s="4">
        <f>IF($R2077="","",IF($R2077="T","Gesamtergebnis",IF($R2077="B",INDEX($M$4:$M$2003,$S2077),INDEX($L$4:$L$2003,$S2077))))</f>
        <v/>
      </c>
      <c r="B2077" s="4">
        <f>IF($R2077="","",IF($R2077="T",$K$3,IF($R2077="B",COUNTIFS($M$4:$M$2003,INDEX($M$4:$M$2003,$S2077),$N$4:$N$2003,1),1)))</f>
        <v/>
      </c>
      <c r="Q2077">
        <f>IF(OR($R2076="",$R2076="T"),"",IF($R2076="B",$Q2076,IF($Q2076+1&gt;$K$3,"",$Q2076+1)))</f>
        <v/>
      </c>
      <c r="R2077">
        <f>IF(OR($R2076="",$R2076="T"),"",IF($R2076="B","S",IF($Q2076+1&gt;$K$3,"T",IF(INDEX($M$4:$M$2003,MATCH($Q2076+1,$P$4:$P$2003,0))&lt;&gt;INDEX($M$4:$M$2003,MATCH($Q2076,$P$4:$P$2003,0)),"B","S"))))</f>
        <v/>
      </c>
      <c r="S2077">
        <f>IF(Q2077="","",IFERROR(MATCH(Q2077,$P$4:$P$2003,0),""))</f>
        <v/>
      </c>
    </row>
    <row r="2078">
      <c r="A2078" s="4">
        <f>IF($R2078="","",IF($R2078="T","Gesamtergebnis",IF($R2078="B",INDEX($M$4:$M$2003,$S2078),INDEX($L$4:$L$2003,$S2078))))</f>
        <v/>
      </c>
      <c r="B2078" s="4">
        <f>IF($R2078="","",IF($R2078="T",$K$3,IF($R2078="B",COUNTIFS($M$4:$M$2003,INDEX($M$4:$M$2003,$S2078),$N$4:$N$2003,1),1)))</f>
        <v/>
      </c>
      <c r="Q2078">
        <f>IF(OR($R2077="",$R2077="T"),"",IF($R2077="B",$Q2077,IF($Q2077+1&gt;$K$3,"",$Q2077+1)))</f>
        <v/>
      </c>
      <c r="R2078">
        <f>IF(OR($R2077="",$R2077="T"),"",IF($R2077="B","S",IF($Q2077+1&gt;$K$3,"T",IF(INDEX($M$4:$M$2003,MATCH($Q2077+1,$P$4:$P$2003,0))&lt;&gt;INDEX($M$4:$M$2003,MATCH($Q2077,$P$4:$P$2003,0)),"B","S"))))</f>
        <v/>
      </c>
      <c r="S2078">
        <f>IF(Q2078="","",IFERROR(MATCH(Q2078,$P$4:$P$2003,0),""))</f>
        <v/>
      </c>
    </row>
    <row r="2079">
      <c r="A2079" s="4">
        <f>IF($R2079="","",IF($R2079="T","Gesamtergebnis",IF($R2079="B",INDEX($M$4:$M$2003,$S2079),INDEX($L$4:$L$2003,$S2079))))</f>
        <v/>
      </c>
      <c r="B2079" s="4">
        <f>IF($R2079="","",IF($R2079="T",$K$3,IF($R2079="B",COUNTIFS($M$4:$M$2003,INDEX($M$4:$M$2003,$S2079),$N$4:$N$2003,1),1)))</f>
        <v/>
      </c>
      <c r="Q2079">
        <f>IF(OR($R2078="",$R2078="T"),"",IF($R2078="B",$Q2078,IF($Q2078+1&gt;$K$3,"",$Q2078+1)))</f>
        <v/>
      </c>
      <c r="R2079">
        <f>IF(OR($R2078="",$R2078="T"),"",IF($R2078="B","S",IF($Q2078+1&gt;$K$3,"T",IF(INDEX($M$4:$M$2003,MATCH($Q2078+1,$P$4:$P$2003,0))&lt;&gt;INDEX($M$4:$M$2003,MATCH($Q2078,$P$4:$P$2003,0)),"B","S"))))</f>
        <v/>
      </c>
      <c r="S2079">
        <f>IF(Q2079="","",IFERROR(MATCH(Q2079,$P$4:$P$2003,0),""))</f>
        <v/>
      </c>
    </row>
    <row r="2080">
      <c r="A2080" s="4">
        <f>IF($R2080="","",IF($R2080="T","Gesamtergebnis",IF($R2080="B",INDEX($M$4:$M$2003,$S2080),INDEX($L$4:$L$2003,$S2080))))</f>
        <v/>
      </c>
      <c r="B2080" s="4">
        <f>IF($R2080="","",IF($R2080="T",$K$3,IF($R2080="B",COUNTIFS($M$4:$M$2003,INDEX($M$4:$M$2003,$S2080),$N$4:$N$2003,1),1)))</f>
        <v/>
      </c>
      <c r="Q2080">
        <f>IF(OR($R2079="",$R2079="T"),"",IF($R2079="B",$Q2079,IF($Q2079+1&gt;$K$3,"",$Q2079+1)))</f>
        <v/>
      </c>
      <c r="R2080">
        <f>IF(OR($R2079="",$R2079="T"),"",IF($R2079="B","S",IF($Q2079+1&gt;$K$3,"T",IF(INDEX($M$4:$M$2003,MATCH($Q2079+1,$P$4:$P$2003,0))&lt;&gt;INDEX($M$4:$M$2003,MATCH($Q2079,$P$4:$P$2003,0)),"B","S"))))</f>
        <v/>
      </c>
      <c r="S2080">
        <f>IF(Q2080="","",IFERROR(MATCH(Q2080,$P$4:$P$2003,0),""))</f>
        <v/>
      </c>
    </row>
    <row r="2081">
      <c r="A2081" s="4">
        <f>IF($R2081="","",IF($R2081="T","Gesamtergebnis",IF($R2081="B",INDEX($M$4:$M$2003,$S2081),INDEX($L$4:$L$2003,$S2081))))</f>
        <v/>
      </c>
      <c r="B2081" s="4">
        <f>IF($R2081="","",IF($R2081="T",$K$3,IF($R2081="B",COUNTIFS($M$4:$M$2003,INDEX($M$4:$M$2003,$S2081),$N$4:$N$2003,1),1)))</f>
        <v/>
      </c>
      <c r="Q2081">
        <f>IF(OR($R2080="",$R2080="T"),"",IF($R2080="B",$Q2080,IF($Q2080+1&gt;$K$3,"",$Q2080+1)))</f>
        <v/>
      </c>
      <c r="R2081">
        <f>IF(OR($R2080="",$R2080="T"),"",IF($R2080="B","S",IF($Q2080+1&gt;$K$3,"T",IF(INDEX($M$4:$M$2003,MATCH($Q2080+1,$P$4:$P$2003,0))&lt;&gt;INDEX($M$4:$M$2003,MATCH($Q2080,$P$4:$P$2003,0)),"B","S"))))</f>
        <v/>
      </c>
      <c r="S2081">
        <f>IF(Q2081="","",IFERROR(MATCH(Q2081,$P$4:$P$2003,0),""))</f>
        <v/>
      </c>
    </row>
    <row r="2082">
      <c r="A2082" s="4">
        <f>IF($R2082="","",IF($R2082="T","Gesamtergebnis",IF($R2082="B",INDEX($M$4:$M$2003,$S2082),INDEX($L$4:$L$2003,$S2082))))</f>
        <v/>
      </c>
      <c r="B2082" s="4">
        <f>IF($R2082="","",IF($R2082="T",$K$3,IF($R2082="B",COUNTIFS($M$4:$M$2003,INDEX($M$4:$M$2003,$S2082),$N$4:$N$2003,1),1)))</f>
        <v/>
      </c>
      <c r="Q2082">
        <f>IF(OR($R2081="",$R2081="T"),"",IF($R2081="B",$Q2081,IF($Q2081+1&gt;$K$3,"",$Q2081+1)))</f>
        <v/>
      </c>
      <c r="R2082">
        <f>IF(OR($R2081="",$R2081="T"),"",IF($R2081="B","S",IF($Q2081+1&gt;$K$3,"T",IF(INDEX($M$4:$M$2003,MATCH($Q2081+1,$P$4:$P$2003,0))&lt;&gt;INDEX($M$4:$M$2003,MATCH($Q2081,$P$4:$P$2003,0)),"B","S"))))</f>
        <v/>
      </c>
      <c r="S2082">
        <f>IF(Q2082="","",IFERROR(MATCH(Q2082,$P$4:$P$2003,0),""))</f>
        <v/>
      </c>
    </row>
    <row r="2083">
      <c r="A2083" s="4">
        <f>IF($R2083="","",IF($R2083="T","Gesamtergebnis",IF($R2083="B",INDEX($M$4:$M$2003,$S2083),INDEX($L$4:$L$2003,$S2083))))</f>
        <v/>
      </c>
      <c r="B2083" s="4">
        <f>IF($R2083="","",IF($R2083="T",$K$3,IF($R2083="B",COUNTIFS($M$4:$M$2003,INDEX($M$4:$M$2003,$S2083),$N$4:$N$2003,1),1)))</f>
        <v/>
      </c>
      <c r="Q2083">
        <f>IF(OR($R2082="",$R2082="T"),"",IF($R2082="B",$Q2082,IF($Q2082+1&gt;$K$3,"",$Q2082+1)))</f>
        <v/>
      </c>
      <c r="R2083">
        <f>IF(OR($R2082="",$R2082="T"),"",IF($R2082="B","S",IF($Q2082+1&gt;$K$3,"T",IF(INDEX($M$4:$M$2003,MATCH($Q2082+1,$P$4:$P$2003,0))&lt;&gt;INDEX($M$4:$M$2003,MATCH($Q2082,$P$4:$P$2003,0)),"B","S"))))</f>
        <v/>
      </c>
      <c r="S2083">
        <f>IF(Q2083="","",IFERROR(MATCH(Q2083,$P$4:$P$2003,0),""))</f>
        <v/>
      </c>
    </row>
    <row r="2084">
      <c r="A2084" s="4">
        <f>IF($R2084="","",IF($R2084="T","Gesamtergebnis",IF($R2084="B",INDEX($M$4:$M$2003,$S2084),INDEX($L$4:$L$2003,$S2084))))</f>
        <v/>
      </c>
      <c r="B2084" s="4">
        <f>IF($R2084="","",IF($R2084="T",$K$3,IF($R2084="B",COUNTIFS($M$4:$M$2003,INDEX($M$4:$M$2003,$S2084),$N$4:$N$2003,1),1)))</f>
        <v/>
      </c>
      <c r="Q2084">
        <f>IF(OR($R2083="",$R2083="T"),"",IF($R2083="B",$Q2083,IF($Q2083+1&gt;$K$3,"",$Q2083+1)))</f>
        <v/>
      </c>
      <c r="R2084">
        <f>IF(OR($R2083="",$R2083="T"),"",IF($R2083="B","S",IF($Q2083+1&gt;$K$3,"T",IF(INDEX($M$4:$M$2003,MATCH($Q2083+1,$P$4:$P$2003,0))&lt;&gt;INDEX($M$4:$M$2003,MATCH($Q2083,$P$4:$P$2003,0)),"B","S"))))</f>
        <v/>
      </c>
      <c r="S2084">
        <f>IF(Q2084="","",IFERROR(MATCH(Q2084,$P$4:$P$2003,0),""))</f>
        <v/>
      </c>
    </row>
    <row r="2085">
      <c r="A2085" s="4">
        <f>IF($R2085="","",IF($R2085="T","Gesamtergebnis",IF($R2085="B",INDEX($M$4:$M$2003,$S2085),INDEX($L$4:$L$2003,$S2085))))</f>
        <v/>
      </c>
      <c r="B2085" s="4">
        <f>IF($R2085="","",IF($R2085="T",$K$3,IF($R2085="B",COUNTIFS($M$4:$M$2003,INDEX($M$4:$M$2003,$S2085),$N$4:$N$2003,1),1)))</f>
        <v/>
      </c>
      <c r="Q2085">
        <f>IF(OR($R2084="",$R2084="T"),"",IF($R2084="B",$Q2084,IF($Q2084+1&gt;$K$3,"",$Q2084+1)))</f>
        <v/>
      </c>
      <c r="R2085">
        <f>IF(OR($R2084="",$R2084="T"),"",IF($R2084="B","S",IF($Q2084+1&gt;$K$3,"T",IF(INDEX($M$4:$M$2003,MATCH($Q2084+1,$P$4:$P$2003,0))&lt;&gt;INDEX($M$4:$M$2003,MATCH($Q2084,$P$4:$P$2003,0)),"B","S"))))</f>
        <v/>
      </c>
      <c r="S2085">
        <f>IF(Q2085="","",IFERROR(MATCH(Q2085,$P$4:$P$2003,0),""))</f>
        <v/>
      </c>
    </row>
    <row r="2086">
      <c r="A2086" s="4">
        <f>IF($R2086="","",IF($R2086="T","Gesamtergebnis",IF($R2086="B",INDEX($M$4:$M$2003,$S2086),INDEX($L$4:$L$2003,$S2086))))</f>
        <v/>
      </c>
      <c r="B2086" s="4">
        <f>IF($R2086="","",IF($R2086="T",$K$3,IF($R2086="B",COUNTIFS($M$4:$M$2003,INDEX($M$4:$M$2003,$S2086),$N$4:$N$2003,1),1)))</f>
        <v/>
      </c>
      <c r="Q2086">
        <f>IF(OR($R2085="",$R2085="T"),"",IF($R2085="B",$Q2085,IF($Q2085+1&gt;$K$3,"",$Q2085+1)))</f>
        <v/>
      </c>
      <c r="R2086">
        <f>IF(OR($R2085="",$R2085="T"),"",IF($R2085="B","S",IF($Q2085+1&gt;$K$3,"T",IF(INDEX($M$4:$M$2003,MATCH($Q2085+1,$P$4:$P$2003,0))&lt;&gt;INDEX($M$4:$M$2003,MATCH($Q2085,$P$4:$P$2003,0)),"B","S"))))</f>
        <v/>
      </c>
      <c r="S2086">
        <f>IF(Q2086="","",IFERROR(MATCH(Q2086,$P$4:$P$2003,0),""))</f>
        <v/>
      </c>
    </row>
    <row r="2087">
      <c r="A2087" s="4">
        <f>IF($R2087="","",IF($R2087="T","Gesamtergebnis",IF($R2087="B",INDEX($M$4:$M$2003,$S2087),INDEX($L$4:$L$2003,$S2087))))</f>
        <v/>
      </c>
      <c r="B2087" s="4">
        <f>IF($R2087="","",IF($R2087="T",$K$3,IF($R2087="B",COUNTIFS($M$4:$M$2003,INDEX($M$4:$M$2003,$S2087),$N$4:$N$2003,1),1)))</f>
        <v/>
      </c>
      <c r="Q2087">
        <f>IF(OR($R2086="",$R2086="T"),"",IF($R2086="B",$Q2086,IF($Q2086+1&gt;$K$3,"",$Q2086+1)))</f>
        <v/>
      </c>
      <c r="R2087">
        <f>IF(OR($R2086="",$R2086="T"),"",IF($R2086="B","S",IF($Q2086+1&gt;$K$3,"T",IF(INDEX($M$4:$M$2003,MATCH($Q2086+1,$P$4:$P$2003,0))&lt;&gt;INDEX($M$4:$M$2003,MATCH($Q2086,$P$4:$P$2003,0)),"B","S"))))</f>
        <v/>
      </c>
      <c r="S2087">
        <f>IF(Q2087="","",IFERROR(MATCH(Q2087,$P$4:$P$2003,0),""))</f>
        <v/>
      </c>
    </row>
    <row r="2088">
      <c r="A2088" s="4">
        <f>IF($R2088="","",IF($R2088="T","Gesamtergebnis",IF($R2088="B",INDEX($M$4:$M$2003,$S2088),INDEX($L$4:$L$2003,$S2088))))</f>
        <v/>
      </c>
      <c r="B2088" s="4">
        <f>IF($R2088="","",IF($R2088="T",$K$3,IF($R2088="B",COUNTIFS($M$4:$M$2003,INDEX($M$4:$M$2003,$S2088),$N$4:$N$2003,1),1)))</f>
        <v/>
      </c>
      <c r="Q2088">
        <f>IF(OR($R2087="",$R2087="T"),"",IF($R2087="B",$Q2087,IF($Q2087+1&gt;$K$3,"",$Q2087+1)))</f>
        <v/>
      </c>
      <c r="R2088">
        <f>IF(OR($R2087="",$R2087="T"),"",IF($R2087="B","S",IF($Q2087+1&gt;$K$3,"T",IF(INDEX($M$4:$M$2003,MATCH($Q2087+1,$P$4:$P$2003,0))&lt;&gt;INDEX($M$4:$M$2003,MATCH($Q2087,$P$4:$P$2003,0)),"B","S"))))</f>
        <v/>
      </c>
      <c r="S2088">
        <f>IF(Q2088="","",IFERROR(MATCH(Q2088,$P$4:$P$2003,0),""))</f>
        <v/>
      </c>
    </row>
    <row r="2089">
      <c r="A2089" s="4">
        <f>IF($R2089="","",IF($R2089="T","Gesamtergebnis",IF($R2089="B",INDEX($M$4:$M$2003,$S2089),INDEX($L$4:$L$2003,$S2089))))</f>
        <v/>
      </c>
      <c r="B2089" s="4">
        <f>IF($R2089="","",IF($R2089="T",$K$3,IF($R2089="B",COUNTIFS($M$4:$M$2003,INDEX($M$4:$M$2003,$S2089),$N$4:$N$2003,1),1)))</f>
        <v/>
      </c>
      <c r="Q2089">
        <f>IF(OR($R2088="",$R2088="T"),"",IF($R2088="B",$Q2088,IF($Q2088+1&gt;$K$3,"",$Q2088+1)))</f>
        <v/>
      </c>
      <c r="R2089">
        <f>IF(OR($R2088="",$R2088="T"),"",IF($R2088="B","S",IF($Q2088+1&gt;$K$3,"T",IF(INDEX($M$4:$M$2003,MATCH($Q2088+1,$P$4:$P$2003,0))&lt;&gt;INDEX($M$4:$M$2003,MATCH($Q2088,$P$4:$P$2003,0)),"B","S"))))</f>
        <v/>
      </c>
      <c r="S2089">
        <f>IF(Q2089="","",IFERROR(MATCH(Q2089,$P$4:$P$2003,0),""))</f>
        <v/>
      </c>
    </row>
    <row r="2090">
      <c r="A2090" s="4">
        <f>IF($R2090="","",IF($R2090="T","Gesamtergebnis",IF($R2090="B",INDEX($M$4:$M$2003,$S2090),INDEX($L$4:$L$2003,$S2090))))</f>
        <v/>
      </c>
      <c r="B2090" s="4">
        <f>IF($R2090="","",IF($R2090="T",$K$3,IF($R2090="B",COUNTIFS($M$4:$M$2003,INDEX($M$4:$M$2003,$S2090),$N$4:$N$2003,1),1)))</f>
        <v/>
      </c>
      <c r="Q2090">
        <f>IF(OR($R2089="",$R2089="T"),"",IF($R2089="B",$Q2089,IF($Q2089+1&gt;$K$3,"",$Q2089+1)))</f>
        <v/>
      </c>
      <c r="R2090">
        <f>IF(OR($R2089="",$R2089="T"),"",IF($R2089="B","S",IF($Q2089+1&gt;$K$3,"T",IF(INDEX($M$4:$M$2003,MATCH($Q2089+1,$P$4:$P$2003,0))&lt;&gt;INDEX($M$4:$M$2003,MATCH($Q2089,$P$4:$P$2003,0)),"B","S"))))</f>
        <v/>
      </c>
      <c r="S2090">
        <f>IF(Q2090="","",IFERROR(MATCH(Q2090,$P$4:$P$2003,0),""))</f>
        <v/>
      </c>
    </row>
    <row r="2091">
      <c r="A2091" s="4">
        <f>IF($R2091="","",IF($R2091="T","Gesamtergebnis",IF($R2091="B",INDEX($M$4:$M$2003,$S2091),INDEX($L$4:$L$2003,$S2091))))</f>
        <v/>
      </c>
      <c r="B2091" s="4">
        <f>IF($R2091="","",IF($R2091="T",$K$3,IF($R2091="B",COUNTIFS($M$4:$M$2003,INDEX($M$4:$M$2003,$S2091),$N$4:$N$2003,1),1)))</f>
        <v/>
      </c>
      <c r="Q2091">
        <f>IF(OR($R2090="",$R2090="T"),"",IF($R2090="B",$Q2090,IF($Q2090+1&gt;$K$3,"",$Q2090+1)))</f>
        <v/>
      </c>
      <c r="R2091">
        <f>IF(OR($R2090="",$R2090="T"),"",IF($R2090="B","S",IF($Q2090+1&gt;$K$3,"T",IF(INDEX($M$4:$M$2003,MATCH($Q2090+1,$P$4:$P$2003,0))&lt;&gt;INDEX($M$4:$M$2003,MATCH($Q2090,$P$4:$P$2003,0)),"B","S"))))</f>
        <v/>
      </c>
      <c r="S2091">
        <f>IF(Q2091="","",IFERROR(MATCH(Q2091,$P$4:$P$2003,0),""))</f>
        <v/>
      </c>
    </row>
    <row r="2092">
      <c r="A2092" s="4">
        <f>IF($R2092="","",IF($R2092="T","Gesamtergebnis",IF($R2092="B",INDEX($M$4:$M$2003,$S2092),INDEX($L$4:$L$2003,$S2092))))</f>
        <v/>
      </c>
      <c r="B2092" s="4">
        <f>IF($R2092="","",IF($R2092="T",$K$3,IF($R2092="B",COUNTIFS($M$4:$M$2003,INDEX($M$4:$M$2003,$S2092),$N$4:$N$2003,1),1)))</f>
        <v/>
      </c>
      <c r="Q2092">
        <f>IF(OR($R2091="",$R2091="T"),"",IF($R2091="B",$Q2091,IF($Q2091+1&gt;$K$3,"",$Q2091+1)))</f>
        <v/>
      </c>
      <c r="R2092">
        <f>IF(OR($R2091="",$R2091="T"),"",IF($R2091="B","S",IF($Q2091+1&gt;$K$3,"T",IF(INDEX($M$4:$M$2003,MATCH($Q2091+1,$P$4:$P$2003,0))&lt;&gt;INDEX($M$4:$M$2003,MATCH($Q2091,$P$4:$P$2003,0)),"B","S"))))</f>
        <v/>
      </c>
      <c r="S2092">
        <f>IF(Q2092="","",IFERROR(MATCH(Q2092,$P$4:$P$2003,0),""))</f>
        <v/>
      </c>
    </row>
    <row r="2093">
      <c r="A2093" s="4">
        <f>IF($R2093="","",IF($R2093="T","Gesamtergebnis",IF($R2093="B",INDEX($M$4:$M$2003,$S2093),INDEX($L$4:$L$2003,$S2093))))</f>
        <v/>
      </c>
      <c r="B2093" s="4">
        <f>IF($R2093="","",IF($R2093="T",$K$3,IF($R2093="B",COUNTIFS($M$4:$M$2003,INDEX($M$4:$M$2003,$S2093),$N$4:$N$2003,1),1)))</f>
        <v/>
      </c>
      <c r="Q2093">
        <f>IF(OR($R2092="",$R2092="T"),"",IF($R2092="B",$Q2092,IF($Q2092+1&gt;$K$3,"",$Q2092+1)))</f>
        <v/>
      </c>
      <c r="R2093">
        <f>IF(OR($R2092="",$R2092="T"),"",IF($R2092="B","S",IF($Q2092+1&gt;$K$3,"T",IF(INDEX($M$4:$M$2003,MATCH($Q2092+1,$P$4:$P$2003,0))&lt;&gt;INDEX($M$4:$M$2003,MATCH($Q2092,$P$4:$P$2003,0)),"B","S"))))</f>
        <v/>
      </c>
      <c r="S2093">
        <f>IF(Q2093="","",IFERROR(MATCH(Q2093,$P$4:$P$2003,0),""))</f>
        <v/>
      </c>
    </row>
    <row r="2094">
      <c r="A2094" s="4">
        <f>IF($R2094="","",IF($R2094="T","Gesamtergebnis",IF($R2094="B",INDEX($M$4:$M$2003,$S2094),INDEX($L$4:$L$2003,$S2094))))</f>
        <v/>
      </c>
      <c r="B2094" s="4">
        <f>IF($R2094="","",IF($R2094="T",$K$3,IF($R2094="B",COUNTIFS($M$4:$M$2003,INDEX($M$4:$M$2003,$S2094),$N$4:$N$2003,1),1)))</f>
        <v/>
      </c>
      <c r="Q2094">
        <f>IF(OR($R2093="",$R2093="T"),"",IF($R2093="B",$Q2093,IF($Q2093+1&gt;$K$3,"",$Q2093+1)))</f>
        <v/>
      </c>
      <c r="R2094">
        <f>IF(OR($R2093="",$R2093="T"),"",IF($R2093="B","S",IF($Q2093+1&gt;$K$3,"T",IF(INDEX($M$4:$M$2003,MATCH($Q2093+1,$P$4:$P$2003,0))&lt;&gt;INDEX($M$4:$M$2003,MATCH($Q2093,$P$4:$P$2003,0)),"B","S"))))</f>
        <v/>
      </c>
      <c r="S2094">
        <f>IF(Q2094="","",IFERROR(MATCH(Q2094,$P$4:$P$2003,0),""))</f>
        <v/>
      </c>
    </row>
    <row r="2095">
      <c r="A2095" s="4">
        <f>IF($R2095="","",IF($R2095="T","Gesamtergebnis",IF($R2095="B",INDEX($M$4:$M$2003,$S2095),INDEX($L$4:$L$2003,$S2095))))</f>
        <v/>
      </c>
      <c r="B2095" s="4">
        <f>IF($R2095="","",IF($R2095="T",$K$3,IF($R2095="B",COUNTIFS($M$4:$M$2003,INDEX($M$4:$M$2003,$S2095),$N$4:$N$2003,1),1)))</f>
        <v/>
      </c>
      <c r="Q2095">
        <f>IF(OR($R2094="",$R2094="T"),"",IF($R2094="B",$Q2094,IF($Q2094+1&gt;$K$3,"",$Q2094+1)))</f>
        <v/>
      </c>
      <c r="R2095">
        <f>IF(OR($R2094="",$R2094="T"),"",IF($R2094="B","S",IF($Q2094+1&gt;$K$3,"T",IF(INDEX($M$4:$M$2003,MATCH($Q2094+1,$P$4:$P$2003,0))&lt;&gt;INDEX($M$4:$M$2003,MATCH($Q2094,$P$4:$P$2003,0)),"B","S"))))</f>
        <v/>
      </c>
      <c r="S2095">
        <f>IF(Q2095="","",IFERROR(MATCH(Q2095,$P$4:$P$2003,0),""))</f>
        <v/>
      </c>
    </row>
    <row r="2096">
      <c r="A2096" s="4">
        <f>IF($R2096="","",IF($R2096="T","Gesamtergebnis",IF($R2096="B",INDEX($M$4:$M$2003,$S2096),INDEX($L$4:$L$2003,$S2096))))</f>
        <v/>
      </c>
      <c r="B2096" s="4">
        <f>IF($R2096="","",IF($R2096="T",$K$3,IF($R2096="B",COUNTIFS($M$4:$M$2003,INDEX($M$4:$M$2003,$S2096),$N$4:$N$2003,1),1)))</f>
        <v/>
      </c>
      <c r="Q2096">
        <f>IF(OR($R2095="",$R2095="T"),"",IF($R2095="B",$Q2095,IF($Q2095+1&gt;$K$3,"",$Q2095+1)))</f>
        <v/>
      </c>
      <c r="R2096">
        <f>IF(OR($R2095="",$R2095="T"),"",IF($R2095="B","S",IF($Q2095+1&gt;$K$3,"T",IF(INDEX($M$4:$M$2003,MATCH($Q2095+1,$P$4:$P$2003,0))&lt;&gt;INDEX($M$4:$M$2003,MATCH($Q2095,$P$4:$P$2003,0)),"B","S"))))</f>
        <v/>
      </c>
      <c r="S2096">
        <f>IF(Q2096="","",IFERROR(MATCH(Q2096,$P$4:$P$2003,0),""))</f>
        <v/>
      </c>
    </row>
    <row r="2097">
      <c r="A2097" s="4">
        <f>IF($R2097="","",IF($R2097="T","Gesamtergebnis",IF($R2097="B",INDEX($M$4:$M$2003,$S2097),INDEX($L$4:$L$2003,$S2097))))</f>
        <v/>
      </c>
      <c r="B2097" s="4">
        <f>IF($R2097="","",IF($R2097="T",$K$3,IF($R2097="B",COUNTIFS($M$4:$M$2003,INDEX($M$4:$M$2003,$S2097),$N$4:$N$2003,1),1)))</f>
        <v/>
      </c>
      <c r="Q2097">
        <f>IF(OR($R2096="",$R2096="T"),"",IF($R2096="B",$Q2096,IF($Q2096+1&gt;$K$3,"",$Q2096+1)))</f>
        <v/>
      </c>
      <c r="R2097">
        <f>IF(OR($R2096="",$R2096="T"),"",IF($R2096="B","S",IF($Q2096+1&gt;$K$3,"T",IF(INDEX($M$4:$M$2003,MATCH($Q2096+1,$P$4:$P$2003,0))&lt;&gt;INDEX($M$4:$M$2003,MATCH($Q2096,$P$4:$P$2003,0)),"B","S"))))</f>
        <v/>
      </c>
      <c r="S2097">
        <f>IF(Q2097="","",IFERROR(MATCH(Q2097,$P$4:$P$2003,0),""))</f>
        <v/>
      </c>
    </row>
    <row r="2098">
      <c r="A2098" s="4">
        <f>IF($R2098="","",IF($R2098="T","Gesamtergebnis",IF($R2098="B",INDEX($M$4:$M$2003,$S2098),INDEX($L$4:$L$2003,$S2098))))</f>
        <v/>
      </c>
      <c r="B2098" s="4">
        <f>IF($R2098="","",IF($R2098="T",$K$3,IF($R2098="B",COUNTIFS($M$4:$M$2003,INDEX($M$4:$M$2003,$S2098),$N$4:$N$2003,1),1)))</f>
        <v/>
      </c>
      <c r="Q2098">
        <f>IF(OR($R2097="",$R2097="T"),"",IF($R2097="B",$Q2097,IF($Q2097+1&gt;$K$3,"",$Q2097+1)))</f>
        <v/>
      </c>
      <c r="R2098">
        <f>IF(OR($R2097="",$R2097="T"),"",IF($R2097="B","S",IF($Q2097+1&gt;$K$3,"T",IF(INDEX($M$4:$M$2003,MATCH($Q2097+1,$P$4:$P$2003,0))&lt;&gt;INDEX($M$4:$M$2003,MATCH($Q2097,$P$4:$P$2003,0)),"B","S"))))</f>
        <v/>
      </c>
      <c r="S2098">
        <f>IF(Q2098="","",IFERROR(MATCH(Q2098,$P$4:$P$2003,0),""))</f>
        <v/>
      </c>
    </row>
    <row r="2099">
      <c r="A2099" s="4">
        <f>IF($R2099="","",IF($R2099="T","Gesamtergebnis",IF($R2099="B",INDEX($M$4:$M$2003,$S2099),INDEX($L$4:$L$2003,$S2099))))</f>
        <v/>
      </c>
      <c r="B2099" s="4">
        <f>IF($R2099="","",IF($R2099="T",$K$3,IF($R2099="B",COUNTIFS($M$4:$M$2003,INDEX($M$4:$M$2003,$S2099),$N$4:$N$2003,1),1)))</f>
        <v/>
      </c>
      <c r="Q2099">
        <f>IF(OR($R2098="",$R2098="T"),"",IF($R2098="B",$Q2098,IF($Q2098+1&gt;$K$3,"",$Q2098+1)))</f>
        <v/>
      </c>
      <c r="R2099">
        <f>IF(OR($R2098="",$R2098="T"),"",IF($R2098="B","S",IF($Q2098+1&gt;$K$3,"T",IF(INDEX($M$4:$M$2003,MATCH($Q2098+1,$P$4:$P$2003,0))&lt;&gt;INDEX($M$4:$M$2003,MATCH($Q2098,$P$4:$P$2003,0)),"B","S"))))</f>
        <v/>
      </c>
      <c r="S2099">
        <f>IF(Q2099="","",IFERROR(MATCH(Q2099,$P$4:$P$2003,0),""))</f>
        <v/>
      </c>
    </row>
    <row r="2100">
      <c r="A2100" s="4">
        <f>IF($R2100="","",IF($R2100="T","Gesamtergebnis",IF($R2100="B",INDEX($M$4:$M$2003,$S2100),INDEX($L$4:$L$2003,$S2100))))</f>
        <v/>
      </c>
      <c r="B2100" s="4">
        <f>IF($R2100="","",IF($R2100="T",$K$3,IF($R2100="B",COUNTIFS($M$4:$M$2003,INDEX($M$4:$M$2003,$S2100),$N$4:$N$2003,1),1)))</f>
        <v/>
      </c>
      <c r="Q2100">
        <f>IF(OR($R2099="",$R2099="T"),"",IF($R2099="B",$Q2099,IF($Q2099+1&gt;$K$3,"",$Q2099+1)))</f>
        <v/>
      </c>
      <c r="R2100">
        <f>IF(OR($R2099="",$R2099="T"),"",IF($R2099="B","S",IF($Q2099+1&gt;$K$3,"T",IF(INDEX($M$4:$M$2003,MATCH($Q2099+1,$P$4:$P$2003,0))&lt;&gt;INDEX($M$4:$M$2003,MATCH($Q2099,$P$4:$P$2003,0)),"B","S"))))</f>
        <v/>
      </c>
      <c r="S2100">
        <f>IF(Q2100="","",IFERROR(MATCH(Q2100,$P$4:$P$2003,0),""))</f>
        <v/>
      </c>
    </row>
    <row r="2101">
      <c r="A2101" s="4">
        <f>IF($R2101="","",IF($R2101="T","Gesamtergebnis",IF($R2101="B",INDEX($M$4:$M$2003,$S2101),INDEX($L$4:$L$2003,$S2101))))</f>
        <v/>
      </c>
      <c r="B2101" s="4">
        <f>IF($R2101="","",IF($R2101="T",$K$3,IF($R2101="B",COUNTIFS($M$4:$M$2003,INDEX($M$4:$M$2003,$S2101),$N$4:$N$2003,1),1)))</f>
        <v/>
      </c>
      <c r="Q2101">
        <f>IF(OR($R2100="",$R2100="T"),"",IF($R2100="B",$Q2100,IF($Q2100+1&gt;$K$3,"",$Q2100+1)))</f>
        <v/>
      </c>
      <c r="R2101">
        <f>IF(OR($R2100="",$R2100="T"),"",IF($R2100="B","S",IF($Q2100+1&gt;$K$3,"T",IF(INDEX($M$4:$M$2003,MATCH($Q2100+1,$P$4:$P$2003,0))&lt;&gt;INDEX($M$4:$M$2003,MATCH($Q2100,$P$4:$P$2003,0)),"B","S"))))</f>
        <v/>
      </c>
      <c r="S2101">
        <f>IF(Q2101="","",IFERROR(MATCH(Q2101,$P$4:$P$2003,0),""))</f>
        <v/>
      </c>
    </row>
    <row r="2102">
      <c r="A2102" s="4">
        <f>IF($R2102="","",IF($R2102="T","Gesamtergebnis",IF($R2102="B",INDEX($M$4:$M$2003,$S2102),INDEX($L$4:$L$2003,$S2102))))</f>
        <v/>
      </c>
      <c r="B2102" s="4">
        <f>IF($R2102="","",IF($R2102="T",$K$3,IF($R2102="B",COUNTIFS($M$4:$M$2003,INDEX($M$4:$M$2003,$S2102),$N$4:$N$2003,1),1)))</f>
        <v/>
      </c>
      <c r="Q2102">
        <f>IF(OR($R2101="",$R2101="T"),"",IF($R2101="B",$Q2101,IF($Q2101+1&gt;$K$3,"",$Q2101+1)))</f>
        <v/>
      </c>
      <c r="R2102">
        <f>IF(OR($R2101="",$R2101="T"),"",IF($R2101="B","S",IF($Q2101+1&gt;$K$3,"T",IF(INDEX($M$4:$M$2003,MATCH($Q2101+1,$P$4:$P$2003,0))&lt;&gt;INDEX($M$4:$M$2003,MATCH($Q2101,$P$4:$P$2003,0)),"B","S"))))</f>
        <v/>
      </c>
      <c r="S2102">
        <f>IF(Q2102="","",IFERROR(MATCH(Q2102,$P$4:$P$2003,0),""))</f>
        <v/>
      </c>
    </row>
    <row r="2103">
      <c r="A2103" s="4">
        <f>IF($R2103="","",IF($R2103="T","Gesamtergebnis",IF($R2103="B",INDEX($M$4:$M$2003,$S2103),INDEX($L$4:$L$2003,$S2103))))</f>
        <v/>
      </c>
      <c r="B2103" s="4">
        <f>IF($R2103="","",IF($R2103="T",$K$3,IF($R2103="B",COUNTIFS($M$4:$M$2003,INDEX($M$4:$M$2003,$S2103),$N$4:$N$2003,1),1)))</f>
        <v/>
      </c>
      <c r="Q2103">
        <f>IF(OR($R2102="",$R2102="T"),"",IF($R2102="B",$Q2102,IF($Q2102+1&gt;$K$3,"",$Q2102+1)))</f>
        <v/>
      </c>
      <c r="R2103">
        <f>IF(OR($R2102="",$R2102="T"),"",IF($R2102="B","S",IF($Q2102+1&gt;$K$3,"T",IF(INDEX($M$4:$M$2003,MATCH($Q2102+1,$P$4:$P$2003,0))&lt;&gt;INDEX($M$4:$M$2003,MATCH($Q2102,$P$4:$P$2003,0)),"B","S"))))</f>
        <v/>
      </c>
      <c r="S2103">
        <f>IF(Q2103="","",IFERROR(MATCH(Q2103,$P$4:$P$2003,0),""))</f>
        <v/>
      </c>
    </row>
    <row r="2104">
      <c r="A2104" s="4">
        <f>IF($R2104="","",IF($R2104="T","Gesamtergebnis",IF($R2104="B",INDEX($M$4:$M$2003,$S2104),INDEX($L$4:$L$2003,$S2104))))</f>
        <v/>
      </c>
      <c r="B2104" s="4">
        <f>IF($R2104="","",IF($R2104="T",$K$3,IF($R2104="B",COUNTIFS($M$4:$M$2003,INDEX($M$4:$M$2003,$S2104),$N$4:$N$2003,1),1)))</f>
        <v/>
      </c>
      <c r="Q2104">
        <f>IF(OR($R2103="",$R2103="T"),"",IF($R2103="B",$Q2103,IF($Q2103+1&gt;$K$3,"",$Q2103+1)))</f>
        <v/>
      </c>
      <c r="R2104">
        <f>IF(OR($R2103="",$R2103="T"),"",IF($R2103="B","S",IF($Q2103+1&gt;$K$3,"T",IF(INDEX($M$4:$M$2003,MATCH($Q2103+1,$P$4:$P$2003,0))&lt;&gt;INDEX($M$4:$M$2003,MATCH($Q2103,$P$4:$P$2003,0)),"B","S"))))</f>
        <v/>
      </c>
      <c r="S2104">
        <f>IF(Q2104="","",IFERROR(MATCH(Q2104,$P$4:$P$2003,0),""))</f>
        <v/>
      </c>
    </row>
    <row r="2105">
      <c r="A2105" s="4">
        <f>IF($R2105="","",IF($R2105="T","Gesamtergebnis",IF($R2105="B",INDEX($M$4:$M$2003,$S2105),INDEX($L$4:$L$2003,$S2105))))</f>
        <v/>
      </c>
      <c r="B2105" s="4">
        <f>IF($R2105="","",IF($R2105="T",$K$3,IF($R2105="B",COUNTIFS($M$4:$M$2003,INDEX($M$4:$M$2003,$S2105),$N$4:$N$2003,1),1)))</f>
        <v/>
      </c>
      <c r="Q2105">
        <f>IF(OR($R2104="",$R2104="T"),"",IF($R2104="B",$Q2104,IF($Q2104+1&gt;$K$3,"",$Q2104+1)))</f>
        <v/>
      </c>
      <c r="R2105">
        <f>IF(OR($R2104="",$R2104="T"),"",IF($R2104="B","S",IF($Q2104+1&gt;$K$3,"T",IF(INDEX($M$4:$M$2003,MATCH($Q2104+1,$P$4:$P$2003,0))&lt;&gt;INDEX($M$4:$M$2003,MATCH($Q2104,$P$4:$P$2003,0)),"B","S"))))</f>
        <v/>
      </c>
      <c r="S2105">
        <f>IF(Q2105="","",IFERROR(MATCH(Q2105,$P$4:$P$2003,0),""))</f>
        <v/>
      </c>
    </row>
    <row r="2106">
      <c r="A2106" s="4">
        <f>IF($R2106="","",IF($R2106="T","Gesamtergebnis",IF($R2106="B",INDEX($M$4:$M$2003,$S2106),INDEX($L$4:$L$2003,$S2106))))</f>
        <v/>
      </c>
      <c r="B2106" s="4">
        <f>IF($R2106="","",IF($R2106="T",$K$3,IF($R2106="B",COUNTIFS($M$4:$M$2003,INDEX($M$4:$M$2003,$S2106),$N$4:$N$2003,1),1)))</f>
        <v/>
      </c>
      <c r="Q2106">
        <f>IF(OR($R2105="",$R2105="T"),"",IF($R2105="B",$Q2105,IF($Q2105+1&gt;$K$3,"",$Q2105+1)))</f>
        <v/>
      </c>
      <c r="R2106">
        <f>IF(OR($R2105="",$R2105="T"),"",IF($R2105="B","S",IF($Q2105+1&gt;$K$3,"T",IF(INDEX($M$4:$M$2003,MATCH($Q2105+1,$P$4:$P$2003,0))&lt;&gt;INDEX($M$4:$M$2003,MATCH($Q2105,$P$4:$P$2003,0)),"B","S"))))</f>
        <v/>
      </c>
      <c r="S2106">
        <f>IF(Q2106="","",IFERROR(MATCH(Q2106,$P$4:$P$2003,0),""))</f>
        <v/>
      </c>
    </row>
    <row r="2107">
      <c r="A2107" s="4">
        <f>IF($R2107="","",IF($R2107="T","Gesamtergebnis",IF($R2107="B",INDEX($M$4:$M$2003,$S2107),INDEX($L$4:$L$2003,$S2107))))</f>
        <v/>
      </c>
      <c r="B2107" s="4">
        <f>IF($R2107="","",IF($R2107="T",$K$3,IF($R2107="B",COUNTIFS($M$4:$M$2003,INDEX($M$4:$M$2003,$S2107),$N$4:$N$2003,1),1)))</f>
        <v/>
      </c>
      <c r="Q2107">
        <f>IF(OR($R2106="",$R2106="T"),"",IF($R2106="B",$Q2106,IF($Q2106+1&gt;$K$3,"",$Q2106+1)))</f>
        <v/>
      </c>
      <c r="R2107">
        <f>IF(OR($R2106="",$R2106="T"),"",IF($R2106="B","S",IF($Q2106+1&gt;$K$3,"T",IF(INDEX($M$4:$M$2003,MATCH($Q2106+1,$P$4:$P$2003,0))&lt;&gt;INDEX($M$4:$M$2003,MATCH($Q2106,$P$4:$P$2003,0)),"B","S"))))</f>
        <v/>
      </c>
      <c r="S2107">
        <f>IF(Q2107="","",IFERROR(MATCH(Q2107,$P$4:$P$2003,0),""))</f>
        <v/>
      </c>
    </row>
    <row r="2108">
      <c r="A2108" s="4">
        <f>IF($R2108="","",IF($R2108="T","Gesamtergebnis",IF($R2108="B",INDEX($M$4:$M$2003,$S2108),INDEX($L$4:$L$2003,$S2108))))</f>
        <v/>
      </c>
      <c r="B2108" s="4">
        <f>IF($R2108="","",IF($R2108="T",$K$3,IF($R2108="B",COUNTIFS($M$4:$M$2003,INDEX($M$4:$M$2003,$S2108),$N$4:$N$2003,1),1)))</f>
        <v/>
      </c>
      <c r="Q2108">
        <f>IF(OR($R2107="",$R2107="T"),"",IF($R2107="B",$Q2107,IF($Q2107+1&gt;$K$3,"",$Q2107+1)))</f>
        <v/>
      </c>
      <c r="R2108">
        <f>IF(OR($R2107="",$R2107="T"),"",IF($R2107="B","S",IF($Q2107+1&gt;$K$3,"T",IF(INDEX($M$4:$M$2003,MATCH($Q2107+1,$P$4:$P$2003,0))&lt;&gt;INDEX($M$4:$M$2003,MATCH($Q2107,$P$4:$P$2003,0)),"B","S"))))</f>
        <v/>
      </c>
      <c r="S2108">
        <f>IF(Q2108="","",IFERROR(MATCH(Q2108,$P$4:$P$2003,0),""))</f>
        <v/>
      </c>
    </row>
    <row r="2109">
      <c r="A2109" s="4">
        <f>IF($R2109="","",IF($R2109="T","Gesamtergebnis",IF($R2109="B",INDEX($M$4:$M$2003,$S2109),INDEX($L$4:$L$2003,$S2109))))</f>
        <v/>
      </c>
      <c r="B2109" s="4">
        <f>IF($R2109="","",IF($R2109="T",$K$3,IF($R2109="B",COUNTIFS($M$4:$M$2003,INDEX($M$4:$M$2003,$S2109),$N$4:$N$2003,1),1)))</f>
        <v/>
      </c>
      <c r="Q2109">
        <f>IF(OR($R2108="",$R2108="T"),"",IF($R2108="B",$Q2108,IF($Q2108+1&gt;$K$3,"",$Q2108+1)))</f>
        <v/>
      </c>
      <c r="R2109">
        <f>IF(OR($R2108="",$R2108="T"),"",IF($R2108="B","S",IF($Q2108+1&gt;$K$3,"T",IF(INDEX($M$4:$M$2003,MATCH($Q2108+1,$P$4:$P$2003,0))&lt;&gt;INDEX($M$4:$M$2003,MATCH($Q2108,$P$4:$P$2003,0)),"B","S"))))</f>
        <v/>
      </c>
      <c r="S2109">
        <f>IF(Q2109="","",IFERROR(MATCH(Q2109,$P$4:$P$2003,0),""))</f>
        <v/>
      </c>
    </row>
    <row r="2110">
      <c r="A2110" s="4">
        <f>IF($R2110="","",IF($R2110="T","Gesamtergebnis",IF($R2110="B",INDEX($M$4:$M$2003,$S2110),INDEX($L$4:$L$2003,$S2110))))</f>
        <v/>
      </c>
      <c r="B2110" s="4">
        <f>IF($R2110="","",IF($R2110="T",$K$3,IF($R2110="B",COUNTIFS($M$4:$M$2003,INDEX($M$4:$M$2003,$S2110),$N$4:$N$2003,1),1)))</f>
        <v/>
      </c>
      <c r="Q2110">
        <f>IF(OR($R2109="",$R2109="T"),"",IF($R2109="B",$Q2109,IF($Q2109+1&gt;$K$3,"",$Q2109+1)))</f>
        <v/>
      </c>
      <c r="R2110">
        <f>IF(OR($R2109="",$R2109="T"),"",IF($R2109="B","S",IF($Q2109+1&gt;$K$3,"T",IF(INDEX($M$4:$M$2003,MATCH($Q2109+1,$P$4:$P$2003,0))&lt;&gt;INDEX($M$4:$M$2003,MATCH($Q2109,$P$4:$P$2003,0)),"B","S"))))</f>
        <v/>
      </c>
      <c r="S2110">
        <f>IF(Q2110="","",IFERROR(MATCH(Q2110,$P$4:$P$2003,0),""))</f>
        <v/>
      </c>
    </row>
    <row r="2111">
      <c r="A2111" s="4">
        <f>IF($R2111="","",IF($R2111="T","Gesamtergebnis",IF($R2111="B",INDEX($M$4:$M$2003,$S2111),INDEX($L$4:$L$2003,$S2111))))</f>
        <v/>
      </c>
      <c r="B2111" s="4">
        <f>IF($R2111="","",IF($R2111="T",$K$3,IF($R2111="B",COUNTIFS($M$4:$M$2003,INDEX($M$4:$M$2003,$S2111),$N$4:$N$2003,1),1)))</f>
        <v/>
      </c>
      <c r="Q2111">
        <f>IF(OR($R2110="",$R2110="T"),"",IF($R2110="B",$Q2110,IF($Q2110+1&gt;$K$3,"",$Q2110+1)))</f>
        <v/>
      </c>
      <c r="R2111">
        <f>IF(OR($R2110="",$R2110="T"),"",IF($R2110="B","S",IF($Q2110+1&gt;$K$3,"T",IF(INDEX($M$4:$M$2003,MATCH($Q2110+1,$P$4:$P$2003,0))&lt;&gt;INDEX($M$4:$M$2003,MATCH($Q2110,$P$4:$P$2003,0)),"B","S"))))</f>
        <v/>
      </c>
      <c r="S2111">
        <f>IF(Q2111="","",IFERROR(MATCH(Q2111,$P$4:$P$2003,0),""))</f>
        <v/>
      </c>
    </row>
    <row r="2112">
      <c r="A2112" s="4">
        <f>IF($R2112="","",IF($R2112="T","Gesamtergebnis",IF($R2112="B",INDEX($M$4:$M$2003,$S2112),INDEX($L$4:$L$2003,$S2112))))</f>
        <v/>
      </c>
      <c r="B2112" s="4">
        <f>IF($R2112="","",IF($R2112="T",$K$3,IF($R2112="B",COUNTIFS($M$4:$M$2003,INDEX($M$4:$M$2003,$S2112),$N$4:$N$2003,1),1)))</f>
        <v/>
      </c>
      <c r="Q2112">
        <f>IF(OR($R2111="",$R2111="T"),"",IF($R2111="B",$Q2111,IF($Q2111+1&gt;$K$3,"",$Q2111+1)))</f>
        <v/>
      </c>
      <c r="R2112">
        <f>IF(OR($R2111="",$R2111="T"),"",IF($R2111="B","S",IF($Q2111+1&gt;$K$3,"T",IF(INDEX($M$4:$M$2003,MATCH($Q2111+1,$P$4:$P$2003,0))&lt;&gt;INDEX($M$4:$M$2003,MATCH($Q2111,$P$4:$P$2003,0)),"B","S"))))</f>
        <v/>
      </c>
      <c r="S2112">
        <f>IF(Q2112="","",IFERROR(MATCH(Q2112,$P$4:$P$2003,0),""))</f>
        <v/>
      </c>
    </row>
    <row r="2113">
      <c r="A2113" s="4">
        <f>IF($R2113="","",IF($R2113="T","Gesamtergebnis",IF($R2113="B",INDEX($M$4:$M$2003,$S2113),INDEX($L$4:$L$2003,$S2113))))</f>
        <v/>
      </c>
      <c r="B2113" s="4">
        <f>IF($R2113="","",IF($R2113="T",$K$3,IF($R2113="B",COUNTIFS($M$4:$M$2003,INDEX($M$4:$M$2003,$S2113),$N$4:$N$2003,1),1)))</f>
        <v/>
      </c>
      <c r="Q2113">
        <f>IF(OR($R2112="",$R2112="T"),"",IF($R2112="B",$Q2112,IF($Q2112+1&gt;$K$3,"",$Q2112+1)))</f>
        <v/>
      </c>
      <c r="R2113">
        <f>IF(OR($R2112="",$R2112="T"),"",IF($R2112="B","S",IF($Q2112+1&gt;$K$3,"T",IF(INDEX($M$4:$M$2003,MATCH($Q2112+1,$P$4:$P$2003,0))&lt;&gt;INDEX($M$4:$M$2003,MATCH($Q2112,$P$4:$P$2003,0)),"B","S"))))</f>
        <v/>
      </c>
      <c r="S2113">
        <f>IF(Q2113="","",IFERROR(MATCH(Q2113,$P$4:$P$2003,0),""))</f>
        <v/>
      </c>
    </row>
    <row r="2114">
      <c r="A2114" s="4">
        <f>IF($R2114="","",IF($R2114="T","Gesamtergebnis",IF($R2114="B",INDEX($M$4:$M$2003,$S2114),INDEX($L$4:$L$2003,$S2114))))</f>
        <v/>
      </c>
      <c r="B2114" s="4">
        <f>IF($R2114="","",IF($R2114="T",$K$3,IF($R2114="B",COUNTIFS($M$4:$M$2003,INDEX($M$4:$M$2003,$S2114),$N$4:$N$2003,1),1)))</f>
        <v/>
      </c>
      <c r="Q2114">
        <f>IF(OR($R2113="",$R2113="T"),"",IF($R2113="B",$Q2113,IF($Q2113+1&gt;$K$3,"",$Q2113+1)))</f>
        <v/>
      </c>
      <c r="R2114">
        <f>IF(OR($R2113="",$R2113="T"),"",IF($R2113="B","S",IF($Q2113+1&gt;$K$3,"T",IF(INDEX($M$4:$M$2003,MATCH($Q2113+1,$P$4:$P$2003,0))&lt;&gt;INDEX($M$4:$M$2003,MATCH($Q2113,$P$4:$P$2003,0)),"B","S"))))</f>
        <v/>
      </c>
      <c r="S2114">
        <f>IF(Q2114="","",IFERROR(MATCH(Q2114,$P$4:$P$2003,0),""))</f>
        <v/>
      </c>
    </row>
    <row r="2115">
      <c r="A2115" s="4">
        <f>IF($R2115="","",IF($R2115="T","Gesamtergebnis",IF($R2115="B",INDEX($M$4:$M$2003,$S2115),INDEX($L$4:$L$2003,$S2115))))</f>
        <v/>
      </c>
      <c r="B2115" s="4">
        <f>IF($R2115="","",IF($R2115="T",$K$3,IF($R2115="B",COUNTIFS($M$4:$M$2003,INDEX($M$4:$M$2003,$S2115),$N$4:$N$2003,1),1)))</f>
        <v/>
      </c>
      <c r="Q2115">
        <f>IF(OR($R2114="",$R2114="T"),"",IF($R2114="B",$Q2114,IF($Q2114+1&gt;$K$3,"",$Q2114+1)))</f>
        <v/>
      </c>
      <c r="R2115">
        <f>IF(OR($R2114="",$R2114="T"),"",IF($R2114="B","S",IF($Q2114+1&gt;$K$3,"T",IF(INDEX($M$4:$M$2003,MATCH($Q2114+1,$P$4:$P$2003,0))&lt;&gt;INDEX($M$4:$M$2003,MATCH($Q2114,$P$4:$P$2003,0)),"B","S"))))</f>
        <v/>
      </c>
      <c r="S2115">
        <f>IF(Q2115="","",IFERROR(MATCH(Q2115,$P$4:$P$2003,0),""))</f>
        <v/>
      </c>
    </row>
    <row r="2116">
      <c r="A2116" s="4">
        <f>IF($R2116="","",IF($R2116="T","Gesamtergebnis",IF($R2116="B",INDEX($M$4:$M$2003,$S2116),INDEX($L$4:$L$2003,$S2116))))</f>
        <v/>
      </c>
      <c r="B2116" s="4">
        <f>IF($R2116="","",IF($R2116="T",$K$3,IF($R2116="B",COUNTIFS($M$4:$M$2003,INDEX($M$4:$M$2003,$S2116),$N$4:$N$2003,1),1)))</f>
        <v/>
      </c>
      <c r="Q2116">
        <f>IF(OR($R2115="",$R2115="T"),"",IF($R2115="B",$Q2115,IF($Q2115+1&gt;$K$3,"",$Q2115+1)))</f>
        <v/>
      </c>
      <c r="R2116">
        <f>IF(OR($R2115="",$R2115="T"),"",IF($R2115="B","S",IF($Q2115+1&gt;$K$3,"T",IF(INDEX($M$4:$M$2003,MATCH($Q2115+1,$P$4:$P$2003,0))&lt;&gt;INDEX($M$4:$M$2003,MATCH($Q2115,$P$4:$P$2003,0)),"B","S"))))</f>
        <v/>
      </c>
      <c r="S2116">
        <f>IF(Q2116="","",IFERROR(MATCH(Q2116,$P$4:$P$2003,0),""))</f>
        <v/>
      </c>
    </row>
    <row r="2117">
      <c r="A2117" s="4">
        <f>IF($R2117="","",IF($R2117="T","Gesamtergebnis",IF($R2117="B",INDEX($M$4:$M$2003,$S2117),INDEX($L$4:$L$2003,$S2117))))</f>
        <v/>
      </c>
      <c r="B2117" s="4">
        <f>IF($R2117="","",IF($R2117="T",$K$3,IF($R2117="B",COUNTIFS($M$4:$M$2003,INDEX($M$4:$M$2003,$S2117),$N$4:$N$2003,1),1)))</f>
        <v/>
      </c>
      <c r="Q2117">
        <f>IF(OR($R2116="",$R2116="T"),"",IF($R2116="B",$Q2116,IF($Q2116+1&gt;$K$3,"",$Q2116+1)))</f>
        <v/>
      </c>
      <c r="R2117">
        <f>IF(OR($R2116="",$R2116="T"),"",IF($R2116="B","S",IF($Q2116+1&gt;$K$3,"T",IF(INDEX($M$4:$M$2003,MATCH($Q2116+1,$P$4:$P$2003,0))&lt;&gt;INDEX($M$4:$M$2003,MATCH($Q2116,$P$4:$P$2003,0)),"B","S"))))</f>
        <v/>
      </c>
      <c r="S2117">
        <f>IF(Q2117="","",IFERROR(MATCH(Q2117,$P$4:$P$2003,0),""))</f>
        <v/>
      </c>
    </row>
    <row r="2118">
      <c r="A2118" s="4">
        <f>IF($R2118="","",IF($R2118="T","Gesamtergebnis",IF($R2118="B",INDEX($M$4:$M$2003,$S2118),INDEX($L$4:$L$2003,$S2118))))</f>
        <v/>
      </c>
      <c r="B2118" s="4">
        <f>IF($R2118="","",IF($R2118="T",$K$3,IF($R2118="B",COUNTIFS($M$4:$M$2003,INDEX($M$4:$M$2003,$S2118),$N$4:$N$2003,1),1)))</f>
        <v/>
      </c>
      <c r="Q2118">
        <f>IF(OR($R2117="",$R2117="T"),"",IF($R2117="B",$Q2117,IF($Q2117+1&gt;$K$3,"",$Q2117+1)))</f>
        <v/>
      </c>
      <c r="R2118">
        <f>IF(OR($R2117="",$R2117="T"),"",IF($R2117="B","S",IF($Q2117+1&gt;$K$3,"T",IF(INDEX($M$4:$M$2003,MATCH($Q2117+1,$P$4:$P$2003,0))&lt;&gt;INDEX($M$4:$M$2003,MATCH($Q2117,$P$4:$P$2003,0)),"B","S"))))</f>
        <v/>
      </c>
      <c r="S2118">
        <f>IF(Q2118="","",IFERROR(MATCH(Q2118,$P$4:$P$2003,0),""))</f>
        <v/>
      </c>
    </row>
    <row r="2119">
      <c r="A2119" s="4">
        <f>IF($R2119="","",IF($R2119="T","Gesamtergebnis",IF($R2119="B",INDEX($M$4:$M$2003,$S2119),INDEX($L$4:$L$2003,$S2119))))</f>
        <v/>
      </c>
      <c r="B2119" s="4">
        <f>IF($R2119="","",IF($R2119="T",$K$3,IF($R2119="B",COUNTIFS($M$4:$M$2003,INDEX($M$4:$M$2003,$S2119),$N$4:$N$2003,1),1)))</f>
        <v/>
      </c>
      <c r="Q2119">
        <f>IF(OR($R2118="",$R2118="T"),"",IF($R2118="B",$Q2118,IF($Q2118+1&gt;$K$3,"",$Q2118+1)))</f>
        <v/>
      </c>
      <c r="R2119">
        <f>IF(OR($R2118="",$R2118="T"),"",IF($R2118="B","S",IF($Q2118+1&gt;$K$3,"T",IF(INDEX($M$4:$M$2003,MATCH($Q2118+1,$P$4:$P$2003,0))&lt;&gt;INDEX($M$4:$M$2003,MATCH($Q2118,$P$4:$P$2003,0)),"B","S"))))</f>
        <v/>
      </c>
      <c r="S2119">
        <f>IF(Q2119="","",IFERROR(MATCH(Q2119,$P$4:$P$2003,0),""))</f>
        <v/>
      </c>
    </row>
    <row r="2120">
      <c r="A2120" s="4">
        <f>IF($R2120="","",IF($R2120="T","Gesamtergebnis",IF($R2120="B",INDEX($M$4:$M$2003,$S2120),INDEX($L$4:$L$2003,$S2120))))</f>
        <v/>
      </c>
      <c r="B2120" s="4">
        <f>IF($R2120="","",IF($R2120="T",$K$3,IF($R2120="B",COUNTIFS($M$4:$M$2003,INDEX($M$4:$M$2003,$S2120),$N$4:$N$2003,1),1)))</f>
        <v/>
      </c>
      <c r="Q2120">
        <f>IF(OR($R2119="",$R2119="T"),"",IF($R2119="B",$Q2119,IF($Q2119+1&gt;$K$3,"",$Q2119+1)))</f>
        <v/>
      </c>
      <c r="R2120">
        <f>IF(OR($R2119="",$R2119="T"),"",IF($R2119="B","S",IF($Q2119+1&gt;$K$3,"T",IF(INDEX($M$4:$M$2003,MATCH($Q2119+1,$P$4:$P$2003,0))&lt;&gt;INDEX($M$4:$M$2003,MATCH($Q2119,$P$4:$P$2003,0)),"B","S"))))</f>
        <v/>
      </c>
      <c r="S2120">
        <f>IF(Q2120="","",IFERROR(MATCH(Q2120,$P$4:$P$2003,0),""))</f>
        <v/>
      </c>
    </row>
    <row r="2121">
      <c r="A2121" s="4">
        <f>IF($R2121="","",IF($R2121="T","Gesamtergebnis",IF($R2121="B",INDEX($M$4:$M$2003,$S2121),INDEX($L$4:$L$2003,$S2121))))</f>
        <v/>
      </c>
      <c r="B2121" s="4">
        <f>IF($R2121="","",IF($R2121="T",$K$3,IF($R2121="B",COUNTIFS($M$4:$M$2003,INDEX($M$4:$M$2003,$S2121),$N$4:$N$2003,1),1)))</f>
        <v/>
      </c>
      <c r="Q2121">
        <f>IF(OR($R2120="",$R2120="T"),"",IF($R2120="B",$Q2120,IF($Q2120+1&gt;$K$3,"",$Q2120+1)))</f>
        <v/>
      </c>
      <c r="R2121">
        <f>IF(OR($R2120="",$R2120="T"),"",IF($R2120="B","S",IF($Q2120+1&gt;$K$3,"T",IF(INDEX($M$4:$M$2003,MATCH($Q2120+1,$P$4:$P$2003,0))&lt;&gt;INDEX($M$4:$M$2003,MATCH($Q2120,$P$4:$P$2003,0)),"B","S"))))</f>
        <v/>
      </c>
      <c r="S2121">
        <f>IF(Q2121="","",IFERROR(MATCH(Q2121,$P$4:$P$2003,0),""))</f>
        <v/>
      </c>
    </row>
    <row r="2122">
      <c r="A2122" s="4">
        <f>IF($R2122="","",IF($R2122="T","Gesamtergebnis",IF($R2122="B",INDEX($M$4:$M$2003,$S2122),INDEX($L$4:$L$2003,$S2122))))</f>
        <v/>
      </c>
      <c r="B2122" s="4">
        <f>IF($R2122="","",IF($R2122="T",$K$3,IF($R2122="B",COUNTIFS($M$4:$M$2003,INDEX($M$4:$M$2003,$S2122),$N$4:$N$2003,1),1)))</f>
        <v/>
      </c>
      <c r="Q2122">
        <f>IF(OR($R2121="",$R2121="T"),"",IF($R2121="B",$Q2121,IF($Q2121+1&gt;$K$3,"",$Q2121+1)))</f>
        <v/>
      </c>
      <c r="R2122">
        <f>IF(OR($R2121="",$R2121="T"),"",IF($R2121="B","S",IF($Q2121+1&gt;$K$3,"T",IF(INDEX($M$4:$M$2003,MATCH($Q2121+1,$P$4:$P$2003,0))&lt;&gt;INDEX($M$4:$M$2003,MATCH($Q2121,$P$4:$P$2003,0)),"B","S"))))</f>
        <v/>
      </c>
      <c r="S2122">
        <f>IF(Q2122="","",IFERROR(MATCH(Q2122,$P$4:$P$2003,0),""))</f>
        <v/>
      </c>
    </row>
    <row r="2123">
      <c r="A2123" s="4">
        <f>IF($R2123="","",IF($R2123="T","Gesamtergebnis",IF($R2123="B",INDEX($M$4:$M$2003,$S2123),INDEX($L$4:$L$2003,$S2123))))</f>
        <v/>
      </c>
      <c r="B2123" s="4">
        <f>IF($R2123="","",IF($R2123="T",$K$3,IF($R2123="B",COUNTIFS($M$4:$M$2003,INDEX($M$4:$M$2003,$S2123),$N$4:$N$2003,1),1)))</f>
        <v/>
      </c>
      <c r="Q2123">
        <f>IF(OR($R2122="",$R2122="T"),"",IF($R2122="B",$Q2122,IF($Q2122+1&gt;$K$3,"",$Q2122+1)))</f>
        <v/>
      </c>
      <c r="R2123">
        <f>IF(OR($R2122="",$R2122="T"),"",IF($R2122="B","S",IF($Q2122+1&gt;$K$3,"T",IF(INDEX($M$4:$M$2003,MATCH($Q2122+1,$P$4:$P$2003,0))&lt;&gt;INDEX($M$4:$M$2003,MATCH($Q2122,$P$4:$P$2003,0)),"B","S"))))</f>
        <v/>
      </c>
      <c r="S2123">
        <f>IF(Q2123="","",IFERROR(MATCH(Q2123,$P$4:$P$2003,0),""))</f>
        <v/>
      </c>
    </row>
    <row r="2124">
      <c r="A2124" s="4">
        <f>IF($R2124="","",IF($R2124="T","Gesamtergebnis",IF($R2124="B",INDEX($M$4:$M$2003,$S2124),INDEX($L$4:$L$2003,$S2124))))</f>
        <v/>
      </c>
      <c r="B2124" s="4">
        <f>IF($R2124="","",IF($R2124="T",$K$3,IF($R2124="B",COUNTIFS($M$4:$M$2003,INDEX($M$4:$M$2003,$S2124),$N$4:$N$2003,1),1)))</f>
        <v/>
      </c>
      <c r="Q2124">
        <f>IF(OR($R2123="",$R2123="T"),"",IF($R2123="B",$Q2123,IF($Q2123+1&gt;$K$3,"",$Q2123+1)))</f>
        <v/>
      </c>
      <c r="R2124">
        <f>IF(OR($R2123="",$R2123="T"),"",IF($R2123="B","S",IF($Q2123+1&gt;$K$3,"T",IF(INDEX($M$4:$M$2003,MATCH($Q2123+1,$P$4:$P$2003,0))&lt;&gt;INDEX($M$4:$M$2003,MATCH($Q2123,$P$4:$P$2003,0)),"B","S"))))</f>
        <v/>
      </c>
      <c r="S2124">
        <f>IF(Q2124="","",IFERROR(MATCH(Q2124,$P$4:$P$2003,0),""))</f>
        <v/>
      </c>
    </row>
    <row r="2125">
      <c r="A2125" s="4">
        <f>IF($R2125="","",IF($R2125="T","Gesamtergebnis",IF($R2125="B",INDEX($M$4:$M$2003,$S2125),INDEX($L$4:$L$2003,$S2125))))</f>
        <v/>
      </c>
      <c r="B2125" s="4">
        <f>IF($R2125="","",IF($R2125="T",$K$3,IF($R2125="B",COUNTIFS($M$4:$M$2003,INDEX($M$4:$M$2003,$S2125),$N$4:$N$2003,1),1)))</f>
        <v/>
      </c>
      <c r="Q2125">
        <f>IF(OR($R2124="",$R2124="T"),"",IF($R2124="B",$Q2124,IF($Q2124+1&gt;$K$3,"",$Q2124+1)))</f>
        <v/>
      </c>
      <c r="R2125">
        <f>IF(OR($R2124="",$R2124="T"),"",IF($R2124="B","S",IF($Q2124+1&gt;$K$3,"T",IF(INDEX($M$4:$M$2003,MATCH($Q2124+1,$P$4:$P$2003,0))&lt;&gt;INDEX($M$4:$M$2003,MATCH($Q2124,$P$4:$P$2003,0)),"B","S"))))</f>
        <v/>
      </c>
      <c r="S2125">
        <f>IF(Q2125="","",IFERROR(MATCH(Q2125,$P$4:$P$2003,0),""))</f>
        <v/>
      </c>
    </row>
    <row r="2126">
      <c r="A2126" s="4">
        <f>IF($R2126="","",IF($R2126="T","Gesamtergebnis",IF($R2126="B",INDEX($M$4:$M$2003,$S2126),INDEX($L$4:$L$2003,$S2126))))</f>
        <v/>
      </c>
      <c r="B2126" s="4">
        <f>IF($R2126="","",IF($R2126="T",$K$3,IF($R2126="B",COUNTIFS($M$4:$M$2003,INDEX($M$4:$M$2003,$S2126),$N$4:$N$2003,1),1)))</f>
        <v/>
      </c>
      <c r="Q2126">
        <f>IF(OR($R2125="",$R2125="T"),"",IF($R2125="B",$Q2125,IF($Q2125+1&gt;$K$3,"",$Q2125+1)))</f>
        <v/>
      </c>
      <c r="R2126">
        <f>IF(OR($R2125="",$R2125="T"),"",IF($R2125="B","S",IF($Q2125+1&gt;$K$3,"T",IF(INDEX($M$4:$M$2003,MATCH($Q2125+1,$P$4:$P$2003,0))&lt;&gt;INDEX($M$4:$M$2003,MATCH($Q2125,$P$4:$P$2003,0)),"B","S"))))</f>
        <v/>
      </c>
      <c r="S2126">
        <f>IF(Q2126="","",IFERROR(MATCH(Q2126,$P$4:$P$2003,0),""))</f>
        <v/>
      </c>
    </row>
    <row r="2127">
      <c r="A2127" s="4">
        <f>IF($R2127="","",IF($R2127="T","Gesamtergebnis",IF($R2127="B",INDEX($M$4:$M$2003,$S2127),INDEX($L$4:$L$2003,$S2127))))</f>
        <v/>
      </c>
      <c r="B2127" s="4">
        <f>IF($R2127="","",IF($R2127="T",$K$3,IF($R2127="B",COUNTIFS($M$4:$M$2003,INDEX($M$4:$M$2003,$S2127),$N$4:$N$2003,1),1)))</f>
        <v/>
      </c>
      <c r="Q2127">
        <f>IF(OR($R2126="",$R2126="T"),"",IF($R2126="B",$Q2126,IF($Q2126+1&gt;$K$3,"",$Q2126+1)))</f>
        <v/>
      </c>
      <c r="R2127">
        <f>IF(OR($R2126="",$R2126="T"),"",IF($R2126="B","S",IF($Q2126+1&gt;$K$3,"T",IF(INDEX($M$4:$M$2003,MATCH($Q2126+1,$P$4:$P$2003,0))&lt;&gt;INDEX($M$4:$M$2003,MATCH($Q2126,$P$4:$P$2003,0)),"B","S"))))</f>
        <v/>
      </c>
      <c r="S2127">
        <f>IF(Q2127="","",IFERROR(MATCH(Q2127,$P$4:$P$2003,0),""))</f>
        <v/>
      </c>
    </row>
    <row r="2128">
      <c r="A2128" s="4">
        <f>IF($R2128="","",IF($R2128="T","Gesamtergebnis",IF($R2128="B",INDEX($M$4:$M$2003,$S2128),INDEX($L$4:$L$2003,$S2128))))</f>
        <v/>
      </c>
      <c r="B2128" s="4">
        <f>IF($R2128="","",IF($R2128="T",$K$3,IF($R2128="B",COUNTIFS($M$4:$M$2003,INDEX($M$4:$M$2003,$S2128),$N$4:$N$2003,1),1)))</f>
        <v/>
      </c>
      <c r="Q2128">
        <f>IF(OR($R2127="",$R2127="T"),"",IF($R2127="B",$Q2127,IF($Q2127+1&gt;$K$3,"",$Q2127+1)))</f>
        <v/>
      </c>
      <c r="R2128">
        <f>IF(OR($R2127="",$R2127="T"),"",IF($R2127="B","S",IF($Q2127+1&gt;$K$3,"T",IF(INDEX($M$4:$M$2003,MATCH($Q2127+1,$P$4:$P$2003,0))&lt;&gt;INDEX($M$4:$M$2003,MATCH($Q2127,$P$4:$P$2003,0)),"B","S"))))</f>
        <v/>
      </c>
      <c r="S2128">
        <f>IF(Q2128="","",IFERROR(MATCH(Q2128,$P$4:$P$2003,0),""))</f>
        <v/>
      </c>
    </row>
    <row r="2129">
      <c r="A2129" s="4">
        <f>IF($R2129="","",IF($R2129="T","Gesamtergebnis",IF($R2129="B",INDEX($M$4:$M$2003,$S2129),INDEX($L$4:$L$2003,$S2129))))</f>
        <v/>
      </c>
      <c r="B2129" s="4">
        <f>IF($R2129="","",IF($R2129="T",$K$3,IF($R2129="B",COUNTIFS($M$4:$M$2003,INDEX($M$4:$M$2003,$S2129),$N$4:$N$2003,1),1)))</f>
        <v/>
      </c>
      <c r="Q2129">
        <f>IF(OR($R2128="",$R2128="T"),"",IF($R2128="B",$Q2128,IF($Q2128+1&gt;$K$3,"",$Q2128+1)))</f>
        <v/>
      </c>
      <c r="R2129">
        <f>IF(OR($R2128="",$R2128="T"),"",IF($R2128="B","S",IF($Q2128+1&gt;$K$3,"T",IF(INDEX($M$4:$M$2003,MATCH($Q2128+1,$P$4:$P$2003,0))&lt;&gt;INDEX($M$4:$M$2003,MATCH($Q2128,$P$4:$P$2003,0)),"B","S"))))</f>
        <v/>
      </c>
      <c r="S2129">
        <f>IF(Q2129="","",IFERROR(MATCH(Q2129,$P$4:$P$2003,0),""))</f>
        <v/>
      </c>
    </row>
    <row r="2130">
      <c r="A2130" s="4">
        <f>IF($R2130="","",IF($R2130="T","Gesamtergebnis",IF($R2130="B",INDEX($M$4:$M$2003,$S2130),INDEX($L$4:$L$2003,$S2130))))</f>
        <v/>
      </c>
      <c r="B2130" s="4">
        <f>IF($R2130="","",IF($R2130="T",$K$3,IF($R2130="B",COUNTIFS($M$4:$M$2003,INDEX($M$4:$M$2003,$S2130),$N$4:$N$2003,1),1)))</f>
        <v/>
      </c>
      <c r="Q2130">
        <f>IF(OR($R2129="",$R2129="T"),"",IF($R2129="B",$Q2129,IF($Q2129+1&gt;$K$3,"",$Q2129+1)))</f>
        <v/>
      </c>
      <c r="R2130">
        <f>IF(OR($R2129="",$R2129="T"),"",IF($R2129="B","S",IF($Q2129+1&gt;$K$3,"T",IF(INDEX($M$4:$M$2003,MATCH($Q2129+1,$P$4:$P$2003,0))&lt;&gt;INDEX($M$4:$M$2003,MATCH($Q2129,$P$4:$P$2003,0)),"B","S"))))</f>
        <v/>
      </c>
      <c r="S2130">
        <f>IF(Q2130="","",IFERROR(MATCH(Q2130,$P$4:$P$2003,0),""))</f>
        <v/>
      </c>
    </row>
    <row r="2131">
      <c r="A2131" s="4">
        <f>IF($R2131="","",IF($R2131="T","Gesamtergebnis",IF($R2131="B",INDEX($M$4:$M$2003,$S2131),INDEX($L$4:$L$2003,$S2131))))</f>
        <v/>
      </c>
      <c r="B2131" s="4">
        <f>IF($R2131="","",IF($R2131="T",$K$3,IF($R2131="B",COUNTIFS($M$4:$M$2003,INDEX($M$4:$M$2003,$S2131),$N$4:$N$2003,1),1)))</f>
        <v/>
      </c>
      <c r="Q2131">
        <f>IF(OR($R2130="",$R2130="T"),"",IF($R2130="B",$Q2130,IF($Q2130+1&gt;$K$3,"",$Q2130+1)))</f>
        <v/>
      </c>
      <c r="R2131">
        <f>IF(OR($R2130="",$R2130="T"),"",IF($R2130="B","S",IF($Q2130+1&gt;$K$3,"T",IF(INDEX($M$4:$M$2003,MATCH($Q2130+1,$P$4:$P$2003,0))&lt;&gt;INDEX($M$4:$M$2003,MATCH($Q2130,$P$4:$P$2003,0)),"B","S"))))</f>
        <v/>
      </c>
      <c r="S2131">
        <f>IF(Q2131="","",IFERROR(MATCH(Q2131,$P$4:$P$2003,0),""))</f>
        <v/>
      </c>
    </row>
    <row r="2132">
      <c r="A2132" s="4">
        <f>IF($R2132="","",IF($R2132="T","Gesamtergebnis",IF($R2132="B",INDEX($M$4:$M$2003,$S2132),INDEX($L$4:$L$2003,$S2132))))</f>
        <v/>
      </c>
      <c r="B2132" s="4">
        <f>IF($R2132="","",IF($R2132="T",$K$3,IF($R2132="B",COUNTIFS($M$4:$M$2003,INDEX($M$4:$M$2003,$S2132),$N$4:$N$2003,1),1)))</f>
        <v/>
      </c>
      <c r="Q2132">
        <f>IF(OR($R2131="",$R2131="T"),"",IF($R2131="B",$Q2131,IF($Q2131+1&gt;$K$3,"",$Q2131+1)))</f>
        <v/>
      </c>
      <c r="R2132">
        <f>IF(OR($R2131="",$R2131="T"),"",IF($R2131="B","S",IF($Q2131+1&gt;$K$3,"T",IF(INDEX($M$4:$M$2003,MATCH($Q2131+1,$P$4:$P$2003,0))&lt;&gt;INDEX($M$4:$M$2003,MATCH($Q2131,$P$4:$P$2003,0)),"B","S"))))</f>
        <v/>
      </c>
      <c r="S2132">
        <f>IF(Q2132="","",IFERROR(MATCH(Q2132,$P$4:$P$2003,0),""))</f>
        <v/>
      </c>
    </row>
    <row r="2133">
      <c r="A2133" s="4">
        <f>IF($R2133="","",IF($R2133="T","Gesamtergebnis",IF($R2133="B",INDEX($M$4:$M$2003,$S2133),INDEX($L$4:$L$2003,$S2133))))</f>
        <v/>
      </c>
      <c r="B2133" s="4">
        <f>IF($R2133="","",IF($R2133="T",$K$3,IF($R2133="B",COUNTIFS($M$4:$M$2003,INDEX($M$4:$M$2003,$S2133),$N$4:$N$2003,1),1)))</f>
        <v/>
      </c>
      <c r="Q2133">
        <f>IF(OR($R2132="",$R2132="T"),"",IF($R2132="B",$Q2132,IF($Q2132+1&gt;$K$3,"",$Q2132+1)))</f>
        <v/>
      </c>
      <c r="R2133">
        <f>IF(OR($R2132="",$R2132="T"),"",IF($R2132="B","S",IF($Q2132+1&gt;$K$3,"T",IF(INDEX($M$4:$M$2003,MATCH($Q2132+1,$P$4:$P$2003,0))&lt;&gt;INDEX($M$4:$M$2003,MATCH($Q2132,$P$4:$P$2003,0)),"B","S"))))</f>
        <v/>
      </c>
      <c r="S2133">
        <f>IF(Q2133="","",IFERROR(MATCH(Q2133,$P$4:$P$2003,0),""))</f>
        <v/>
      </c>
    </row>
    <row r="2134">
      <c r="A2134" s="4">
        <f>IF($R2134="","",IF($R2134="T","Gesamtergebnis",IF($R2134="B",INDEX($M$4:$M$2003,$S2134),INDEX($L$4:$L$2003,$S2134))))</f>
        <v/>
      </c>
      <c r="B2134" s="4">
        <f>IF($R2134="","",IF($R2134="T",$K$3,IF($R2134="B",COUNTIFS($M$4:$M$2003,INDEX($M$4:$M$2003,$S2134),$N$4:$N$2003,1),1)))</f>
        <v/>
      </c>
      <c r="Q2134">
        <f>IF(OR($R2133="",$R2133="T"),"",IF($R2133="B",$Q2133,IF($Q2133+1&gt;$K$3,"",$Q2133+1)))</f>
        <v/>
      </c>
      <c r="R2134">
        <f>IF(OR($R2133="",$R2133="T"),"",IF($R2133="B","S",IF($Q2133+1&gt;$K$3,"T",IF(INDEX($M$4:$M$2003,MATCH($Q2133+1,$P$4:$P$2003,0))&lt;&gt;INDEX($M$4:$M$2003,MATCH($Q2133,$P$4:$P$2003,0)),"B","S"))))</f>
        <v/>
      </c>
      <c r="S2134">
        <f>IF(Q2134="","",IFERROR(MATCH(Q2134,$P$4:$P$2003,0),""))</f>
        <v/>
      </c>
    </row>
    <row r="2135">
      <c r="A2135" s="4">
        <f>IF($R2135="","",IF($R2135="T","Gesamtergebnis",IF($R2135="B",INDEX($M$4:$M$2003,$S2135),INDEX($L$4:$L$2003,$S2135))))</f>
        <v/>
      </c>
      <c r="B2135" s="4">
        <f>IF($R2135="","",IF($R2135="T",$K$3,IF($R2135="B",COUNTIFS($M$4:$M$2003,INDEX($M$4:$M$2003,$S2135),$N$4:$N$2003,1),1)))</f>
        <v/>
      </c>
      <c r="Q2135">
        <f>IF(OR($R2134="",$R2134="T"),"",IF($R2134="B",$Q2134,IF($Q2134+1&gt;$K$3,"",$Q2134+1)))</f>
        <v/>
      </c>
      <c r="R2135">
        <f>IF(OR($R2134="",$R2134="T"),"",IF($R2134="B","S",IF($Q2134+1&gt;$K$3,"T",IF(INDEX($M$4:$M$2003,MATCH($Q2134+1,$P$4:$P$2003,0))&lt;&gt;INDEX($M$4:$M$2003,MATCH($Q2134,$P$4:$P$2003,0)),"B","S"))))</f>
        <v/>
      </c>
      <c r="S2135">
        <f>IF(Q2135="","",IFERROR(MATCH(Q2135,$P$4:$P$2003,0),""))</f>
        <v/>
      </c>
    </row>
    <row r="2136">
      <c r="A2136" s="4">
        <f>IF($R2136="","",IF($R2136="T","Gesamtergebnis",IF($R2136="B",INDEX($M$4:$M$2003,$S2136),INDEX($L$4:$L$2003,$S2136))))</f>
        <v/>
      </c>
      <c r="B2136" s="4">
        <f>IF($R2136="","",IF($R2136="T",$K$3,IF($R2136="B",COUNTIFS($M$4:$M$2003,INDEX($M$4:$M$2003,$S2136),$N$4:$N$2003,1),1)))</f>
        <v/>
      </c>
      <c r="Q2136">
        <f>IF(OR($R2135="",$R2135="T"),"",IF($R2135="B",$Q2135,IF($Q2135+1&gt;$K$3,"",$Q2135+1)))</f>
        <v/>
      </c>
      <c r="R2136">
        <f>IF(OR($R2135="",$R2135="T"),"",IF($R2135="B","S",IF($Q2135+1&gt;$K$3,"T",IF(INDEX($M$4:$M$2003,MATCH($Q2135+1,$P$4:$P$2003,0))&lt;&gt;INDEX($M$4:$M$2003,MATCH($Q2135,$P$4:$P$2003,0)),"B","S"))))</f>
        <v/>
      </c>
      <c r="S2136">
        <f>IF(Q2136="","",IFERROR(MATCH(Q2136,$P$4:$P$2003,0),""))</f>
        <v/>
      </c>
    </row>
    <row r="2137">
      <c r="A2137" s="4">
        <f>IF($R2137="","",IF($R2137="T","Gesamtergebnis",IF($R2137="B",INDEX($M$4:$M$2003,$S2137),INDEX($L$4:$L$2003,$S2137))))</f>
        <v/>
      </c>
      <c r="B2137" s="4">
        <f>IF($R2137="","",IF($R2137="T",$K$3,IF($R2137="B",COUNTIFS($M$4:$M$2003,INDEX($M$4:$M$2003,$S2137),$N$4:$N$2003,1),1)))</f>
        <v/>
      </c>
      <c r="Q2137">
        <f>IF(OR($R2136="",$R2136="T"),"",IF($R2136="B",$Q2136,IF($Q2136+1&gt;$K$3,"",$Q2136+1)))</f>
        <v/>
      </c>
      <c r="R2137">
        <f>IF(OR($R2136="",$R2136="T"),"",IF($R2136="B","S",IF($Q2136+1&gt;$K$3,"T",IF(INDEX($M$4:$M$2003,MATCH($Q2136+1,$P$4:$P$2003,0))&lt;&gt;INDEX($M$4:$M$2003,MATCH($Q2136,$P$4:$P$2003,0)),"B","S"))))</f>
        <v/>
      </c>
      <c r="S2137">
        <f>IF(Q2137="","",IFERROR(MATCH(Q2137,$P$4:$P$2003,0),""))</f>
        <v/>
      </c>
    </row>
    <row r="2138">
      <c r="A2138" s="4">
        <f>IF($R2138="","",IF($R2138="T","Gesamtergebnis",IF($R2138="B",INDEX($M$4:$M$2003,$S2138),INDEX($L$4:$L$2003,$S2138))))</f>
        <v/>
      </c>
      <c r="B2138" s="4">
        <f>IF($R2138="","",IF($R2138="T",$K$3,IF($R2138="B",COUNTIFS($M$4:$M$2003,INDEX($M$4:$M$2003,$S2138),$N$4:$N$2003,1),1)))</f>
        <v/>
      </c>
      <c r="Q2138">
        <f>IF(OR($R2137="",$R2137="T"),"",IF($R2137="B",$Q2137,IF($Q2137+1&gt;$K$3,"",$Q2137+1)))</f>
        <v/>
      </c>
      <c r="R2138">
        <f>IF(OR($R2137="",$R2137="T"),"",IF($R2137="B","S",IF($Q2137+1&gt;$K$3,"T",IF(INDEX($M$4:$M$2003,MATCH($Q2137+1,$P$4:$P$2003,0))&lt;&gt;INDEX($M$4:$M$2003,MATCH($Q2137,$P$4:$P$2003,0)),"B","S"))))</f>
        <v/>
      </c>
      <c r="S2138">
        <f>IF(Q2138="","",IFERROR(MATCH(Q2138,$P$4:$P$2003,0),""))</f>
        <v/>
      </c>
    </row>
    <row r="2139">
      <c r="A2139" s="4">
        <f>IF($R2139="","",IF($R2139="T","Gesamtergebnis",IF($R2139="B",INDEX($M$4:$M$2003,$S2139),INDEX($L$4:$L$2003,$S2139))))</f>
        <v/>
      </c>
      <c r="B2139" s="4">
        <f>IF($R2139="","",IF($R2139="T",$K$3,IF($R2139="B",COUNTIFS($M$4:$M$2003,INDEX($M$4:$M$2003,$S2139),$N$4:$N$2003,1),1)))</f>
        <v/>
      </c>
      <c r="Q2139">
        <f>IF(OR($R2138="",$R2138="T"),"",IF($R2138="B",$Q2138,IF($Q2138+1&gt;$K$3,"",$Q2138+1)))</f>
        <v/>
      </c>
      <c r="R2139">
        <f>IF(OR($R2138="",$R2138="T"),"",IF($R2138="B","S",IF($Q2138+1&gt;$K$3,"T",IF(INDEX($M$4:$M$2003,MATCH($Q2138+1,$P$4:$P$2003,0))&lt;&gt;INDEX($M$4:$M$2003,MATCH($Q2138,$P$4:$P$2003,0)),"B","S"))))</f>
        <v/>
      </c>
      <c r="S2139">
        <f>IF(Q2139="","",IFERROR(MATCH(Q2139,$P$4:$P$2003,0),""))</f>
        <v/>
      </c>
    </row>
    <row r="2140">
      <c r="A2140" s="4">
        <f>IF($R2140="","",IF($R2140="T","Gesamtergebnis",IF($R2140="B",INDEX($M$4:$M$2003,$S2140),INDEX($L$4:$L$2003,$S2140))))</f>
        <v/>
      </c>
      <c r="B2140" s="4">
        <f>IF($R2140="","",IF($R2140="T",$K$3,IF($R2140="B",COUNTIFS($M$4:$M$2003,INDEX($M$4:$M$2003,$S2140),$N$4:$N$2003,1),1)))</f>
        <v/>
      </c>
      <c r="Q2140">
        <f>IF(OR($R2139="",$R2139="T"),"",IF($R2139="B",$Q2139,IF($Q2139+1&gt;$K$3,"",$Q2139+1)))</f>
        <v/>
      </c>
      <c r="R2140">
        <f>IF(OR($R2139="",$R2139="T"),"",IF($R2139="B","S",IF($Q2139+1&gt;$K$3,"T",IF(INDEX($M$4:$M$2003,MATCH($Q2139+1,$P$4:$P$2003,0))&lt;&gt;INDEX($M$4:$M$2003,MATCH($Q2139,$P$4:$P$2003,0)),"B","S"))))</f>
        <v/>
      </c>
      <c r="S2140">
        <f>IF(Q2140="","",IFERROR(MATCH(Q2140,$P$4:$P$2003,0),""))</f>
        <v/>
      </c>
    </row>
    <row r="2141">
      <c r="A2141" s="4">
        <f>IF($R2141="","",IF($R2141="T","Gesamtergebnis",IF($R2141="B",INDEX($M$4:$M$2003,$S2141),INDEX($L$4:$L$2003,$S2141))))</f>
        <v/>
      </c>
      <c r="B2141" s="4">
        <f>IF($R2141="","",IF($R2141="T",$K$3,IF($R2141="B",COUNTIFS($M$4:$M$2003,INDEX($M$4:$M$2003,$S2141),$N$4:$N$2003,1),1)))</f>
        <v/>
      </c>
      <c r="Q2141">
        <f>IF(OR($R2140="",$R2140="T"),"",IF($R2140="B",$Q2140,IF($Q2140+1&gt;$K$3,"",$Q2140+1)))</f>
        <v/>
      </c>
      <c r="R2141">
        <f>IF(OR($R2140="",$R2140="T"),"",IF($R2140="B","S",IF($Q2140+1&gt;$K$3,"T",IF(INDEX($M$4:$M$2003,MATCH($Q2140+1,$P$4:$P$2003,0))&lt;&gt;INDEX($M$4:$M$2003,MATCH($Q2140,$P$4:$P$2003,0)),"B","S"))))</f>
        <v/>
      </c>
      <c r="S2141">
        <f>IF(Q2141="","",IFERROR(MATCH(Q2141,$P$4:$P$2003,0),""))</f>
        <v/>
      </c>
    </row>
    <row r="2142">
      <c r="A2142" s="4">
        <f>IF($R2142="","",IF($R2142="T","Gesamtergebnis",IF($R2142="B",INDEX($M$4:$M$2003,$S2142),INDEX($L$4:$L$2003,$S2142))))</f>
        <v/>
      </c>
      <c r="B2142" s="4">
        <f>IF($R2142="","",IF($R2142="T",$K$3,IF($R2142="B",COUNTIFS($M$4:$M$2003,INDEX($M$4:$M$2003,$S2142),$N$4:$N$2003,1),1)))</f>
        <v/>
      </c>
      <c r="Q2142">
        <f>IF(OR($R2141="",$R2141="T"),"",IF($R2141="B",$Q2141,IF($Q2141+1&gt;$K$3,"",$Q2141+1)))</f>
        <v/>
      </c>
      <c r="R2142">
        <f>IF(OR($R2141="",$R2141="T"),"",IF($R2141="B","S",IF($Q2141+1&gt;$K$3,"T",IF(INDEX($M$4:$M$2003,MATCH($Q2141+1,$P$4:$P$2003,0))&lt;&gt;INDEX($M$4:$M$2003,MATCH($Q2141,$P$4:$P$2003,0)),"B","S"))))</f>
        <v/>
      </c>
      <c r="S2142">
        <f>IF(Q2142="","",IFERROR(MATCH(Q2142,$P$4:$P$2003,0),""))</f>
        <v/>
      </c>
    </row>
    <row r="2143">
      <c r="A2143" s="4">
        <f>IF($R2143="","",IF($R2143="T","Gesamtergebnis",IF($R2143="B",INDEX($M$4:$M$2003,$S2143),INDEX($L$4:$L$2003,$S2143))))</f>
        <v/>
      </c>
      <c r="B2143" s="4">
        <f>IF($R2143="","",IF($R2143="T",$K$3,IF($R2143="B",COUNTIFS($M$4:$M$2003,INDEX($M$4:$M$2003,$S2143),$N$4:$N$2003,1),1)))</f>
        <v/>
      </c>
      <c r="Q2143">
        <f>IF(OR($R2142="",$R2142="T"),"",IF($R2142="B",$Q2142,IF($Q2142+1&gt;$K$3,"",$Q2142+1)))</f>
        <v/>
      </c>
      <c r="R2143">
        <f>IF(OR($R2142="",$R2142="T"),"",IF($R2142="B","S",IF($Q2142+1&gt;$K$3,"T",IF(INDEX($M$4:$M$2003,MATCH($Q2142+1,$P$4:$P$2003,0))&lt;&gt;INDEX($M$4:$M$2003,MATCH($Q2142,$P$4:$P$2003,0)),"B","S"))))</f>
        <v/>
      </c>
      <c r="S2143">
        <f>IF(Q2143="","",IFERROR(MATCH(Q2143,$P$4:$P$2003,0),""))</f>
        <v/>
      </c>
    </row>
    <row r="2144">
      <c r="A2144" s="4">
        <f>IF($R2144="","",IF($R2144="T","Gesamtergebnis",IF($R2144="B",INDEX($M$4:$M$2003,$S2144),INDEX($L$4:$L$2003,$S2144))))</f>
        <v/>
      </c>
      <c r="B2144" s="4">
        <f>IF($R2144="","",IF($R2144="T",$K$3,IF($R2144="B",COUNTIFS($M$4:$M$2003,INDEX($M$4:$M$2003,$S2144),$N$4:$N$2003,1),1)))</f>
        <v/>
      </c>
      <c r="Q2144">
        <f>IF(OR($R2143="",$R2143="T"),"",IF($R2143="B",$Q2143,IF($Q2143+1&gt;$K$3,"",$Q2143+1)))</f>
        <v/>
      </c>
      <c r="R2144">
        <f>IF(OR($R2143="",$R2143="T"),"",IF($R2143="B","S",IF($Q2143+1&gt;$K$3,"T",IF(INDEX($M$4:$M$2003,MATCH($Q2143+1,$P$4:$P$2003,0))&lt;&gt;INDEX($M$4:$M$2003,MATCH($Q2143,$P$4:$P$2003,0)),"B","S"))))</f>
        <v/>
      </c>
      <c r="S2144">
        <f>IF(Q2144="","",IFERROR(MATCH(Q2144,$P$4:$P$2003,0),""))</f>
        <v/>
      </c>
    </row>
    <row r="2145">
      <c r="A2145" s="4">
        <f>IF($R2145="","",IF($R2145="T","Gesamtergebnis",IF($R2145="B",INDEX($M$4:$M$2003,$S2145),INDEX($L$4:$L$2003,$S2145))))</f>
        <v/>
      </c>
      <c r="B2145" s="4">
        <f>IF($R2145="","",IF($R2145="T",$K$3,IF($R2145="B",COUNTIFS($M$4:$M$2003,INDEX($M$4:$M$2003,$S2145),$N$4:$N$2003,1),1)))</f>
        <v/>
      </c>
      <c r="Q2145">
        <f>IF(OR($R2144="",$R2144="T"),"",IF($R2144="B",$Q2144,IF($Q2144+1&gt;$K$3,"",$Q2144+1)))</f>
        <v/>
      </c>
      <c r="R2145">
        <f>IF(OR($R2144="",$R2144="T"),"",IF($R2144="B","S",IF($Q2144+1&gt;$K$3,"T",IF(INDEX($M$4:$M$2003,MATCH($Q2144+1,$P$4:$P$2003,0))&lt;&gt;INDEX($M$4:$M$2003,MATCH($Q2144,$P$4:$P$2003,0)),"B","S"))))</f>
        <v/>
      </c>
      <c r="S2145">
        <f>IF(Q2145="","",IFERROR(MATCH(Q2145,$P$4:$P$2003,0),""))</f>
        <v/>
      </c>
    </row>
    <row r="2146">
      <c r="A2146" s="4">
        <f>IF($R2146="","",IF($R2146="T","Gesamtergebnis",IF($R2146="B",INDEX($M$4:$M$2003,$S2146),INDEX($L$4:$L$2003,$S2146))))</f>
        <v/>
      </c>
      <c r="B2146" s="4">
        <f>IF($R2146="","",IF($R2146="T",$K$3,IF($R2146="B",COUNTIFS($M$4:$M$2003,INDEX($M$4:$M$2003,$S2146),$N$4:$N$2003,1),1)))</f>
        <v/>
      </c>
      <c r="Q2146">
        <f>IF(OR($R2145="",$R2145="T"),"",IF($R2145="B",$Q2145,IF($Q2145+1&gt;$K$3,"",$Q2145+1)))</f>
        <v/>
      </c>
      <c r="R2146">
        <f>IF(OR($R2145="",$R2145="T"),"",IF($R2145="B","S",IF($Q2145+1&gt;$K$3,"T",IF(INDEX($M$4:$M$2003,MATCH($Q2145+1,$P$4:$P$2003,0))&lt;&gt;INDEX($M$4:$M$2003,MATCH($Q2145,$P$4:$P$2003,0)),"B","S"))))</f>
        <v/>
      </c>
      <c r="S2146">
        <f>IF(Q2146="","",IFERROR(MATCH(Q2146,$P$4:$P$2003,0),""))</f>
        <v/>
      </c>
    </row>
    <row r="2147">
      <c r="A2147" s="4">
        <f>IF($R2147="","",IF($R2147="T","Gesamtergebnis",IF($R2147="B",INDEX($M$4:$M$2003,$S2147),INDEX($L$4:$L$2003,$S2147))))</f>
        <v/>
      </c>
      <c r="B2147" s="4">
        <f>IF($R2147="","",IF($R2147="T",$K$3,IF($R2147="B",COUNTIFS($M$4:$M$2003,INDEX($M$4:$M$2003,$S2147),$N$4:$N$2003,1),1)))</f>
        <v/>
      </c>
      <c r="Q2147">
        <f>IF(OR($R2146="",$R2146="T"),"",IF($R2146="B",$Q2146,IF($Q2146+1&gt;$K$3,"",$Q2146+1)))</f>
        <v/>
      </c>
      <c r="R2147">
        <f>IF(OR($R2146="",$R2146="T"),"",IF($R2146="B","S",IF($Q2146+1&gt;$K$3,"T",IF(INDEX($M$4:$M$2003,MATCH($Q2146+1,$P$4:$P$2003,0))&lt;&gt;INDEX($M$4:$M$2003,MATCH($Q2146,$P$4:$P$2003,0)),"B","S"))))</f>
        <v/>
      </c>
      <c r="S2147">
        <f>IF(Q2147="","",IFERROR(MATCH(Q2147,$P$4:$P$2003,0),""))</f>
        <v/>
      </c>
    </row>
    <row r="2148">
      <c r="A2148" s="4">
        <f>IF($R2148="","",IF($R2148="T","Gesamtergebnis",IF($R2148="B",INDEX($M$4:$M$2003,$S2148),INDEX($L$4:$L$2003,$S2148))))</f>
        <v/>
      </c>
      <c r="B2148" s="4">
        <f>IF($R2148="","",IF($R2148="T",$K$3,IF($R2148="B",COUNTIFS($M$4:$M$2003,INDEX($M$4:$M$2003,$S2148),$N$4:$N$2003,1),1)))</f>
        <v/>
      </c>
      <c r="Q2148">
        <f>IF(OR($R2147="",$R2147="T"),"",IF($R2147="B",$Q2147,IF($Q2147+1&gt;$K$3,"",$Q2147+1)))</f>
        <v/>
      </c>
      <c r="R2148">
        <f>IF(OR($R2147="",$R2147="T"),"",IF($R2147="B","S",IF($Q2147+1&gt;$K$3,"T",IF(INDEX($M$4:$M$2003,MATCH($Q2147+1,$P$4:$P$2003,0))&lt;&gt;INDEX($M$4:$M$2003,MATCH($Q2147,$P$4:$P$2003,0)),"B","S"))))</f>
        <v/>
      </c>
      <c r="S2148">
        <f>IF(Q2148="","",IFERROR(MATCH(Q2148,$P$4:$P$2003,0),""))</f>
        <v/>
      </c>
    </row>
    <row r="2149">
      <c r="A2149" s="4">
        <f>IF($R2149="","",IF($R2149="T","Gesamtergebnis",IF($R2149="B",INDEX($M$4:$M$2003,$S2149),INDEX($L$4:$L$2003,$S2149))))</f>
        <v/>
      </c>
      <c r="B2149" s="4">
        <f>IF($R2149="","",IF($R2149="T",$K$3,IF($R2149="B",COUNTIFS($M$4:$M$2003,INDEX($M$4:$M$2003,$S2149),$N$4:$N$2003,1),1)))</f>
        <v/>
      </c>
      <c r="Q2149">
        <f>IF(OR($R2148="",$R2148="T"),"",IF($R2148="B",$Q2148,IF($Q2148+1&gt;$K$3,"",$Q2148+1)))</f>
        <v/>
      </c>
      <c r="R2149">
        <f>IF(OR($R2148="",$R2148="T"),"",IF($R2148="B","S",IF($Q2148+1&gt;$K$3,"T",IF(INDEX($M$4:$M$2003,MATCH($Q2148+1,$P$4:$P$2003,0))&lt;&gt;INDEX($M$4:$M$2003,MATCH($Q2148,$P$4:$P$2003,0)),"B","S"))))</f>
        <v/>
      </c>
      <c r="S2149">
        <f>IF(Q2149="","",IFERROR(MATCH(Q2149,$P$4:$P$2003,0),""))</f>
        <v/>
      </c>
    </row>
    <row r="2150">
      <c r="A2150" s="4">
        <f>IF($R2150="","",IF($R2150="T","Gesamtergebnis",IF($R2150="B",INDEX($M$4:$M$2003,$S2150),INDEX($L$4:$L$2003,$S2150))))</f>
        <v/>
      </c>
      <c r="B2150" s="4">
        <f>IF($R2150="","",IF($R2150="T",$K$3,IF($R2150="B",COUNTIFS($M$4:$M$2003,INDEX($M$4:$M$2003,$S2150),$N$4:$N$2003,1),1)))</f>
        <v/>
      </c>
      <c r="Q2150">
        <f>IF(OR($R2149="",$R2149="T"),"",IF($R2149="B",$Q2149,IF($Q2149+1&gt;$K$3,"",$Q2149+1)))</f>
        <v/>
      </c>
      <c r="R2150">
        <f>IF(OR($R2149="",$R2149="T"),"",IF($R2149="B","S",IF($Q2149+1&gt;$K$3,"T",IF(INDEX($M$4:$M$2003,MATCH($Q2149+1,$P$4:$P$2003,0))&lt;&gt;INDEX($M$4:$M$2003,MATCH($Q2149,$P$4:$P$2003,0)),"B","S"))))</f>
        <v/>
      </c>
      <c r="S2150">
        <f>IF(Q2150="","",IFERROR(MATCH(Q2150,$P$4:$P$2003,0),""))</f>
        <v/>
      </c>
    </row>
    <row r="2151">
      <c r="A2151" s="4">
        <f>IF($R2151="","",IF($R2151="T","Gesamtergebnis",IF($R2151="B",INDEX($M$4:$M$2003,$S2151),INDEX($L$4:$L$2003,$S2151))))</f>
        <v/>
      </c>
      <c r="B2151" s="4">
        <f>IF($R2151="","",IF($R2151="T",$K$3,IF($R2151="B",COUNTIFS($M$4:$M$2003,INDEX($M$4:$M$2003,$S2151),$N$4:$N$2003,1),1)))</f>
        <v/>
      </c>
      <c r="Q2151">
        <f>IF(OR($R2150="",$R2150="T"),"",IF($R2150="B",$Q2150,IF($Q2150+1&gt;$K$3,"",$Q2150+1)))</f>
        <v/>
      </c>
      <c r="R2151">
        <f>IF(OR($R2150="",$R2150="T"),"",IF($R2150="B","S",IF($Q2150+1&gt;$K$3,"T",IF(INDEX($M$4:$M$2003,MATCH($Q2150+1,$P$4:$P$2003,0))&lt;&gt;INDEX($M$4:$M$2003,MATCH($Q2150,$P$4:$P$2003,0)),"B","S"))))</f>
        <v/>
      </c>
      <c r="S2151">
        <f>IF(Q2151="","",IFERROR(MATCH(Q2151,$P$4:$P$2003,0),""))</f>
        <v/>
      </c>
    </row>
    <row r="2152">
      <c r="A2152" s="4">
        <f>IF($R2152="","",IF($R2152="T","Gesamtergebnis",IF($R2152="B",INDEX($M$4:$M$2003,$S2152),INDEX($L$4:$L$2003,$S2152))))</f>
        <v/>
      </c>
      <c r="B2152" s="4">
        <f>IF($R2152="","",IF($R2152="T",$K$3,IF($R2152="B",COUNTIFS($M$4:$M$2003,INDEX($M$4:$M$2003,$S2152),$N$4:$N$2003,1),1)))</f>
        <v/>
      </c>
      <c r="Q2152">
        <f>IF(OR($R2151="",$R2151="T"),"",IF($R2151="B",$Q2151,IF($Q2151+1&gt;$K$3,"",$Q2151+1)))</f>
        <v/>
      </c>
      <c r="R2152">
        <f>IF(OR($R2151="",$R2151="T"),"",IF($R2151="B","S",IF($Q2151+1&gt;$K$3,"T",IF(INDEX($M$4:$M$2003,MATCH($Q2151+1,$P$4:$P$2003,0))&lt;&gt;INDEX($M$4:$M$2003,MATCH($Q2151,$P$4:$P$2003,0)),"B","S"))))</f>
        <v/>
      </c>
      <c r="S2152">
        <f>IF(Q2152="","",IFERROR(MATCH(Q2152,$P$4:$P$2003,0),""))</f>
        <v/>
      </c>
    </row>
    <row r="2153">
      <c r="A2153" s="4">
        <f>IF($R2153="","",IF($R2153="T","Gesamtergebnis",IF($R2153="B",INDEX($M$4:$M$2003,$S2153),INDEX($L$4:$L$2003,$S2153))))</f>
        <v/>
      </c>
      <c r="B2153" s="4">
        <f>IF($R2153="","",IF($R2153="T",$K$3,IF($R2153="B",COUNTIFS($M$4:$M$2003,INDEX($M$4:$M$2003,$S2153),$N$4:$N$2003,1),1)))</f>
        <v/>
      </c>
      <c r="Q2153">
        <f>IF(OR($R2152="",$R2152="T"),"",IF($R2152="B",$Q2152,IF($Q2152+1&gt;$K$3,"",$Q2152+1)))</f>
        <v/>
      </c>
      <c r="R2153">
        <f>IF(OR($R2152="",$R2152="T"),"",IF($R2152="B","S",IF($Q2152+1&gt;$K$3,"T",IF(INDEX($M$4:$M$2003,MATCH($Q2152+1,$P$4:$P$2003,0))&lt;&gt;INDEX($M$4:$M$2003,MATCH($Q2152,$P$4:$P$2003,0)),"B","S"))))</f>
        <v/>
      </c>
      <c r="S2153">
        <f>IF(Q2153="","",IFERROR(MATCH(Q2153,$P$4:$P$2003,0),""))</f>
        <v/>
      </c>
    </row>
    <row r="2154">
      <c r="A2154" s="4">
        <f>IF($R2154="","",IF($R2154="T","Gesamtergebnis",IF($R2154="B",INDEX($M$4:$M$2003,$S2154),INDEX($L$4:$L$2003,$S2154))))</f>
        <v/>
      </c>
      <c r="B2154" s="4">
        <f>IF($R2154="","",IF($R2154="T",$K$3,IF($R2154="B",COUNTIFS($M$4:$M$2003,INDEX($M$4:$M$2003,$S2154),$N$4:$N$2003,1),1)))</f>
        <v/>
      </c>
      <c r="Q2154">
        <f>IF(OR($R2153="",$R2153="T"),"",IF($R2153="B",$Q2153,IF($Q2153+1&gt;$K$3,"",$Q2153+1)))</f>
        <v/>
      </c>
      <c r="R2154">
        <f>IF(OR($R2153="",$R2153="T"),"",IF($R2153="B","S",IF($Q2153+1&gt;$K$3,"T",IF(INDEX($M$4:$M$2003,MATCH($Q2153+1,$P$4:$P$2003,0))&lt;&gt;INDEX($M$4:$M$2003,MATCH($Q2153,$P$4:$P$2003,0)),"B","S"))))</f>
        <v/>
      </c>
      <c r="S2154">
        <f>IF(Q2154="","",IFERROR(MATCH(Q2154,$P$4:$P$2003,0),""))</f>
        <v/>
      </c>
    </row>
    <row r="2155">
      <c r="A2155" s="4">
        <f>IF($R2155="","",IF($R2155="T","Gesamtergebnis",IF($R2155="B",INDEX($M$4:$M$2003,$S2155),INDEX($L$4:$L$2003,$S2155))))</f>
        <v/>
      </c>
      <c r="B2155" s="4">
        <f>IF($R2155="","",IF($R2155="T",$K$3,IF($R2155="B",COUNTIFS($M$4:$M$2003,INDEX($M$4:$M$2003,$S2155),$N$4:$N$2003,1),1)))</f>
        <v/>
      </c>
      <c r="Q2155">
        <f>IF(OR($R2154="",$R2154="T"),"",IF($R2154="B",$Q2154,IF($Q2154+1&gt;$K$3,"",$Q2154+1)))</f>
        <v/>
      </c>
      <c r="R2155">
        <f>IF(OR($R2154="",$R2154="T"),"",IF($R2154="B","S",IF($Q2154+1&gt;$K$3,"T",IF(INDEX($M$4:$M$2003,MATCH($Q2154+1,$P$4:$P$2003,0))&lt;&gt;INDEX($M$4:$M$2003,MATCH($Q2154,$P$4:$P$2003,0)),"B","S"))))</f>
        <v/>
      </c>
      <c r="S2155">
        <f>IF(Q2155="","",IFERROR(MATCH(Q2155,$P$4:$P$2003,0),""))</f>
        <v/>
      </c>
    </row>
    <row r="2156">
      <c r="A2156" s="4">
        <f>IF($R2156="","",IF($R2156="T","Gesamtergebnis",IF($R2156="B",INDEX($M$4:$M$2003,$S2156),INDEX($L$4:$L$2003,$S2156))))</f>
        <v/>
      </c>
      <c r="B2156" s="4">
        <f>IF($R2156="","",IF($R2156="T",$K$3,IF($R2156="B",COUNTIFS($M$4:$M$2003,INDEX($M$4:$M$2003,$S2156),$N$4:$N$2003,1),1)))</f>
        <v/>
      </c>
      <c r="Q2156">
        <f>IF(OR($R2155="",$R2155="T"),"",IF($R2155="B",$Q2155,IF($Q2155+1&gt;$K$3,"",$Q2155+1)))</f>
        <v/>
      </c>
      <c r="R2156">
        <f>IF(OR($R2155="",$R2155="T"),"",IF($R2155="B","S",IF($Q2155+1&gt;$K$3,"T",IF(INDEX($M$4:$M$2003,MATCH($Q2155+1,$P$4:$P$2003,0))&lt;&gt;INDEX($M$4:$M$2003,MATCH($Q2155,$P$4:$P$2003,0)),"B","S"))))</f>
        <v/>
      </c>
      <c r="S2156">
        <f>IF(Q2156="","",IFERROR(MATCH(Q2156,$P$4:$P$2003,0),""))</f>
        <v/>
      </c>
    </row>
    <row r="2157">
      <c r="A2157" s="4">
        <f>IF($R2157="","",IF($R2157="T","Gesamtergebnis",IF($R2157="B",INDEX($M$4:$M$2003,$S2157),INDEX($L$4:$L$2003,$S2157))))</f>
        <v/>
      </c>
      <c r="B2157" s="4">
        <f>IF($R2157="","",IF($R2157="T",$K$3,IF($R2157="B",COUNTIFS($M$4:$M$2003,INDEX($M$4:$M$2003,$S2157),$N$4:$N$2003,1),1)))</f>
        <v/>
      </c>
      <c r="Q2157">
        <f>IF(OR($R2156="",$R2156="T"),"",IF($R2156="B",$Q2156,IF($Q2156+1&gt;$K$3,"",$Q2156+1)))</f>
        <v/>
      </c>
      <c r="R2157">
        <f>IF(OR($R2156="",$R2156="T"),"",IF($R2156="B","S",IF($Q2156+1&gt;$K$3,"T",IF(INDEX($M$4:$M$2003,MATCH($Q2156+1,$P$4:$P$2003,0))&lt;&gt;INDEX($M$4:$M$2003,MATCH($Q2156,$P$4:$P$2003,0)),"B","S"))))</f>
        <v/>
      </c>
      <c r="S2157">
        <f>IF(Q2157="","",IFERROR(MATCH(Q2157,$P$4:$P$2003,0),""))</f>
        <v/>
      </c>
    </row>
    <row r="2158">
      <c r="A2158" s="4">
        <f>IF($R2158="","",IF($R2158="T","Gesamtergebnis",IF($R2158="B",INDEX($M$4:$M$2003,$S2158),INDEX($L$4:$L$2003,$S2158))))</f>
        <v/>
      </c>
      <c r="B2158" s="4">
        <f>IF($R2158="","",IF($R2158="T",$K$3,IF($R2158="B",COUNTIFS($M$4:$M$2003,INDEX($M$4:$M$2003,$S2158),$N$4:$N$2003,1),1)))</f>
        <v/>
      </c>
      <c r="Q2158">
        <f>IF(OR($R2157="",$R2157="T"),"",IF($R2157="B",$Q2157,IF($Q2157+1&gt;$K$3,"",$Q2157+1)))</f>
        <v/>
      </c>
      <c r="R2158">
        <f>IF(OR($R2157="",$R2157="T"),"",IF($R2157="B","S",IF($Q2157+1&gt;$K$3,"T",IF(INDEX($M$4:$M$2003,MATCH($Q2157+1,$P$4:$P$2003,0))&lt;&gt;INDEX($M$4:$M$2003,MATCH($Q2157,$P$4:$P$2003,0)),"B","S"))))</f>
        <v/>
      </c>
      <c r="S2158">
        <f>IF(Q2158="","",IFERROR(MATCH(Q2158,$P$4:$P$2003,0),""))</f>
        <v/>
      </c>
    </row>
    <row r="2159">
      <c r="A2159" s="4">
        <f>IF($R2159="","",IF($R2159="T","Gesamtergebnis",IF($R2159="B",INDEX($M$4:$M$2003,$S2159),INDEX($L$4:$L$2003,$S2159))))</f>
        <v/>
      </c>
      <c r="B2159" s="4">
        <f>IF($R2159="","",IF($R2159="T",$K$3,IF($R2159="B",COUNTIFS($M$4:$M$2003,INDEX($M$4:$M$2003,$S2159),$N$4:$N$2003,1),1)))</f>
        <v/>
      </c>
      <c r="Q2159">
        <f>IF(OR($R2158="",$R2158="T"),"",IF($R2158="B",$Q2158,IF($Q2158+1&gt;$K$3,"",$Q2158+1)))</f>
        <v/>
      </c>
      <c r="R2159">
        <f>IF(OR($R2158="",$R2158="T"),"",IF($R2158="B","S",IF($Q2158+1&gt;$K$3,"T",IF(INDEX($M$4:$M$2003,MATCH($Q2158+1,$P$4:$P$2003,0))&lt;&gt;INDEX($M$4:$M$2003,MATCH($Q2158,$P$4:$P$2003,0)),"B","S"))))</f>
        <v/>
      </c>
      <c r="S2159">
        <f>IF(Q2159="","",IFERROR(MATCH(Q2159,$P$4:$P$2003,0),""))</f>
        <v/>
      </c>
    </row>
    <row r="2160">
      <c r="A2160" s="4">
        <f>IF($R2160="","",IF($R2160="T","Gesamtergebnis",IF($R2160="B",INDEX($M$4:$M$2003,$S2160),INDEX($L$4:$L$2003,$S2160))))</f>
        <v/>
      </c>
      <c r="B2160" s="4">
        <f>IF($R2160="","",IF($R2160="T",$K$3,IF($R2160="B",COUNTIFS($M$4:$M$2003,INDEX($M$4:$M$2003,$S2160),$N$4:$N$2003,1),1)))</f>
        <v/>
      </c>
      <c r="Q2160">
        <f>IF(OR($R2159="",$R2159="T"),"",IF($R2159="B",$Q2159,IF($Q2159+1&gt;$K$3,"",$Q2159+1)))</f>
        <v/>
      </c>
      <c r="R2160">
        <f>IF(OR($R2159="",$R2159="T"),"",IF($R2159="B","S",IF($Q2159+1&gt;$K$3,"T",IF(INDEX($M$4:$M$2003,MATCH($Q2159+1,$P$4:$P$2003,0))&lt;&gt;INDEX($M$4:$M$2003,MATCH($Q2159,$P$4:$P$2003,0)),"B","S"))))</f>
        <v/>
      </c>
      <c r="S2160">
        <f>IF(Q2160="","",IFERROR(MATCH(Q2160,$P$4:$P$2003,0),""))</f>
        <v/>
      </c>
    </row>
    <row r="2161">
      <c r="A2161" s="4">
        <f>IF($R2161="","",IF($R2161="T","Gesamtergebnis",IF($R2161="B",INDEX($M$4:$M$2003,$S2161),INDEX($L$4:$L$2003,$S2161))))</f>
        <v/>
      </c>
      <c r="B2161" s="4">
        <f>IF($R2161="","",IF($R2161="T",$K$3,IF($R2161="B",COUNTIFS($M$4:$M$2003,INDEX($M$4:$M$2003,$S2161),$N$4:$N$2003,1),1)))</f>
        <v/>
      </c>
      <c r="Q2161">
        <f>IF(OR($R2160="",$R2160="T"),"",IF($R2160="B",$Q2160,IF($Q2160+1&gt;$K$3,"",$Q2160+1)))</f>
        <v/>
      </c>
      <c r="R2161">
        <f>IF(OR($R2160="",$R2160="T"),"",IF($R2160="B","S",IF($Q2160+1&gt;$K$3,"T",IF(INDEX($M$4:$M$2003,MATCH($Q2160+1,$P$4:$P$2003,0))&lt;&gt;INDEX($M$4:$M$2003,MATCH($Q2160,$P$4:$P$2003,0)),"B","S"))))</f>
        <v/>
      </c>
      <c r="S2161">
        <f>IF(Q2161="","",IFERROR(MATCH(Q2161,$P$4:$P$2003,0),""))</f>
        <v/>
      </c>
    </row>
    <row r="2162">
      <c r="A2162" s="4">
        <f>IF($R2162="","",IF($R2162="T","Gesamtergebnis",IF($R2162="B",INDEX($M$4:$M$2003,$S2162),INDEX($L$4:$L$2003,$S2162))))</f>
        <v/>
      </c>
      <c r="B2162" s="4">
        <f>IF($R2162="","",IF($R2162="T",$K$3,IF($R2162="B",COUNTIFS($M$4:$M$2003,INDEX($M$4:$M$2003,$S2162),$N$4:$N$2003,1),1)))</f>
        <v/>
      </c>
      <c r="Q2162">
        <f>IF(OR($R2161="",$R2161="T"),"",IF($R2161="B",$Q2161,IF($Q2161+1&gt;$K$3,"",$Q2161+1)))</f>
        <v/>
      </c>
      <c r="R2162">
        <f>IF(OR($R2161="",$R2161="T"),"",IF($R2161="B","S",IF($Q2161+1&gt;$K$3,"T",IF(INDEX($M$4:$M$2003,MATCH($Q2161+1,$P$4:$P$2003,0))&lt;&gt;INDEX($M$4:$M$2003,MATCH($Q2161,$P$4:$P$2003,0)),"B","S"))))</f>
        <v/>
      </c>
      <c r="S2162">
        <f>IF(Q2162="","",IFERROR(MATCH(Q2162,$P$4:$P$2003,0),""))</f>
        <v/>
      </c>
    </row>
    <row r="2163">
      <c r="A2163" s="4">
        <f>IF($R2163="","",IF($R2163="T","Gesamtergebnis",IF($R2163="B",INDEX($M$4:$M$2003,$S2163),INDEX($L$4:$L$2003,$S2163))))</f>
        <v/>
      </c>
      <c r="B2163" s="4">
        <f>IF($R2163="","",IF($R2163="T",$K$3,IF($R2163="B",COUNTIFS($M$4:$M$2003,INDEX($M$4:$M$2003,$S2163),$N$4:$N$2003,1),1)))</f>
        <v/>
      </c>
      <c r="Q2163">
        <f>IF(OR($R2162="",$R2162="T"),"",IF($R2162="B",$Q2162,IF($Q2162+1&gt;$K$3,"",$Q2162+1)))</f>
        <v/>
      </c>
      <c r="R2163">
        <f>IF(OR($R2162="",$R2162="T"),"",IF($R2162="B","S",IF($Q2162+1&gt;$K$3,"T",IF(INDEX($M$4:$M$2003,MATCH($Q2162+1,$P$4:$P$2003,0))&lt;&gt;INDEX($M$4:$M$2003,MATCH($Q2162,$P$4:$P$2003,0)),"B","S"))))</f>
        <v/>
      </c>
      <c r="S2163">
        <f>IF(Q2163="","",IFERROR(MATCH(Q2163,$P$4:$P$2003,0),""))</f>
        <v/>
      </c>
    </row>
    <row r="2164">
      <c r="A2164" s="4">
        <f>IF($R2164="","",IF($R2164="T","Gesamtergebnis",IF($R2164="B",INDEX($M$4:$M$2003,$S2164),INDEX($L$4:$L$2003,$S2164))))</f>
        <v/>
      </c>
      <c r="B2164" s="4">
        <f>IF($R2164="","",IF($R2164="T",$K$3,IF($R2164="B",COUNTIFS($M$4:$M$2003,INDEX($M$4:$M$2003,$S2164),$N$4:$N$2003,1),1)))</f>
        <v/>
      </c>
      <c r="Q2164">
        <f>IF(OR($R2163="",$R2163="T"),"",IF($R2163="B",$Q2163,IF($Q2163+1&gt;$K$3,"",$Q2163+1)))</f>
        <v/>
      </c>
      <c r="R2164">
        <f>IF(OR($R2163="",$R2163="T"),"",IF($R2163="B","S",IF($Q2163+1&gt;$K$3,"T",IF(INDEX($M$4:$M$2003,MATCH($Q2163+1,$P$4:$P$2003,0))&lt;&gt;INDEX($M$4:$M$2003,MATCH($Q2163,$P$4:$P$2003,0)),"B","S"))))</f>
        <v/>
      </c>
      <c r="S2164">
        <f>IF(Q2164="","",IFERROR(MATCH(Q2164,$P$4:$P$2003,0),""))</f>
        <v/>
      </c>
    </row>
    <row r="2165">
      <c r="A2165" s="4">
        <f>IF($R2165="","",IF($R2165="T","Gesamtergebnis",IF($R2165="B",INDEX($M$4:$M$2003,$S2165),INDEX($L$4:$L$2003,$S2165))))</f>
        <v/>
      </c>
      <c r="B2165" s="4">
        <f>IF($R2165="","",IF($R2165="T",$K$3,IF($R2165="B",COUNTIFS($M$4:$M$2003,INDEX($M$4:$M$2003,$S2165),$N$4:$N$2003,1),1)))</f>
        <v/>
      </c>
      <c r="Q2165">
        <f>IF(OR($R2164="",$R2164="T"),"",IF($R2164="B",$Q2164,IF($Q2164+1&gt;$K$3,"",$Q2164+1)))</f>
        <v/>
      </c>
      <c r="R2165">
        <f>IF(OR($R2164="",$R2164="T"),"",IF($R2164="B","S",IF($Q2164+1&gt;$K$3,"T",IF(INDEX($M$4:$M$2003,MATCH($Q2164+1,$P$4:$P$2003,0))&lt;&gt;INDEX($M$4:$M$2003,MATCH($Q2164,$P$4:$P$2003,0)),"B","S"))))</f>
        <v/>
      </c>
      <c r="S2165">
        <f>IF(Q2165="","",IFERROR(MATCH(Q2165,$P$4:$P$2003,0),""))</f>
        <v/>
      </c>
    </row>
    <row r="2166">
      <c r="A2166" s="4">
        <f>IF($R2166="","",IF($R2166="T","Gesamtergebnis",IF($R2166="B",INDEX($M$4:$M$2003,$S2166),INDEX($L$4:$L$2003,$S2166))))</f>
        <v/>
      </c>
      <c r="B2166" s="4">
        <f>IF($R2166="","",IF($R2166="T",$K$3,IF($R2166="B",COUNTIFS($M$4:$M$2003,INDEX($M$4:$M$2003,$S2166),$N$4:$N$2003,1),1)))</f>
        <v/>
      </c>
      <c r="Q2166">
        <f>IF(OR($R2165="",$R2165="T"),"",IF($R2165="B",$Q2165,IF($Q2165+1&gt;$K$3,"",$Q2165+1)))</f>
        <v/>
      </c>
      <c r="R2166">
        <f>IF(OR($R2165="",$R2165="T"),"",IF($R2165="B","S",IF($Q2165+1&gt;$K$3,"T",IF(INDEX($M$4:$M$2003,MATCH($Q2165+1,$P$4:$P$2003,0))&lt;&gt;INDEX($M$4:$M$2003,MATCH($Q2165,$P$4:$P$2003,0)),"B","S"))))</f>
        <v/>
      </c>
      <c r="S2166">
        <f>IF(Q2166="","",IFERROR(MATCH(Q2166,$P$4:$P$2003,0),""))</f>
        <v/>
      </c>
    </row>
    <row r="2167">
      <c r="A2167" s="4">
        <f>IF($R2167="","",IF($R2167="T","Gesamtergebnis",IF($R2167="B",INDEX($M$4:$M$2003,$S2167),INDEX($L$4:$L$2003,$S2167))))</f>
        <v/>
      </c>
      <c r="B2167" s="4">
        <f>IF($R2167="","",IF($R2167="T",$K$3,IF($R2167="B",COUNTIFS($M$4:$M$2003,INDEX($M$4:$M$2003,$S2167),$N$4:$N$2003,1),1)))</f>
        <v/>
      </c>
      <c r="Q2167">
        <f>IF(OR($R2166="",$R2166="T"),"",IF($R2166="B",$Q2166,IF($Q2166+1&gt;$K$3,"",$Q2166+1)))</f>
        <v/>
      </c>
      <c r="R2167">
        <f>IF(OR($R2166="",$R2166="T"),"",IF($R2166="B","S",IF($Q2166+1&gt;$K$3,"T",IF(INDEX($M$4:$M$2003,MATCH($Q2166+1,$P$4:$P$2003,0))&lt;&gt;INDEX($M$4:$M$2003,MATCH($Q2166,$P$4:$P$2003,0)),"B","S"))))</f>
        <v/>
      </c>
      <c r="S2167">
        <f>IF(Q2167="","",IFERROR(MATCH(Q2167,$P$4:$P$2003,0),""))</f>
        <v/>
      </c>
    </row>
    <row r="2168">
      <c r="A2168" s="4">
        <f>IF($R2168="","",IF($R2168="T","Gesamtergebnis",IF($R2168="B",INDEX($M$4:$M$2003,$S2168),INDEX($L$4:$L$2003,$S2168))))</f>
        <v/>
      </c>
      <c r="B2168" s="4">
        <f>IF($R2168="","",IF($R2168="T",$K$3,IF($R2168="B",COUNTIFS($M$4:$M$2003,INDEX($M$4:$M$2003,$S2168),$N$4:$N$2003,1),1)))</f>
        <v/>
      </c>
      <c r="Q2168">
        <f>IF(OR($R2167="",$R2167="T"),"",IF($R2167="B",$Q2167,IF($Q2167+1&gt;$K$3,"",$Q2167+1)))</f>
        <v/>
      </c>
      <c r="R2168">
        <f>IF(OR($R2167="",$R2167="T"),"",IF($R2167="B","S",IF($Q2167+1&gt;$K$3,"T",IF(INDEX($M$4:$M$2003,MATCH($Q2167+1,$P$4:$P$2003,0))&lt;&gt;INDEX($M$4:$M$2003,MATCH($Q2167,$P$4:$P$2003,0)),"B","S"))))</f>
        <v/>
      </c>
      <c r="S2168">
        <f>IF(Q2168="","",IFERROR(MATCH(Q2168,$P$4:$P$2003,0),""))</f>
        <v/>
      </c>
    </row>
    <row r="2169">
      <c r="A2169" s="4">
        <f>IF($R2169="","",IF($R2169="T","Gesamtergebnis",IF($R2169="B",INDEX($M$4:$M$2003,$S2169),INDEX($L$4:$L$2003,$S2169))))</f>
        <v/>
      </c>
      <c r="B2169" s="4">
        <f>IF($R2169="","",IF($R2169="T",$K$3,IF($R2169="B",COUNTIFS($M$4:$M$2003,INDEX($M$4:$M$2003,$S2169),$N$4:$N$2003,1),1)))</f>
        <v/>
      </c>
      <c r="Q2169">
        <f>IF(OR($R2168="",$R2168="T"),"",IF($R2168="B",$Q2168,IF($Q2168+1&gt;$K$3,"",$Q2168+1)))</f>
        <v/>
      </c>
      <c r="R2169">
        <f>IF(OR($R2168="",$R2168="T"),"",IF($R2168="B","S",IF($Q2168+1&gt;$K$3,"T",IF(INDEX($M$4:$M$2003,MATCH($Q2168+1,$P$4:$P$2003,0))&lt;&gt;INDEX($M$4:$M$2003,MATCH($Q2168,$P$4:$P$2003,0)),"B","S"))))</f>
        <v/>
      </c>
      <c r="S2169">
        <f>IF(Q2169="","",IFERROR(MATCH(Q2169,$P$4:$P$2003,0),""))</f>
        <v/>
      </c>
    </row>
    <row r="2170">
      <c r="A2170" s="4">
        <f>IF($R2170="","",IF($R2170="T","Gesamtergebnis",IF($R2170="B",INDEX($M$4:$M$2003,$S2170),INDEX($L$4:$L$2003,$S2170))))</f>
        <v/>
      </c>
      <c r="B2170" s="4">
        <f>IF($R2170="","",IF($R2170="T",$K$3,IF($R2170="B",COUNTIFS($M$4:$M$2003,INDEX($M$4:$M$2003,$S2170),$N$4:$N$2003,1),1)))</f>
        <v/>
      </c>
      <c r="Q2170">
        <f>IF(OR($R2169="",$R2169="T"),"",IF($R2169="B",$Q2169,IF($Q2169+1&gt;$K$3,"",$Q2169+1)))</f>
        <v/>
      </c>
      <c r="R2170">
        <f>IF(OR($R2169="",$R2169="T"),"",IF($R2169="B","S",IF($Q2169+1&gt;$K$3,"T",IF(INDEX($M$4:$M$2003,MATCH($Q2169+1,$P$4:$P$2003,0))&lt;&gt;INDEX($M$4:$M$2003,MATCH($Q2169,$P$4:$P$2003,0)),"B","S"))))</f>
        <v/>
      </c>
      <c r="S2170">
        <f>IF(Q2170="","",IFERROR(MATCH(Q2170,$P$4:$P$2003,0),""))</f>
        <v/>
      </c>
    </row>
    <row r="2171">
      <c r="A2171" s="4">
        <f>IF($R2171="","",IF($R2171="T","Gesamtergebnis",IF($R2171="B",INDEX($M$4:$M$2003,$S2171),INDEX($L$4:$L$2003,$S2171))))</f>
        <v/>
      </c>
      <c r="B2171" s="4">
        <f>IF($R2171="","",IF($R2171="T",$K$3,IF($R2171="B",COUNTIFS($M$4:$M$2003,INDEX($M$4:$M$2003,$S2171),$N$4:$N$2003,1),1)))</f>
        <v/>
      </c>
      <c r="Q2171">
        <f>IF(OR($R2170="",$R2170="T"),"",IF($R2170="B",$Q2170,IF($Q2170+1&gt;$K$3,"",$Q2170+1)))</f>
        <v/>
      </c>
      <c r="R2171">
        <f>IF(OR($R2170="",$R2170="T"),"",IF($R2170="B","S",IF($Q2170+1&gt;$K$3,"T",IF(INDEX($M$4:$M$2003,MATCH($Q2170+1,$P$4:$P$2003,0))&lt;&gt;INDEX($M$4:$M$2003,MATCH($Q2170,$P$4:$P$2003,0)),"B","S"))))</f>
        <v/>
      </c>
      <c r="S2171">
        <f>IF(Q2171="","",IFERROR(MATCH(Q2171,$P$4:$P$2003,0),""))</f>
        <v/>
      </c>
    </row>
    <row r="2172">
      <c r="A2172" s="4">
        <f>IF($R2172="","",IF($R2172="T","Gesamtergebnis",IF($R2172="B",INDEX($M$4:$M$2003,$S2172),INDEX($L$4:$L$2003,$S2172))))</f>
        <v/>
      </c>
      <c r="B2172" s="4">
        <f>IF($R2172="","",IF($R2172="T",$K$3,IF($R2172="B",COUNTIFS($M$4:$M$2003,INDEX($M$4:$M$2003,$S2172),$N$4:$N$2003,1),1)))</f>
        <v/>
      </c>
      <c r="Q2172">
        <f>IF(OR($R2171="",$R2171="T"),"",IF($R2171="B",$Q2171,IF($Q2171+1&gt;$K$3,"",$Q2171+1)))</f>
        <v/>
      </c>
      <c r="R2172">
        <f>IF(OR($R2171="",$R2171="T"),"",IF($R2171="B","S",IF($Q2171+1&gt;$K$3,"T",IF(INDEX($M$4:$M$2003,MATCH($Q2171+1,$P$4:$P$2003,0))&lt;&gt;INDEX($M$4:$M$2003,MATCH($Q2171,$P$4:$P$2003,0)),"B","S"))))</f>
        <v/>
      </c>
      <c r="S2172">
        <f>IF(Q2172="","",IFERROR(MATCH(Q2172,$P$4:$P$2003,0),""))</f>
        <v/>
      </c>
    </row>
    <row r="2173">
      <c r="A2173" s="4">
        <f>IF($R2173="","",IF($R2173="T","Gesamtergebnis",IF($R2173="B",INDEX($M$4:$M$2003,$S2173),INDEX($L$4:$L$2003,$S2173))))</f>
        <v/>
      </c>
      <c r="B2173" s="4">
        <f>IF($R2173="","",IF($R2173="T",$K$3,IF($R2173="B",COUNTIFS($M$4:$M$2003,INDEX($M$4:$M$2003,$S2173),$N$4:$N$2003,1),1)))</f>
        <v/>
      </c>
      <c r="Q2173">
        <f>IF(OR($R2172="",$R2172="T"),"",IF($R2172="B",$Q2172,IF($Q2172+1&gt;$K$3,"",$Q2172+1)))</f>
        <v/>
      </c>
      <c r="R2173">
        <f>IF(OR($R2172="",$R2172="T"),"",IF($R2172="B","S",IF($Q2172+1&gt;$K$3,"T",IF(INDEX($M$4:$M$2003,MATCH($Q2172+1,$P$4:$P$2003,0))&lt;&gt;INDEX($M$4:$M$2003,MATCH($Q2172,$P$4:$P$2003,0)),"B","S"))))</f>
        <v/>
      </c>
      <c r="S2173">
        <f>IF(Q2173="","",IFERROR(MATCH(Q2173,$P$4:$P$2003,0),""))</f>
        <v/>
      </c>
    </row>
    <row r="2174">
      <c r="A2174" s="4">
        <f>IF($R2174="","",IF($R2174="T","Gesamtergebnis",IF($R2174="B",INDEX($M$4:$M$2003,$S2174),INDEX($L$4:$L$2003,$S2174))))</f>
        <v/>
      </c>
      <c r="B2174" s="4">
        <f>IF($R2174="","",IF($R2174="T",$K$3,IF($R2174="B",COUNTIFS($M$4:$M$2003,INDEX($M$4:$M$2003,$S2174),$N$4:$N$2003,1),1)))</f>
        <v/>
      </c>
      <c r="Q2174">
        <f>IF(OR($R2173="",$R2173="T"),"",IF($R2173="B",$Q2173,IF($Q2173+1&gt;$K$3,"",$Q2173+1)))</f>
        <v/>
      </c>
      <c r="R2174">
        <f>IF(OR($R2173="",$R2173="T"),"",IF($R2173="B","S",IF($Q2173+1&gt;$K$3,"T",IF(INDEX($M$4:$M$2003,MATCH($Q2173+1,$P$4:$P$2003,0))&lt;&gt;INDEX($M$4:$M$2003,MATCH($Q2173,$P$4:$P$2003,0)),"B","S"))))</f>
        <v/>
      </c>
      <c r="S2174">
        <f>IF(Q2174="","",IFERROR(MATCH(Q2174,$P$4:$P$2003,0),""))</f>
        <v/>
      </c>
    </row>
    <row r="2175">
      <c r="A2175" s="4">
        <f>IF($R2175="","",IF($R2175="T","Gesamtergebnis",IF($R2175="B",INDEX($M$4:$M$2003,$S2175),INDEX($L$4:$L$2003,$S2175))))</f>
        <v/>
      </c>
      <c r="B2175" s="4">
        <f>IF($R2175="","",IF($R2175="T",$K$3,IF($R2175="B",COUNTIFS($M$4:$M$2003,INDEX($M$4:$M$2003,$S2175),$N$4:$N$2003,1),1)))</f>
        <v/>
      </c>
      <c r="Q2175">
        <f>IF(OR($R2174="",$R2174="T"),"",IF($R2174="B",$Q2174,IF($Q2174+1&gt;$K$3,"",$Q2174+1)))</f>
        <v/>
      </c>
      <c r="R2175">
        <f>IF(OR($R2174="",$R2174="T"),"",IF($R2174="B","S",IF($Q2174+1&gt;$K$3,"T",IF(INDEX($M$4:$M$2003,MATCH($Q2174+1,$P$4:$P$2003,0))&lt;&gt;INDEX($M$4:$M$2003,MATCH($Q2174,$P$4:$P$2003,0)),"B","S"))))</f>
        <v/>
      </c>
      <c r="S2175">
        <f>IF(Q2175="","",IFERROR(MATCH(Q2175,$P$4:$P$2003,0),""))</f>
        <v/>
      </c>
    </row>
    <row r="2176">
      <c r="A2176" s="4">
        <f>IF($R2176="","",IF($R2176="T","Gesamtergebnis",IF($R2176="B",INDEX($M$4:$M$2003,$S2176),INDEX($L$4:$L$2003,$S2176))))</f>
        <v/>
      </c>
      <c r="B2176" s="4">
        <f>IF($R2176="","",IF($R2176="T",$K$3,IF($R2176="B",COUNTIFS($M$4:$M$2003,INDEX($M$4:$M$2003,$S2176),$N$4:$N$2003,1),1)))</f>
        <v/>
      </c>
      <c r="Q2176">
        <f>IF(OR($R2175="",$R2175="T"),"",IF($R2175="B",$Q2175,IF($Q2175+1&gt;$K$3,"",$Q2175+1)))</f>
        <v/>
      </c>
      <c r="R2176">
        <f>IF(OR($R2175="",$R2175="T"),"",IF($R2175="B","S",IF($Q2175+1&gt;$K$3,"T",IF(INDEX($M$4:$M$2003,MATCH($Q2175+1,$P$4:$P$2003,0))&lt;&gt;INDEX($M$4:$M$2003,MATCH($Q2175,$P$4:$P$2003,0)),"B","S"))))</f>
        <v/>
      </c>
      <c r="S2176">
        <f>IF(Q2176="","",IFERROR(MATCH(Q2176,$P$4:$P$2003,0),""))</f>
        <v/>
      </c>
    </row>
    <row r="2177">
      <c r="A2177" s="4">
        <f>IF($R2177="","",IF($R2177="T","Gesamtergebnis",IF($R2177="B",INDEX($M$4:$M$2003,$S2177),INDEX($L$4:$L$2003,$S2177))))</f>
        <v/>
      </c>
      <c r="B2177" s="4">
        <f>IF($R2177="","",IF($R2177="T",$K$3,IF($R2177="B",COUNTIFS($M$4:$M$2003,INDEX($M$4:$M$2003,$S2177),$N$4:$N$2003,1),1)))</f>
        <v/>
      </c>
      <c r="Q2177">
        <f>IF(OR($R2176="",$R2176="T"),"",IF($R2176="B",$Q2176,IF($Q2176+1&gt;$K$3,"",$Q2176+1)))</f>
        <v/>
      </c>
      <c r="R2177">
        <f>IF(OR($R2176="",$R2176="T"),"",IF($R2176="B","S",IF($Q2176+1&gt;$K$3,"T",IF(INDEX($M$4:$M$2003,MATCH($Q2176+1,$P$4:$P$2003,0))&lt;&gt;INDEX($M$4:$M$2003,MATCH($Q2176,$P$4:$P$2003,0)),"B","S"))))</f>
        <v/>
      </c>
      <c r="S2177">
        <f>IF(Q2177="","",IFERROR(MATCH(Q2177,$P$4:$P$2003,0),""))</f>
        <v/>
      </c>
    </row>
    <row r="2178">
      <c r="A2178" s="4">
        <f>IF($R2178="","",IF($R2178="T","Gesamtergebnis",IF($R2178="B",INDEX($M$4:$M$2003,$S2178),INDEX($L$4:$L$2003,$S2178))))</f>
        <v/>
      </c>
      <c r="B2178" s="4">
        <f>IF($R2178="","",IF($R2178="T",$K$3,IF($R2178="B",COUNTIFS($M$4:$M$2003,INDEX($M$4:$M$2003,$S2178),$N$4:$N$2003,1),1)))</f>
        <v/>
      </c>
      <c r="Q2178">
        <f>IF(OR($R2177="",$R2177="T"),"",IF($R2177="B",$Q2177,IF($Q2177+1&gt;$K$3,"",$Q2177+1)))</f>
        <v/>
      </c>
      <c r="R2178">
        <f>IF(OR($R2177="",$R2177="T"),"",IF($R2177="B","S",IF($Q2177+1&gt;$K$3,"T",IF(INDEX($M$4:$M$2003,MATCH($Q2177+1,$P$4:$P$2003,0))&lt;&gt;INDEX($M$4:$M$2003,MATCH($Q2177,$P$4:$P$2003,0)),"B","S"))))</f>
        <v/>
      </c>
      <c r="S2178">
        <f>IF(Q2178="","",IFERROR(MATCH(Q2178,$P$4:$P$2003,0),""))</f>
        <v/>
      </c>
    </row>
    <row r="2179">
      <c r="A2179" s="4">
        <f>IF($R2179="","",IF($R2179="T","Gesamtergebnis",IF($R2179="B",INDEX($M$4:$M$2003,$S2179),INDEX($L$4:$L$2003,$S2179))))</f>
        <v/>
      </c>
      <c r="B2179" s="4">
        <f>IF($R2179="","",IF($R2179="T",$K$3,IF($R2179="B",COUNTIFS($M$4:$M$2003,INDEX($M$4:$M$2003,$S2179),$N$4:$N$2003,1),1)))</f>
        <v/>
      </c>
      <c r="Q2179">
        <f>IF(OR($R2178="",$R2178="T"),"",IF($R2178="B",$Q2178,IF($Q2178+1&gt;$K$3,"",$Q2178+1)))</f>
        <v/>
      </c>
      <c r="R2179">
        <f>IF(OR($R2178="",$R2178="T"),"",IF($R2178="B","S",IF($Q2178+1&gt;$K$3,"T",IF(INDEX($M$4:$M$2003,MATCH($Q2178+1,$P$4:$P$2003,0))&lt;&gt;INDEX($M$4:$M$2003,MATCH($Q2178,$P$4:$P$2003,0)),"B","S"))))</f>
        <v/>
      </c>
      <c r="S2179">
        <f>IF(Q2179="","",IFERROR(MATCH(Q2179,$P$4:$P$2003,0),""))</f>
        <v/>
      </c>
    </row>
    <row r="2180">
      <c r="A2180" s="4">
        <f>IF($R2180="","",IF($R2180="T","Gesamtergebnis",IF($R2180="B",INDEX($M$4:$M$2003,$S2180),INDEX($L$4:$L$2003,$S2180))))</f>
        <v/>
      </c>
      <c r="B2180" s="4">
        <f>IF($R2180="","",IF($R2180="T",$K$3,IF($R2180="B",COUNTIFS($M$4:$M$2003,INDEX($M$4:$M$2003,$S2180),$N$4:$N$2003,1),1)))</f>
        <v/>
      </c>
      <c r="Q2180">
        <f>IF(OR($R2179="",$R2179="T"),"",IF($R2179="B",$Q2179,IF($Q2179+1&gt;$K$3,"",$Q2179+1)))</f>
        <v/>
      </c>
      <c r="R2180">
        <f>IF(OR($R2179="",$R2179="T"),"",IF($R2179="B","S",IF($Q2179+1&gt;$K$3,"T",IF(INDEX($M$4:$M$2003,MATCH($Q2179+1,$P$4:$P$2003,0))&lt;&gt;INDEX($M$4:$M$2003,MATCH($Q2179,$P$4:$P$2003,0)),"B","S"))))</f>
        <v/>
      </c>
      <c r="S2180">
        <f>IF(Q2180="","",IFERROR(MATCH(Q2180,$P$4:$P$2003,0),""))</f>
        <v/>
      </c>
    </row>
    <row r="2181">
      <c r="A2181" s="4">
        <f>IF($R2181="","",IF($R2181="T","Gesamtergebnis",IF($R2181="B",INDEX($M$4:$M$2003,$S2181),INDEX($L$4:$L$2003,$S2181))))</f>
        <v/>
      </c>
      <c r="B2181" s="4">
        <f>IF($R2181="","",IF($R2181="T",$K$3,IF($R2181="B",COUNTIFS($M$4:$M$2003,INDEX($M$4:$M$2003,$S2181),$N$4:$N$2003,1),1)))</f>
        <v/>
      </c>
      <c r="Q2181">
        <f>IF(OR($R2180="",$R2180="T"),"",IF($R2180="B",$Q2180,IF($Q2180+1&gt;$K$3,"",$Q2180+1)))</f>
        <v/>
      </c>
      <c r="R2181">
        <f>IF(OR($R2180="",$R2180="T"),"",IF($R2180="B","S",IF($Q2180+1&gt;$K$3,"T",IF(INDEX($M$4:$M$2003,MATCH($Q2180+1,$P$4:$P$2003,0))&lt;&gt;INDEX($M$4:$M$2003,MATCH($Q2180,$P$4:$P$2003,0)),"B","S"))))</f>
        <v/>
      </c>
      <c r="S2181">
        <f>IF(Q2181="","",IFERROR(MATCH(Q2181,$P$4:$P$2003,0),""))</f>
        <v/>
      </c>
    </row>
    <row r="2182">
      <c r="A2182" s="4">
        <f>IF($R2182="","",IF($R2182="T","Gesamtergebnis",IF($R2182="B",INDEX($M$4:$M$2003,$S2182),INDEX($L$4:$L$2003,$S2182))))</f>
        <v/>
      </c>
      <c r="B2182" s="4">
        <f>IF($R2182="","",IF($R2182="T",$K$3,IF($R2182="B",COUNTIFS($M$4:$M$2003,INDEX($M$4:$M$2003,$S2182),$N$4:$N$2003,1),1)))</f>
        <v/>
      </c>
      <c r="Q2182">
        <f>IF(OR($R2181="",$R2181="T"),"",IF($R2181="B",$Q2181,IF($Q2181+1&gt;$K$3,"",$Q2181+1)))</f>
        <v/>
      </c>
      <c r="R2182">
        <f>IF(OR($R2181="",$R2181="T"),"",IF($R2181="B","S",IF($Q2181+1&gt;$K$3,"T",IF(INDEX($M$4:$M$2003,MATCH($Q2181+1,$P$4:$P$2003,0))&lt;&gt;INDEX($M$4:$M$2003,MATCH($Q2181,$P$4:$P$2003,0)),"B","S"))))</f>
        <v/>
      </c>
      <c r="S2182">
        <f>IF(Q2182="","",IFERROR(MATCH(Q2182,$P$4:$P$2003,0),""))</f>
        <v/>
      </c>
    </row>
    <row r="2183">
      <c r="A2183" s="4">
        <f>IF($R2183="","",IF($R2183="T","Gesamtergebnis",IF($R2183="B",INDEX($M$4:$M$2003,$S2183),INDEX($L$4:$L$2003,$S2183))))</f>
        <v/>
      </c>
      <c r="B2183" s="4">
        <f>IF($R2183="","",IF($R2183="T",$K$3,IF($R2183="B",COUNTIFS($M$4:$M$2003,INDEX($M$4:$M$2003,$S2183),$N$4:$N$2003,1),1)))</f>
        <v/>
      </c>
      <c r="Q2183">
        <f>IF(OR($R2182="",$R2182="T"),"",IF($R2182="B",$Q2182,IF($Q2182+1&gt;$K$3,"",$Q2182+1)))</f>
        <v/>
      </c>
      <c r="R2183">
        <f>IF(OR($R2182="",$R2182="T"),"",IF($R2182="B","S",IF($Q2182+1&gt;$K$3,"T",IF(INDEX($M$4:$M$2003,MATCH($Q2182+1,$P$4:$P$2003,0))&lt;&gt;INDEX($M$4:$M$2003,MATCH($Q2182,$P$4:$P$2003,0)),"B","S"))))</f>
        <v/>
      </c>
      <c r="S2183">
        <f>IF(Q2183="","",IFERROR(MATCH(Q2183,$P$4:$P$2003,0),""))</f>
        <v/>
      </c>
    </row>
    <row r="2184">
      <c r="A2184" s="4">
        <f>IF($R2184="","",IF($R2184="T","Gesamtergebnis",IF($R2184="B",INDEX($M$4:$M$2003,$S2184),INDEX($L$4:$L$2003,$S2184))))</f>
        <v/>
      </c>
      <c r="B2184" s="4">
        <f>IF($R2184="","",IF($R2184="T",$K$3,IF($R2184="B",COUNTIFS($M$4:$M$2003,INDEX($M$4:$M$2003,$S2184),$N$4:$N$2003,1),1)))</f>
        <v/>
      </c>
      <c r="Q2184">
        <f>IF(OR($R2183="",$R2183="T"),"",IF($R2183="B",$Q2183,IF($Q2183+1&gt;$K$3,"",$Q2183+1)))</f>
        <v/>
      </c>
      <c r="R2184">
        <f>IF(OR($R2183="",$R2183="T"),"",IF($R2183="B","S",IF($Q2183+1&gt;$K$3,"T",IF(INDEX($M$4:$M$2003,MATCH($Q2183+1,$P$4:$P$2003,0))&lt;&gt;INDEX($M$4:$M$2003,MATCH($Q2183,$P$4:$P$2003,0)),"B","S"))))</f>
        <v/>
      </c>
      <c r="S2184">
        <f>IF(Q2184="","",IFERROR(MATCH(Q2184,$P$4:$P$2003,0),""))</f>
        <v/>
      </c>
    </row>
    <row r="2185">
      <c r="A2185" s="4">
        <f>IF($R2185="","",IF($R2185="T","Gesamtergebnis",IF($R2185="B",INDEX($M$4:$M$2003,$S2185),INDEX($L$4:$L$2003,$S2185))))</f>
        <v/>
      </c>
      <c r="B2185" s="4">
        <f>IF($R2185="","",IF($R2185="T",$K$3,IF($R2185="B",COUNTIFS($M$4:$M$2003,INDEX($M$4:$M$2003,$S2185),$N$4:$N$2003,1),1)))</f>
        <v/>
      </c>
      <c r="Q2185">
        <f>IF(OR($R2184="",$R2184="T"),"",IF($R2184="B",$Q2184,IF($Q2184+1&gt;$K$3,"",$Q2184+1)))</f>
        <v/>
      </c>
      <c r="R2185">
        <f>IF(OR($R2184="",$R2184="T"),"",IF($R2184="B","S",IF($Q2184+1&gt;$K$3,"T",IF(INDEX($M$4:$M$2003,MATCH($Q2184+1,$P$4:$P$2003,0))&lt;&gt;INDEX($M$4:$M$2003,MATCH($Q2184,$P$4:$P$2003,0)),"B","S"))))</f>
        <v/>
      </c>
      <c r="S2185">
        <f>IF(Q2185="","",IFERROR(MATCH(Q2185,$P$4:$P$2003,0),""))</f>
        <v/>
      </c>
    </row>
    <row r="2186">
      <c r="A2186" s="4">
        <f>IF($R2186="","",IF($R2186="T","Gesamtergebnis",IF($R2186="B",INDEX($M$4:$M$2003,$S2186),INDEX($L$4:$L$2003,$S2186))))</f>
        <v/>
      </c>
      <c r="B2186" s="4">
        <f>IF($R2186="","",IF($R2186="T",$K$3,IF($R2186="B",COUNTIFS($M$4:$M$2003,INDEX($M$4:$M$2003,$S2186),$N$4:$N$2003,1),1)))</f>
        <v/>
      </c>
      <c r="Q2186">
        <f>IF(OR($R2185="",$R2185="T"),"",IF($R2185="B",$Q2185,IF($Q2185+1&gt;$K$3,"",$Q2185+1)))</f>
        <v/>
      </c>
      <c r="R2186">
        <f>IF(OR($R2185="",$R2185="T"),"",IF($R2185="B","S",IF($Q2185+1&gt;$K$3,"T",IF(INDEX($M$4:$M$2003,MATCH($Q2185+1,$P$4:$P$2003,0))&lt;&gt;INDEX($M$4:$M$2003,MATCH($Q2185,$P$4:$P$2003,0)),"B","S"))))</f>
        <v/>
      </c>
      <c r="S2186">
        <f>IF(Q2186="","",IFERROR(MATCH(Q2186,$P$4:$P$2003,0),""))</f>
        <v/>
      </c>
    </row>
    <row r="2187">
      <c r="A2187" s="4">
        <f>IF($R2187="","",IF($R2187="T","Gesamtergebnis",IF($R2187="B",INDEX($M$4:$M$2003,$S2187),INDEX($L$4:$L$2003,$S2187))))</f>
        <v/>
      </c>
      <c r="B2187" s="4">
        <f>IF($R2187="","",IF($R2187="T",$K$3,IF($R2187="B",COUNTIFS($M$4:$M$2003,INDEX($M$4:$M$2003,$S2187),$N$4:$N$2003,1),1)))</f>
        <v/>
      </c>
      <c r="Q2187">
        <f>IF(OR($R2186="",$R2186="T"),"",IF($R2186="B",$Q2186,IF($Q2186+1&gt;$K$3,"",$Q2186+1)))</f>
        <v/>
      </c>
      <c r="R2187">
        <f>IF(OR($R2186="",$R2186="T"),"",IF($R2186="B","S",IF($Q2186+1&gt;$K$3,"T",IF(INDEX($M$4:$M$2003,MATCH($Q2186+1,$P$4:$P$2003,0))&lt;&gt;INDEX($M$4:$M$2003,MATCH($Q2186,$P$4:$P$2003,0)),"B","S"))))</f>
        <v/>
      </c>
      <c r="S2187">
        <f>IF(Q2187="","",IFERROR(MATCH(Q2187,$P$4:$P$2003,0),""))</f>
        <v/>
      </c>
    </row>
    <row r="2188">
      <c r="A2188" s="4">
        <f>IF($R2188="","",IF($R2188="T","Gesamtergebnis",IF($R2188="B",INDEX($M$4:$M$2003,$S2188),INDEX($L$4:$L$2003,$S2188))))</f>
        <v/>
      </c>
      <c r="B2188" s="4">
        <f>IF($R2188="","",IF($R2188="T",$K$3,IF($R2188="B",COUNTIFS($M$4:$M$2003,INDEX($M$4:$M$2003,$S2188),$N$4:$N$2003,1),1)))</f>
        <v/>
      </c>
      <c r="Q2188">
        <f>IF(OR($R2187="",$R2187="T"),"",IF($R2187="B",$Q2187,IF($Q2187+1&gt;$K$3,"",$Q2187+1)))</f>
        <v/>
      </c>
      <c r="R2188">
        <f>IF(OR($R2187="",$R2187="T"),"",IF($R2187="B","S",IF($Q2187+1&gt;$K$3,"T",IF(INDEX($M$4:$M$2003,MATCH($Q2187+1,$P$4:$P$2003,0))&lt;&gt;INDEX($M$4:$M$2003,MATCH($Q2187,$P$4:$P$2003,0)),"B","S"))))</f>
        <v/>
      </c>
      <c r="S2188">
        <f>IF(Q2188="","",IFERROR(MATCH(Q2188,$P$4:$P$2003,0),""))</f>
        <v/>
      </c>
    </row>
    <row r="2189">
      <c r="A2189" s="4">
        <f>IF($R2189="","",IF($R2189="T","Gesamtergebnis",IF($R2189="B",INDEX($M$4:$M$2003,$S2189),INDEX($L$4:$L$2003,$S2189))))</f>
        <v/>
      </c>
      <c r="B2189" s="4">
        <f>IF($R2189="","",IF($R2189="T",$K$3,IF($R2189="B",COUNTIFS($M$4:$M$2003,INDEX($M$4:$M$2003,$S2189),$N$4:$N$2003,1),1)))</f>
        <v/>
      </c>
      <c r="Q2189">
        <f>IF(OR($R2188="",$R2188="T"),"",IF($R2188="B",$Q2188,IF($Q2188+1&gt;$K$3,"",$Q2188+1)))</f>
        <v/>
      </c>
      <c r="R2189">
        <f>IF(OR($R2188="",$R2188="T"),"",IF($R2188="B","S",IF($Q2188+1&gt;$K$3,"T",IF(INDEX($M$4:$M$2003,MATCH($Q2188+1,$P$4:$P$2003,0))&lt;&gt;INDEX($M$4:$M$2003,MATCH($Q2188,$P$4:$P$2003,0)),"B","S"))))</f>
        <v/>
      </c>
      <c r="S2189">
        <f>IF(Q2189="","",IFERROR(MATCH(Q2189,$P$4:$P$2003,0),""))</f>
        <v/>
      </c>
    </row>
    <row r="2190">
      <c r="A2190" s="4">
        <f>IF($R2190="","",IF($R2190="T","Gesamtergebnis",IF($R2190="B",INDEX($M$4:$M$2003,$S2190),INDEX($L$4:$L$2003,$S2190))))</f>
        <v/>
      </c>
      <c r="B2190" s="4">
        <f>IF($R2190="","",IF($R2190="T",$K$3,IF($R2190="B",COUNTIFS($M$4:$M$2003,INDEX($M$4:$M$2003,$S2190),$N$4:$N$2003,1),1)))</f>
        <v/>
      </c>
      <c r="Q2190">
        <f>IF(OR($R2189="",$R2189="T"),"",IF($R2189="B",$Q2189,IF($Q2189+1&gt;$K$3,"",$Q2189+1)))</f>
        <v/>
      </c>
      <c r="R2190">
        <f>IF(OR($R2189="",$R2189="T"),"",IF($R2189="B","S",IF($Q2189+1&gt;$K$3,"T",IF(INDEX($M$4:$M$2003,MATCH($Q2189+1,$P$4:$P$2003,0))&lt;&gt;INDEX($M$4:$M$2003,MATCH($Q2189,$P$4:$P$2003,0)),"B","S"))))</f>
        <v/>
      </c>
      <c r="S2190">
        <f>IF(Q2190="","",IFERROR(MATCH(Q2190,$P$4:$P$2003,0),""))</f>
        <v/>
      </c>
    </row>
    <row r="2191">
      <c r="A2191" s="4">
        <f>IF($R2191="","",IF($R2191="T","Gesamtergebnis",IF($R2191="B",INDEX($M$4:$M$2003,$S2191),INDEX($L$4:$L$2003,$S2191))))</f>
        <v/>
      </c>
      <c r="B2191" s="4">
        <f>IF($R2191="","",IF($R2191="T",$K$3,IF($R2191="B",COUNTIFS($M$4:$M$2003,INDEX($M$4:$M$2003,$S2191),$N$4:$N$2003,1),1)))</f>
        <v/>
      </c>
      <c r="Q2191">
        <f>IF(OR($R2190="",$R2190="T"),"",IF($R2190="B",$Q2190,IF($Q2190+1&gt;$K$3,"",$Q2190+1)))</f>
        <v/>
      </c>
      <c r="R2191">
        <f>IF(OR($R2190="",$R2190="T"),"",IF($R2190="B","S",IF($Q2190+1&gt;$K$3,"T",IF(INDEX($M$4:$M$2003,MATCH($Q2190+1,$P$4:$P$2003,0))&lt;&gt;INDEX($M$4:$M$2003,MATCH($Q2190,$P$4:$P$2003,0)),"B","S"))))</f>
        <v/>
      </c>
      <c r="S2191">
        <f>IF(Q2191="","",IFERROR(MATCH(Q2191,$P$4:$P$2003,0),""))</f>
        <v/>
      </c>
    </row>
    <row r="2192">
      <c r="A2192" s="4">
        <f>IF($R2192="","",IF($R2192="T","Gesamtergebnis",IF($R2192="B",INDEX($M$4:$M$2003,$S2192),INDEX($L$4:$L$2003,$S2192))))</f>
        <v/>
      </c>
      <c r="B2192" s="4">
        <f>IF($R2192="","",IF($R2192="T",$K$3,IF($R2192="B",COUNTIFS($M$4:$M$2003,INDEX($M$4:$M$2003,$S2192),$N$4:$N$2003,1),1)))</f>
        <v/>
      </c>
      <c r="Q2192">
        <f>IF(OR($R2191="",$R2191="T"),"",IF($R2191="B",$Q2191,IF($Q2191+1&gt;$K$3,"",$Q2191+1)))</f>
        <v/>
      </c>
      <c r="R2192">
        <f>IF(OR($R2191="",$R2191="T"),"",IF($R2191="B","S",IF($Q2191+1&gt;$K$3,"T",IF(INDEX($M$4:$M$2003,MATCH($Q2191+1,$P$4:$P$2003,0))&lt;&gt;INDEX($M$4:$M$2003,MATCH($Q2191,$P$4:$P$2003,0)),"B","S"))))</f>
        <v/>
      </c>
      <c r="S2192">
        <f>IF(Q2192="","",IFERROR(MATCH(Q2192,$P$4:$P$2003,0),""))</f>
        <v/>
      </c>
    </row>
    <row r="2193">
      <c r="A2193" s="4">
        <f>IF($R2193="","",IF($R2193="T","Gesamtergebnis",IF($R2193="B",INDEX($M$4:$M$2003,$S2193),INDEX($L$4:$L$2003,$S2193))))</f>
        <v/>
      </c>
      <c r="B2193" s="4">
        <f>IF($R2193="","",IF($R2193="T",$K$3,IF($R2193="B",COUNTIFS($M$4:$M$2003,INDEX($M$4:$M$2003,$S2193),$N$4:$N$2003,1),1)))</f>
        <v/>
      </c>
      <c r="Q2193">
        <f>IF(OR($R2192="",$R2192="T"),"",IF($R2192="B",$Q2192,IF($Q2192+1&gt;$K$3,"",$Q2192+1)))</f>
        <v/>
      </c>
      <c r="R2193">
        <f>IF(OR($R2192="",$R2192="T"),"",IF($R2192="B","S",IF($Q2192+1&gt;$K$3,"T",IF(INDEX($M$4:$M$2003,MATCH($Q2192+1,$P$4:$P$2003,0))&lt;&gt;INDEX($M$4:$M$2003,MATCH($Q2192,$P$4:$P$2003,0)),"B","S"))))</f>
        <v/>
      </c>
      <c r="S2193">
        <f>IF(Q2193="","",IFERROR(MATCH(Q2193,$P$4:$P$2003,0),""))</f>
        <v/>
      </c>
    </row>
    <row r="2194">
      <c r="A2194" s="4">
        <f>IF($R2194="","",IF($R2194="T","Gesamtergebnis",IF($R2194="B",INDEX($M$4:$M$2003,$S2194),INDEX($L$4:$L$2003,$S2194))))</f>
        <v/>
      </c>
      <c r="B2194" s="4">
        <f>IF($R2194="","",IF($R2194="T",$K$3,IF($R2194="B",COUNTIFS($M$4:$M$2003,INDEX($M$4:$M$2003,$S2194),$N$4:$N$2003,1),1)))</f>
        <v/>
      </c>
      <c r="Q2194">
        <f>IF(OR($R2193="",$R2193="T"),"",IF($R2193="B",$Q2193,IF($Q2193+1&gt;$K$3,"",$Q2193+1)))</f>
        <v/>
      </c>
      <c r="R2194">
        <f>IF(OR($R2193="",$R2193="T"),"",IF($R2193="B","S",IF($Q2193+1&gt;$K$3,"T",IF(INDEX($M$4:$M$2003,MATCH($Q2193+1,$P$4:$P$2003,0))&lt;&gt;INDEX($M$4:$M$2003,MATCH($Q2193,$P$4:$P$2003,0)),"B","S"))))</f>
        <v/>
      </c>
      <c r="S2194">
        <f>IF(Q2194="","",IFERROR(MATCH(Q2194,$P$4:$P$2003,0),""))</f>
        <v/>
      </c>
    </row>
    <row r="2195">
      <c r="A2195" s="4">
        <f>IF($R2195="","",IF($R2195="T","Gesamtergebnis",IF($R2195="B",INDEX($M$4:$M$2003,$S2195),INDEX($L$4:$L$2003,$S2195))))</f>
        <v/>
      </c>
      <c r="B2195" s="4">
        <f>IF($R2195="","",IF($R2195="T",$K$3,IF($R2195="B",COUNTIFS($M$4:$M$2003,INDEX($M$4:$M$2003,$S2195),$N$4:$N$2003,1),1)))</f>
        <v/>
      </c>
      <c r="Q2195">
        <f>IF(OR($R2194="",$R2194="T"),"",IF($R2194="B",$Q2194,IF($Q2194+1&gt;$K$3,"",$Q2194+1)))</f>
        <v/>
      </c>
      <c r="R2195">
        <f>IF(OR($R2194="",$R2194="T"),"",IF($R2194="B","S",IF($Q2194+1&gt;$K$3,"T",IF(INDEX($M$4:$M$2003,MATCH($Q2194+1,$P$4:$P$2003,0))&lt;&gt;INDEX($M$4:$M$2003,MATCH($Q2194,$P$4:$P$2003,0)),"B","S"))))</f>
        <v/>
      </c>
      <c r="S2195">
        <f>IF(Q2195="","",IFERROR(MATCH(Q2195,$P$4:$P$2003,0),""))</f>
        <v/>
      </c>
    </row>
    <row r="2196">
      <c r="A2196" s="4">
        <f>IF($R2196="","",IF($R2196="T","Gesamtergebnis",IF($R2196="B",INDEX($M$4:$M$2003,$S2196),INDEX($L$4:$L$2003,$S2196))))</f>
        <v/>
      </c>
      <c r="B2196" s="4">
        <f>IF($R2196="","",IF($R2196="T",$K$3,IF($R2196="B",COUNTIFS($M$4:$M$2003,INDEX($M$4:$M$2003,$S2196),$N$4:$N$2003,1),1)))</f>
        <v/>
      </c>
      <c r="Q2196">
        <f>IF(OR($R2195="",$R2195="T"),"",IF($R2195="B",$Q2195,IF($Q2195+1&gt;$K$3,"",$Q2195+1)))</f>
        <v/>
      </c>
      <c r="R2196">
        <f>IF(OR($R2195="",$R2195="T"),"",IF($R2195="B","S",IF($Q2195+1&gt;$K$3,"T",IF(INDEX($M$4:$M$2003,MATCH($Q2195+1,$P$4:$P$2003,0))&lt;&gt;INDEX($M$4:$M$2003,MATCH($Q2195,$P$4:$P$2003,0)),"B","S"))))</f>
        <v/>
      </c>
      <c r="S2196">
        <f>IF(Q2196="","",IFERROR(MATCH(Q2196,$P$4:$P$2003,0),""))</f>
        <v/>
      </c>
    </row>
    <row r="2197">
      <c r="A2197" s="4">
        <f>IF($R2197="","",IF($R2197="T","Gesamtergebnis",IF($R2197="B",INDEX($M$4:$M$2003,$S2197),INDEX($L$4:$L$2003,$S2197))))</f>
        <v/>
      </c>
      <c r="B2197" s="4">
        <f>IF($R2197="","",IF($R2197="T",$K$3,IF($R2197="B",COUNTIFS($M$4:$M$2003,INDEX($M$4:$M$2003,$S2197),$N$4:$N$2003,1),1)))</f>
        <v/>
      </c>
      <c r="Q2197">
        <f>IF(OR($R2196="",$R2196="T"),"",IF($R2196="B",$Q2196,IF($Q2196+1&gt;$K$3,"",$Q2196+1)))</f>
        <v/>
      </c>
      <c r="R2197">
        <f>IF(OR($R2196="",$R2196="T"),"",IF($R2196="B","S",IF($Q2196+1&gt;$K$3,"T",IF(INDEX($M$4:$M$2003,MATCH($Q2196+1,$P$4:$P$2003,0))&lt;&gt;INDEX($M$4:$M$2003,MATCH($Q2196,$P$4:$P$2003,0)),"B","S"))))</f>
        <v/>
      </c>
      <c r="S2197">
        <f>IF(Q2197="","",IFERROR(MATCH(Q2197,$P$4:$P$2003,0),""))</f>
        <v/>
      </c>
    </row>
    <row r="2198">
      <c r="A2198" s="4">
        <f>IF($R2198="","",IF($R2198="T","Gesamtergebnis",IF($R2198="B",INDEX($M$4:$M$2003,$S2198),INDEX($L$4:$L$2003,$S2198))))</f>
        <v/>
      </c>
      <c r="B2198" s="4">
        <f>IF($R2198="","",IF($R2198="T",$K$3,IF($R2198="B",COUNTIFS($M$4:$M$2003,INDEX($M$4:$M$2003,$S2198),$N$4:$N$2003,1),1)))</f>
        <v/>
      </c>
      <c r="Q2198">
        <f>IF(OR($R2197="",$R2197="T"),"",IF($R2197="B",$Q2197,IF($Q2197+1&gt;$K$3,"",$Q2197+1)))</f>
        <v/>
      </c>
      <c r="R2198">
        <f>IF(OR($R2197="",$R2197="T"),"",IF($R2197="B","S",IF($Q2197+1&gt;$K$3,"T",IF(INDEX($M$4:$M$2003,MATCH($Q2197+1,$P$4:$P$2003,0))&lt;&gt;INDEX($M$4:$M$2003,MATCH($Q2197,$P$4:$P$2003,0)),"B","S"))))</f>
        <v/>
      </c>
      <c r="S2198">
        <f>IF(Q2198="","",IFERROR(MATCH(Q2198,$P$4:$P$2003,0),""))</f>
        <v/>
      </c>
    </row>
    <row r="2199">
      <c r="A2199" s="4">
        <f>IF($R2199="","",IF($R2199="T","Gesamtergebnis",IF($R2199="B",INDEX($M$4:$M$2003,$S2199),INDEX($L$4:$L$2003,$S2199))))</f>
        <v/>
      </c>
      <c r="B2199" s="4">
        <f>IF($R2199="","",IF($R2199="T",$K$3,IF($R2199="B",COUNTIFS($M$4:$M$2003,INDEX($M$4:$M$2003,$S2199),$N$4:$N$2003,1),1)))</f>
        <v/>
      </c>
      <c r="Q2199">
        <f>IF(OR($R2198="",$R2198="T"),"",IF($R2198="B",$Q2198,IF($Q2198+1&gt;$K$3,"",$Q2198+1)))</f>
        <v/>
      </c>
      <c r="R2199">
        <f>IF(OR($R2198="",$R2198="T"),"",IF($R2198="B","S",IF($Q2198+1&gt;$K$3,"T",IF(INDEX($M$4:$M$2003,MATCH($Q2198+1,$P$4:$P$2003,0))&lt;&gt;INDEX($M$4:$M$2003,MATCH($Q2198,$P$4:$P$2003,0)),"B","S"))))</f>
        <v/>
      </c>
      <c r="S2199">
        <f>IF(Q2199="","",IFERROR(MATCH(Q2199,$P$4:$P$2003,0),""))</f>
        <v/>
      </c>
    </row>
    <row r="2200">
      <c r="A2200" s="4">
        <f>IF($R2200="","",IF($R2200="T","Gesamtergebnis",IF($R2200="B",INDEX($M$4:$M$2003,$S2200),INDEX($L$4:$L$2003,$S2200))))</f>
        <v/>
      </c>
      <c r="B2200" s="4">
        <f>IF($R2200="","",IF($R2200="T",$K$3,IF($R2200="B",COUNTIFS($M$4:$M$2003,INDEX($M$4:$M$2003,$S2200),$N$4:$N$2003,1),1)))</f>
        <v/>
      </c>
      <c r="Q2200">
        <f>IF(OR($R2199="",$R2199="T"),"",IF($R2199="B",$Q2199,IF($Q2199+1&gt;$K$3,"",$Q2199+1)))</f>
        <v/>
      </c>
      <c r="R2200">
        <f>IF(OR($R2199="",$R2199="T"),"",IF($R2199="B","S",IF($Q2199+1&gt;$K$3,"T",IF(INDEX($M$4:$M$2003,MATCH($Q2199+1,$P$4:$P$2003,0))&lt;&gt;INDEX($M$4:$M$2003,MATCH($Q2199,$P$4:$P$2003,0)),"B","S"))))</f>
        <v/>
      </c>
      <c r="S2200">
        <f>IF(Q2200="","",IFERROR(MATCH(Q2200,$P$4:$P$2003,0),""))</f>
        <v/>
      </c>
    </row>
    <row r="2201">
      <c r="A2201" s="4">
        <f>IF($R2201="","",IF($R2201="T","Gesamtergebnis",IF($R2201="B",INDEX($M$4:$M$2003,$S2201),INDEX($L$4:$L$2003,$S2201))))</f>
        <v/>
      </c>
      <c r="B2201" s="4">
        <f>IF($R2201="","",IF($R2201="T",$K$3,IF($R2201="B",COUNTIFS($M$4:$M$2003,INDEX($M$4:$M$2003,$S2201),$N$4:$N$2003,1),1)))</f>
        <v/>
      </c>
      <c r="Q2201">
        <f>IF(OR($R2200="",$R2200="T"),"",IF($R2200="B",$Q2200,IF($Q2200+1&gt;$K$3,"",$Q2200+1)))</f>
        <v/>
      </c>
      <c r="R2201">
        <f>IF(OR($R2200="",$R2200="T"),"",IF($R2200="B","S",IF($Q2200+1&gt;$K$3,"T",IF(INDEX($M$4:$M$2003,MATCH($Q2200+1,$P$4:$P$2003,0))&lt;&gt;INDEX($M$4:$M$2003,MATCH($Q2200,$P$4:$P$2003,0)),"B","S"))))</f>
        <v/>
      </c>
      <c r="S2201">
        <f>IF(Q2201="","",IFERROR(MATCH(Q2201,$P$4:$P$2003,0),""))</f>
        <v/>
      </c>
    </row>
    <row r="2202">
      <c r="A2202" s="4">
        <f>IF($R2202="","",IF($R2202="T","Gesamtergebnis",IF($R2202="B",INDEX($M$4:$M$2003,$S2202),INDEX($L$4:$L$2003,$S2202))))</f>
        <v/>
      </c>
      <c r="B2202" s="4">
        <f>IF($R2202="","",IF($R2202="T",$K$3,IF($R2202="B",COUNTIFS($M$4:$M$2003,INDEX($M$4:$M$2003,$S2202),$N$4:$N$2003,1),1)))</f>
        <v/>
      </c>
      <c r="Q2202">
        <f>IF(OR($R2201="",$R2201="T"),"",IF($R2201="B",$Q2201,IF($Q2201+1&gt;$K$3,"",$Q2201+1)))</f>
        <v/>
      </c>
      <c r="R2202">
        <f>IF(OR($R2201="",$R2201="T"),"",IF($R2201="B","S",IF($Q2201+1&gt;$K$3,"T",IF(INDEX($M$4:$M$2003,MATCH($Q2201+1,$P$4:$P$2003,0))&lt;&gt;INDEX($M$4:$M$2003,MATCH($Q2201,$P$4:$P$2003,0)),"B","S"))))</f>
        <v/>
      </c>
      <c r="S2202">
        <f>IF(Q2202="","",IFERROR(MATCH(Q2202,$P$4:$P$2003,0),""))</f>
        <v/>
      </c>
    </row>
    <row r="2203">
      <c r="A2203" s="4">
        <f>IF($R2203="","",IF($R2203="T","Gesamtergebnis",IF($R2203="B",INDEX($M$4:$M$2003,$S2203),INDEX($L$4:$L$2003,$S2203))))</f>
        <v/>
      </c>
      <c r="B2203" s="4">
        <f>IF($R2203="","",IF($R2203="T",$K$3,IF($R2203="B",COUNTIFS($M$4:$M$2003,INDEX($M$4:$M$2003,$S2203),$N$4:$N$2003,1),1)))</f>
        <v/>
      </c>
      <c r="Q2203">
        <f>IF(OR($R2202="",$R2202="T"),"",IF($R2202="B",$Q2202,IF($Q2202+1&gt;$K$3,"",$Q2202+1)))</f>
        <v/>
      </c>
      <c r="R2203">
        <f>IF(OR($R2202="",$R2202="T"),"",IF($R2202="B","S",IF($Q2202+1&gt;$K$3,"T",IF(INDEX($M$4:$M$2003,MATCH($Q2202+1,$P$4:$P$2003,0))&lt;&gt;INDEX($M$4:$M$2003,MATCH($Q2202,$P$4:$P$2003,0)),"B","S"))))</f>
        <v/>
      </c>
      <c r="S2203">
        <f>IF(Q2203="","",IFERROR(MATCH(Q2203,$P$4:$P$2003,0),""))</f>
        <v/>
      </c>
    </row>
    <row r="2204">
      <c r="A2204" s="4">
        <f>IF($R2204="","",IF($R2204="T","Gesamtergebnis",IF($R2204="B",INDEX($M$4:$M$2003,$S2204),INDEX($L$4:$L$2003,$S2204))))</f>
        <v/>
      </c>
      <c r="B2204" s="4">
        <f>IF($R2204="","",IF($R2204="T",$K$3,IF($R2204="B",COUNTIFS($M$4:$M$2003,INDEX($M$4:$M$2003,$S2204),$N$4:$N$2003,1),1)))</f>
        <v/>
      </c>
      <c r="Q2204">
        <f>IF(OR($R2203="",$R2203="T"),"",IF($R2203="B",$Q2203,IF($Q2203+1&gt;$K$3,"",$Q2203+1)))</f>
        <v/>
      </c>
      <c r="R2204">
        <f>IF(OR($R2203="",$R2203="T"),"",IF($R2203="B","S",IF($Q2203+1&gt;$K$3,"T",IF(INDEX($M$4:$M$2003,MATCH($Q2203+1,$P$4:$P$2003,0))&lt;&gt;INDEX($M$4:$M$2003,MATCH($Q2203,$P$4:$P$2003,0)),"B","S"))))</f>
        <v/>
      </c>
      <c r="S2204">
        <f>IF(Q2204="","",IFERROR(MATCH(Q2204,$P$4:$P$2003,0),""))</f>
        <v/>
      </c>
    </row>
    <row r="2205">
      <c r="A2205" s="4">
        <f>IF($R2205="","",IF($R2205="T","Gesamtergebnis",IF($R2205="B",INDEX($M$4:$M$2003,$S2205),INDEX($L$4:$L$2003,$S2205))))</f>
        <v/>
      </c>
      <c r="B2205" s="4">
        <f>IF($R2205="","",IF($R2205="T",$K$3,IF($R2205="B",COUNTIFS($M$4:$M$2003,INDEX($M$4:$M$2003,$S2205),$N$4:$N$2003,1),1)))</f>
        <v/>
      </c>
      <c r="Q2205">
        <f>IF(OR($R2204="",$R2204="T"),"",IF($R2204="B",$Q2204,IF($Q2204+1&gt;$K$3,"",$Q2204+1)))</f>
        <v/>
      </c>
      <c r="R2205">
        <f>IF(OR($R2204="",$R2204="T"),"",IF($R2204="B","S",IF($Q2204+1&gt;$K$3,"T",IF(INDEX($M$4:$M$2003,MATCH($Q2204+1,$P$4:$P$2003,0))&lt;&gt;INDEX($M$4:$M$2003,MATCH($Q2204,$P$4:$P$2003,0)),"B","S"))))</f>
        <v/>
      </c>
      <c r="S2205">
        <f>IF(Q2205="","",IFERROR(MATCH(Q2205,$P$4:$P$2003,0),""))</f>
        <v/>
      </c>
    </row>
    <row r="2206">
      <c r="A2206" s="4">
        <f>IF($R2206="","",IF($R2206="T","Gesamtergebnis",IF($R2206="B",INDEX($M$4:$M$2003,$S2206),INDEX($L$4:$L$2003,$S2206))))</f>
        <v/>
      </c>
      <c r="B2206" s="4">
        <f>IF($R2206="","",IF($R2206="T",$K$3,IF($R2206="B",COUNTIFS($M$4:$M$2003,INDEX($M$4:$M$2003,$S2206),$N$4:$N$2003,1),1)))</f>
        <v/>
      </c>
      <c r="Q2206">
        <f>IF(OR($R2205="",$R2205="T"),"",IF($R2205="B",$Q2205,IF($Q2205+1&gt;$K$3,"",$Q2205+1)))</f>
        <v/>
      </c>
      <c r="R2206">
        <f>IF(OR($R2205="",$R2205="T"),"",IF($R2205="B","S",IF($Q2205+1&gt;$K$3,"T",IF(INDEX($M$4:$M$2003,MATCH($Q2205+1,$P$4:$P$2003,0))&lt;&gt;INDEX($M$4:$M$2003,MATCH($Q2205,$P$4:$P$2003,0)),"B","S"))))</f>
        <v/>
      </c>
      <c r="S2206">
        <f>IF(Q2206="","",IFERROR(MATCH(Q2206,$P$4:$P$2003,0),""))</f>
        <v/>
      </c>
    </row>
    <row r="2207">
      <c r="A2207" s="4">
        <f>IF($R2207="","",IF($R2207="T","Gesamtergebnis",IF($R2207="B",INDEX($M$4:$M$2003,$S2207),INDEX($L$4:$L$2003,$S2207))))</f>
        <v/>
      </c>
      <c r="B2207" s="4">
        <f>IF($R2207="","",IF($R2207="T",$K$3,IF($R2207="B",COUNTIFS($M$4:$M$2003,INDEX($M$4:$M$2003,$S2207),$N$4:$N$2003,1),1)))</f>
        <v/>
      </c>
      <c r="Q2207">
        <f>IF(OR($R2206="",$R2206="T"),"",IF($R2206="B",$Q2206,IF($Q2206+1&gt;$K$3,"",$Q2206+1)))</f>
        <v/>
      </c>
      <c r="R2207">
        <f>IF(OR($R2206="",$R2206="T"),"",IF($R2206="B","S",IF($Q2206+1&gt;$K$3,"T",IF(INDEX($M$4:$M$2003,MATCH($Q2206+1,$P$4:$P$2003,0))&lt;&gt;INDEX($M$4:$M$2003,MATCH($Q2206,$P$4:$P$2003,0)),"B","S"))))</f>
        <v/>
      </c>
      <c r="S2207">
        <f>IF(Q2207="","",IFERROR(MATCH(Q2207,$P$4:$P$2003,0),""))</f>
        <v/>
      </c>
    </row>
    <row r="2208">
      <c r="A2208" s="4">
        <f>IF($R2208="","",IF($R2208="T","Gesamtergebnis",IF($R2208="B",INDEX($M$4:$M$2003,$S2208),INDEX($L$4:$L$2003,$S2208))))</f>
        <v/>
      </c>
      <c r="B2208" s="4">
        <f>IF($R2208="","",IF($R2208="T",$K$3,IF($R2208="B",COUNTIFS($M$4:$M$2003,INDEX($M$4:$M$2003,$S2208),$N$4:$N$2003,1),1)))</f>
        <v/>
      </c>
      <c r="Q2208">
        <f>IF(OR($R2207="",$R2207="T"),"",IF($R2207="B",$Q2207,IF($Q2207+1&gt;$K$3,"",$Q2207+1)))</f>
        <v/>
      </c>
      <c r="R2208">
        <f>IF(OR($R2207="",$R2207="T"),"",IF($R2207="B","S",IF($Q2207+1&gt;$K$3,"T",IF(INDEX($M$4:$M$2003,MATCH($Q2207+1,$P$4:$P$2003,0))&lt;&gt;INDEX($M$4:$M$2003,MATCH($Q2207,$P$4:$P$2003,0)),"B","S"))))</f>
        <v/>
      </c>
      <c r="S2208">
        <f>IF(Q2208="","",IFERROR(MATCH(Q2208,$P$4:$P$2003,0),""))</f>
        <v/>
      </c>
    </row>
    <row r="2209">
      <c r="A2209" s="4">
        <f>IF($R2209="","",IF($R2209="T","Gesamtergebnis",IF($R2209="B",INDEX($M$4:$M$2003,$S2209),INDEX($L$4:$L$2003,$S2209))))</f>
        <v/>
      </c>
      <c r="B2209" s="4">
        <f>IF($R2209="","",IF($R2209="T",$K$3,IF($R2209="B",COUNTIFS($M$4:$M$2003,INDEX($M$4:$M$2003,$S2209),$N$4:$N$2003,1),1)))</f>
        <v/>
      </c>
      <c r="Q2209">
        <f>IF(OR($R2208="",$R2208="T"),"",IF($R2208="B",$Q2208,IF($Q2208+1&gt;$K$3,"",$Q2208+1)))</f>
        <v/>
      </c>
      <c r="R2209">
        <f>IF(OR($R2208="",$R2208="T"),"",IF($R2208="B","S",IF($Q2208+1&gt;$K$3,"T",IF(INDEX($M$4:$M$2003,MATCH($Q2208+1,$P$4:$P$2003,0))&lt;&gt;INDEX($M$4:$M$2003,MATCH($Q2208,$P$4:$P$2003,0)),"B","S"))))</f>
        <v/>
      </c>
      <c r="S2209">
        <f>IF(Q2209="","",IFERROR(MATCH(Q2209,$P$4:$P$2003,0),""))</f>
        <v/>
      </c>
    </row>
    <row r="2210">
      <c r="A2210" s="4">
        <f>IF($R2210="","",IF($R2210="T","Gesamtergebnis",IF($R2210="B",INDEX($M$4:$M$2003,$S2210),INDEX($L$4:$L$2003,$S2210))))</f>
        <v/>
      </c>
      <c r="B2210" s="4">
        <f>IF($R2210="","",IF($R2210="T",$K$3,IF($R2210="B",COUNTIFS($M$4:$M$2003,INDEX($M$4:$M$2003,$S2210),$N$4:$N$2003,1),1)))</f>
        <v/>
      </c>
      <c r="Q2210">
        <f>IF(OR($R2209="",$R2209="T"),"",IF($R2209="B",$Q2209,IF($Q2209+1&gt;$K$3,"",$Q2209+1)))</f>
        <v/>
      </c>
      <c r="R2210">
        <f>IF(OR($R2209="",$R2209="T"),"",IF($R2209="B","S",IF($Q2209+1&gt;$K$3,"T",IF(INDEX($M$4:$M$2003,MATCH($Q2209+1,$P$4:$P$2003,0))&lt;&gt;INDEX($M$4:$M$2003,MATCH($Q2209,$P$4:$P$2003,0)),"B","S"))))</f>
        <v/>
      </c>
      <c r="S2210">
        <f>IF(Q2210="","",IFERROR(MATCH(Q2210,$P$4:$P$2003,0),""))</f>
        <v/>
      </c>
    </row>
    <row r="2211">
      <c r="A2211" s="4">
        <f>IF($R2211="","",IF($R2211="T","Gesamtergebnis",IF($R2211="B",INDEX($M$4:$M$2003,$S2211),INDEX($L$4:$L$2003,$S2211))))</f>
        <v/>
      </c>
      <c r="B2211" s="4">
        <f>IF($R2211="","",IF($R2211="T",$K$3,IF($R2211="B",COUNTIFS($M$4:$M$2003,INDEX($M$4:$M$2003,$S2211),$N$4:$N$2003,1),1)))</f>
        <v/>
      </c>
      <c r="Q2211">
        <f>IF(OR($R2210="",$R2210="T"),"",IF($R2210="B",$Q2210,IF($Q2210+1&gt;$K$3,"",$Q2210+1)))</f>
        <v/>
      </c>
      <c r="R2211">
        <f>IF(OR($R2210="",$R2210="T"),"",IF($R2210="B","S",IF($Q2210+1&gt;$K$3,"T",IF(INDEX($M$4:$M$2003,MATCH($Q2210+1,$P$4:$P$2003,0))&lt;&gt;INDEX($M$4:$M$2003,MATCH($Q2210,$P$4:$P$2003,0)),"B","S"))))</f>
        <v/>
      </c>
      <c r="S2211">
        <f>IF(Q2211="","",IFERROR(MATCH(Q2211,$P$4:$P$2003,0),""))</f>
        <v/>
      </c>
    </row>
    <row r="2212">
      <c r="A2212" s="4">
        <f>IF($R2212="","",IF($R2212="T","Gesamtergebnis",IF($R2212="B",INDEX($M$4:$M$2003,$S2212),INDEX($L$4:$L$2003,$S2212))))</f>
        <v/>
      </c>
      <c r="B2212" s="4">
        <f>IF($R2212="","",IF($R2212="T",$K$3,IF($R2212="B",COUNTIFS($M$4:$M$2003,INDEX($M$4:$M$2003,$S2212),$N$4:$N$2003,1),1)))</f>
        <v/>
      </c>
      <c r="Q2212">
        <f>IF(OR($R2211="",$R2211="T"),"",IF($R2211="B",$Q2211,IF($Q2211+1&gt;$K$3,"",$Q2211+1)))</f>
        <v/>
      </c>
      <c r="R2212">
        <f>IF(OR($R2211="",$R2211="T"),"",IF($R2211="B","S",IF($Q2211+1&gt;$K$3,"T",IF(INDEX($M$4:$M$2003,MATCH($Q2211+1,$P$4:$P$2003,0))&lt;&gt;INDEX($M$4:$M$2003,MATCH($Q2211,$P$4:$P$2003,0)),"B","S"))))</f>
        <v/>
      </c>
      <c r="S2212">
        <f>IF(Q2212="","",IFERROR(MATCH(Q2212,$P$4:$P$2003,0),""))</f>
        <v/>
      </c>
    </row>
    <row r="2213">
      <c r="A2213" s="4">
        <f>IF($R2213="","",IF($R2213="T","Gesamtergebnis",IF($R2213="B",INDEX($M$4:$M$2003,$S2213),INDEX($L$4:$L$2003,$S2213))))</f>
        <v/>
      </c>
      <c r="B2213" s="4">
        <f>IF($R2213="","",IF($R2213="T",$K$3,IF($R2213="B",COUNTIFS($M$4:$M$2003,INDEX($M$4:$M$2003,$S2213),$N$4:$N$2003,1),1)))</f>
        <v/>
      </c>
      <c r="Q2213">
        <f>IF(OR($R2212="",$R2212="T"),"",IF($R2212="B",$Q2212,IF($Q2212+1&gt;$K$3,"",$Q2212+1)))</f>
        <v/>
      </c>
      <c r="R2213">
        <f>IF(OR($R2212="",$R2212="T"),"",IF($R2212="B","S",IF($Q2212+1&gt;$K$3,"T",IF(INDEX($M$4:$M$2003,MATCH($Q2212+1,$P$4:$P$2003,0))&lt;&gt;INDEX($M$4:$M$2003,MATCH($Q2212,$P$4:$P$2003,0)),"B","S"))))</f>
        <v/>
      </c>
      <c r="S2213">
        <f>IF(Q2213="","",IFERROR(MATCH(Q2213,$P$4:$P$2003,0),""))</f>
        <v/>
      </c>
    </row>
    <row r="2214">
      <c r="A2214" s="4">
        <f>IF($R2214="","",IF($R2214="T","Gesamtergebnis",IF($R2214="B",INDEX($M$4:$M$2003,$S2214),INDEX($L$4:$L$2003,$S2214))))</f>
        <v/>
      </c>
      <c r="B2214" s="4">
        <f>IF($R2214="","",IF($R2214="T",$K$3,IF($R2214="B",COUNTIFS($M$4:$M$2003,INDEX($M$4:$M$2003,$S2214),$N$4:$N$2003,1),1)))</f>
        <v/>
      </c>
      <c r="Q2214">
        <f>IF(OR($R2213="",$R2213="T"),"",IF($R2213="B",$Q2213,IF($Q2213+1&gt;$K$3,"",$Q2213+1)))</f>
        <v/>
      </c>
      <c r="R2214">
        <f>IF(OR($R2213="",$R2213="T"),"",IF($R2213="B","S",IF($Q2213+1&gt;$K$3,"T",IF(INDEX($M$4:$M$2003,MATCH($Q2213+1,$P$4:$P$2003,0))&lt;&gt;INDEX($M$4:$M$2003,MATCH($Q2213,$P$4:$P$2003,0)),"B","S"))))</f>
        <v/>
      </c>
      <c r="S2214">
        <f>IF(Q2214="","",IFERROR(MATCH(Q2214,$P$4:$P$2003,0),""))</f>
        <v/>
      </c>
    </row>
    <row r="2215">
      <c r="A2215" s="4">
        <f>IF($R2215="","",IF($R2215="T","Gesamtergebnis",IF($R2215="B",INDEX($M$4:$M$2003,$S2215),INDEX($L$4:$L$2003,$S2215))))</f>
        <v/>
      </c>
      <c r="B2215" s="4">
        <f>IF($R2215="","",IF($R2215="T",$K$3,IF($R2215="B",COUNTIFS($M$4:$M$2003,INDEX($M$4:$M$2003,$S2215),$N$4:$N$2003,1),1)))</f>
        <v/>
      </c>
      <c r="Q2215">
        <f>IF(OR($R2214="",$R2214="T"),"",IF($R2214="B",$Q2214,IF($Q2214+1&gt;$K$3,"",$Q2214+1)))</f>
        <v/>
      </c>
      <c r="R2215">
        <f>IF(OR($R2214="",$R2214="T"),"",IF($R2214="B","S",IF($Q2214+1&gt;$K$3,"T",IF(INDEX($M$4:$M$2003,MATCH($Q2214+1,$P$4:$P$2003,0))&lt;&gt;INDEX($M$4:$M$2003,MATCH($Q2214,$P$4:$P$2003,0)),"B","S"))))</f>
        <v/>
      </c>
      <c r="S2215">
        <f>IF(Q2215="","",IFERROR(MATCH(Q2215,$P$4:$P$2003,0),""))</f>
        <v/>
      </c>
    </row>
    <row r="2216">
      <c r="A2216" s="4">
        <f>IF($R2216="","",IF($R2216="T","Gesamtergebnis",IF($R2216="B",INDEX($M$4:$M$2003,$S2216),INDEX($L$4:$L$2003,$S2216))))</f>
        <v/>
      </c>
      <c r="B2216" s="4">
        <f>IF($R2216="","",IF($R2216="T",$K$3,IF($R2216="B",COUNTIFS($M$4:$M$2003,INDEX($M$4:$M$2003,$S2216),$N$4:$N$2003,1),1)))</f>
        <v/>
      </c>
      <c r="Q2216">
        <f>IF(OR($R2215="",$R2215="T"),"",IF($R2215="B",$Q2215,IF($Q2215+1&gt;$K$3,"",$Q2215+1)))</f>
        <v/>
      </c>
      <c r="R2216">
        <f>IF(OR($R2215="",$R2215="T"),"",IF($R2215="B","S",IF($Q2215+1&gt;$K$3,"T",IF(INDEX($M$4:$M$2003,MATCH($Q2215+1,$P$4:$P$2003,0))&lt;&gt;INDEX($M$4:$M$2003,MATCH($Q2215,$P$4:$P$2003,0)),"B","S"))))</f>
        <v/>
      </c>
      <c r="S2216">
        <f>IF(Q2216="","",IFERROR(MATCH(Q2216,$P$4:$P$2003,0),""))</f>
        <v/>
      </c>
    </row>
    <row r="2217">
      <c r="A2217" s="4">
        <f>IF($R2217="","",IF($R2217="T","Gesamtergebnis",IF($R2217="B",INDEX($M$4:$M$2003,$S2217),INDEX($L$4:$L$2003,$S2217))))</f>
        <v/>
      </c>
      <c r="B2217" s="4">
        <f>IF($R2217="","",IF($R2217="T",$K$3,IF($R2217="B",COUNTIFS($M$4:$M$2003,INDEX($M$4:$M$2003,$S2217),$N$4:$N$2003,1),1)))</f>
        <v/>
      </c>
      <c r="Q2217">
        <f>IF(OR($R2216="",$R2216="T"),"",IF($R2216="B",$Q2216,IF($Q2216+1&gt;$K$3,"",$Q2216+1)))</f>
        <v/>
      </c>
      <c r="R2217">
        <f>IF(OR($R2216="",$R2216="T"),"",IF($R2216="B","S",IF($Q2216+1&gt;$K$3,"T",IF(INDEX($M$4:$M$2003,MATCH($Q2216+1,$P$4:$P$2003,0))&lt;&gt;INDEX($M$4:$M$2003,MATCH($Q2216,$P$4:$P$2003,0)),"B","S"))))</f>
        <v/>
      </c>
      <c r="S2217">
        <f>IF(Q2217="","",IFERROR(MATCH(Q2217,$P$4:$P$2003,0),""))</f>
        <v/>
      </c>
    </row>
    <row r="2218">
      <c r="A2218" s="4">
        <f>IF($R2218="","",IF($R2218="T","Gesamtergebnis",IF($R2218="B",INDEX($M$4:$M$2003,$S2218),INDEX($L$4:$L$2003,$S2218))))</f>
        <v/>
      </c>
      <c r="B2218" s="4">
        <f>IF($R2218="","",IF($R2218="T",$K$3,IF($R2218="B",COUNTIFS($M$4:$M$2003,INDEX($M$4:$M$2003,$S2218),$N$4:$N$2003,1),1)))</f>
        <v/>
      </c>
      <c r="Q2218">
        <f>IF(OR($R2217="",$R2217="T"),"",IF($R2217="B",$Q2217,IF($Q2217+1&gt;$K$3,"",$Q2217+1)))</f>
        <v/>
      </c>
      <c r="R2218">
        <f>IF(OR($R2217="",$R2217="T"),"",IF($R2217="B","S",IF($Q2217+1&gt;$K$3,"T",IF(INDEX($M$4:$M$2003,MATCH($Q2217+1,$P$4:$P$2003,0))&lt;&gt;INDEX($M$4:$M$2003,MATCH($Q2217,$P$4:$P$2003,0)),"B","S"))))</f>
        <v/>
      </c>
      <c r="S2218">
        <f>IF(Q2218="","",IFERROR(MATCH(Q2218,$P$4:$P$2003,0),""))</f>
        <v/>
      </c>
    </row>
    <row r="2219">
      <c r="A2219" s="4">
        <f>IF($R2219="","",IF($R2219="T","Gesamtergebnis",IF($R2219="B",INDEX($M$4:$M$2003,$S2219),INDEX($L$4:$L$2003,$S2219))))</f>
        <v/>
      </c>
      <c r="B2219" s="4">
        <f>IF($R2219="","",IF($R2219="T",$K$3,IF($R2219="B",COUNTIFS($M$4:$M$2003,INDEX($M$4:$M$2003,$S2219),$N$4:$N$2003,1),1)))</f>
        <v/>
      </c>
      <c r="Q2219">
        <f>IF(OR($R2218="",$R2218="T"),"",IF($R2218="B",$Q2218,IF($Q2218+1&gt;$K$3,"",$Q2218+1)))</f>
        <v/>
      </c>
      <c r="R2219">
        <f>IF(OR($R2218="",$R2218="T"),"",IF($R2218="B","S",IF($Q2218+1&gt;$K$3,"T",IF(INDEX($M$4:$M$2003,MATCH($Q2218+1,$P$4:$P$2003,0))&lt;&gt;INDEX($M$4:$M$2003,MATCH($Q2218,$P$4:$P$2003,0)),"B","S"))))</f>
        <v/>
      </c>
      <c r="S2219">
        <f>IF(Q2219="","",IFERROR(MATCH(Q2219,$P$4:$P$2003,0),""))</f>
        <v/>
      </c>
    </row>
    <row r="2220">
      <c r="A2220" s="4">
        <f>IF($R2220="","",IF($R2220="T","Gesamtergebnis",IF($R2220="B",INDEX($M$4:$M$2003,$S2220),INDEX($L$4:$L$2003,$S2220))))</f>
        <v/>
      </c>
      <c r="B2220" s="4">
        <f>IF($R2220="","",IF($R2220="T",$K$3,IF($R2220="B",COUNTIFS($M$4:$M$2003,INDEX($M$4:$M$2003,$S2220),$N$4:$N$2003,1),1)))</f>
        <v/>
      </c>
      <c r="Q2220">
        <f>IF(OR($R2219="",$R2219="T"),"",IF($R2219="B",$Q2219,IF($Q2219+1&gt;$K$3,"",$Q2219+1)))</f>
        <v/>
      </c>
      <c r="R2220">
        <f>IF(OR($R2219="",$R2219="T"),"",IF($R2219="B","S",IF($Q2219+1&gt;$K$3,"T",IF(INDEX($M$4:$M$2003,MATCH($Q2219+1,$P$4:$P$2003,0))&lt;&gt;INDEX($M$4:$M$2003,MATCH($Q2219,$P$4:$P$2003,0)),"B","S"))))</f>
        <v/>
      </c>
      <c r="S2220">
        <f>IF(Q2220="","",IFERROR(MATCH(Q2220,$P$4:$P$2003,0),""))</f>
        <v/>
      </c>
    </row>
    <row r="2221">
      <c r="A2221" s="4">
        <f>IF($R2221="","",IF($R2221="T","Gesamtergebnis",IF($R2221="B",INDEX($M$4:$M$2003,$S2221),INDEX($L$4:$L$2003,$S2221))))</f>
        <v/>
      </c>
      <c r="B2221" s="4">
        <f>IF($R2221="","",IF($R2221="T",$K$3,IF($R2221="B",COUNTIFS($M$4:$M$2003,INDEX($M$4:$M$2003,$S2221),$N$4:$N$2003,1),1)))</f>
        <v/>
      </c>
      <c r="Q2221">
        <f>IF(OR($R2220="",$R2220="T"),"",IF($R2220="B",$Q2220,IF($Q2220+1&gt;$K$3,"",$Q2220+1)))</f>
        <v/>
      </c>
      <c r="R2221">
        <f>IF(OR($R2220="",$R2220="T"),"",IF($R2220="B","S",IF($Q2220+1&gt;$K$3,"T",IF(INDEX($M$4:$M$2003,MATCH($Q2220+1,$P$4:$P$2003,0))&lt;&gt;INDEX($M$4:$M$2003,MATCH($Q2220,$P$4:$P$2003,0)),"B","S"))))</f>
        <v/>
      </c>
      <c r="S2221">
        <f>IF(Q2221="","",IFERROR(MATCH(Q2221,$P$4:$P$2003,0),""))</f>
        <v/>
      </c>
    </row>
    <row r="2222">
      <c r="A2222" s="4">
        <f>IF($R2222="","",IF($R2222="T","Gesamtergebnis",IF($R2222="B",INDEX($M$4:$M$2003,$S2222),INDEX($L$4:$L$2003,$S2222))))</f>
        <v/>
      </c>
      <c r="B2222" s="4">
        <f>IF($R2222="","",IF($R2222="T",$K$3,IF($R2222="B",COUNTIFS($M$4:$M$2003,INDEX($M$4:$M$2003,$S2222),$N$4:$N$2003,1),1)))</f>
        <v/>
      </c>
      <c r="Q2222">
        <f>IF(OR($R2221="",$R2221="T"),"",IF($R2221="B",$Q2221,IF($Q2221+1&gt;$K$3,"",$Q2221+1)))</f>
        <v/>
      </c>
      <c r="R2222">
        <f>IF(OR($R2221="",$R2221="T"),"",IF($R2221="B","S",IF($Q2221+1&gt;$K$3,"T",IF(INDEX($M$4:$M$2003,MATCH($Q2221+1,$P$4:$P$2003,0))&lt;&gt;INDEX($M$4:$M$2003,MATCH($Q2221,$P$4:$P$2003,0)),"B","S"))))</f>
        <v/>
      </c>
      <c r="S2222">
        <f>IF(Q2222="","",IFERROR(MATCH(Q2222,$P$4:$P$2003,0),""))</f>
        <v/>
      </c>
    </row>
    <row r="2223">
      <c r="A2223" s="4">
        <f>IF($R2223="","",IF($R2223="T","Gesamtergebnis",IF($R2223="B",INDEX($M$4:$M$2003,$S2223),INDEX($L$4:$L$2003,$S2223))))</f>
        <v/>
      </c>
      <c r="B2223" s="4">
        <f>IF($R2223="","",IF($R2223="T",$K$3,IF($R2223="B",COUNTIFS($M$4:$M$2003,INDEX($M$4:$M$2003,$S2223),$N$4:$N$2003,1),1)))</f>
        <v/>
      </c>
      <c r="Q2223">
        <f>IF(OR($R2222="",$R2222="T"),"",IF($R2222="B",$Q2222,IF($Q2222+1&gt;$K$3,"",$Q2222+1)))</f>
        <v/>
      </c>
      <c r="R2223">
        <f>IF(OR($R2222="",$R2222="T"),"",IF($R2222="B","S",IF($Q2222+1&gt;$K$3,"T",IF(INDEX($M$4:$M$2003,MATCH($Q2222+1,$P$4:$P$2003,0))&lt;&gt;INDEX($M$4:$M$2003,MATCH($Q2222,$P$4:$P$2003,0)),"B","S"))))</f>
        <v/>
      </c>
      <c r="S2223">
        <f>IF(Q2223="","",IFERROR(MATCH(Q2223,$P$4:$P$2003,0),""))</f>
        <v/>
      </c>
    </row>
    <row r="2224">
      <c r="A2224" s="4">
        <f>IF($R2224="","",IF($R2224="T","Gesamtergebnis",IF($R2224="B",INDEX($M$4:$M$2003,$S2224),INDEX($L$4:$L$2003,$S2224))))</f>
        <v/>
      </c>
      <c r="B2224" s="4">
        <f>IF($R2224="","",IF($R2224="T",$K$3,IF($R2224="B",COUNTIFS($M$4:$M$2003,INDEX($M$4:$M$2003,$S2224),$N$4:$N$2003,1),1)))</f>
        <v/>
      </c>
      <c r="Q2224">
        <f>IF(OR($R2223="",$R2223="T"),"",IF($R2223="B",$Q2223,IF($Q2223+1&gt;$K$3,"",$Q2223+1)))</f>
        <v/>
      </c>
      <c r="R2224">
        <f>IF(OR($R2223="",$R2223="T"),"",IF($R2223="B","S",IF($Q2223+1&gt;$K$3,"T",IF(INDEX($M$4:$M$2003,MATCH($Q2223+1,$P$4:$P$2003,0))&lt;&gt;INDEX($M$4:$M$2003,MATCH($Q2223,$P$4:$P$2003,0)),"B","S"))))</f>
        <v/>
      </c>
      <c r="S2224">
        <f>IF(Q2224="","",IFERROR(MATCH(Q2224,$P$4:$P$2003,0),""))</f>
        <v/>
      </c>
    </row>
    <row r="2225">
      <c r="A2225" s="4">
        <f>IF($R2225="","",IF($R2225="T","Gesamtergebnis",IF($R2225="B",INDEX($M$4:$M$2003,$S2225),INDEX($L$4:$L$2003,$S2225))))</f>
        <v/>
      </c>
      <c r="B2225" s="4">
        <f>IF($R2225="","",IF($R2225="T",$K$3,IF($R2225="B",COUNTIFS($M$4:$M$2003,INDEX($M$4:$M$2003,$S2225),$N$4:$N$2003,1),1)))</f>
        <v/>
      </c>
      <c r="Q2225">
        <f>IF(OR($R2224="",$R2224="T"),"",IF($R2224="B",$Q2224,IF($Q2224+1&gt;$K$3,"",$Q2224+1)))</f>
        <v/>
      </c>
      <c r="R2225">
        <f>IF(OR($R2224="",$R2224="T"),"",IF($R2224="B","S",IF($Q2224+1&gt;$K$3,"T",IF(INDEX($M$4:$M$2003,MATCH($Q2224+1,$P$4:$P$2003,0))&lt;&gt;INDEX($M$4:$M$2003,MATCH($Q2224,$P$4:$P$2003,0)),"B","S"))))</f>
        <v/>
      </c>
      <c r="S2225">
        <f>IF(Q2225="","",IFERROR(MATCH(Q2225,$P$4:$P$2003,0),""))</f>
        <v/>
      </c>
    </row>
    <row r="2226">
      <c r="A2226" s="4">
        <f>IF($R2226="","",IF($R2226="T","Gesamtergebnis",IF($R2226="B",INDEX($M$4:$M$2003,$S2226),INDEX($L$4:$L$2003,$S2226))))</f>
        <v/>
      </c>
      <c r="B2226" s="4">
        <f>IF($R2226="","",IF($R2226="T",$K$3,IF($R2226="B",COUNTIFS($M$4:$M$2003,INDEX($M$4:$M$2003,$S2226),$N$4:$N$2003,1),1)))</f>
        <v/>
      </c>
      <c r="Q2226">
        <f>IF(OR($R2225="",$R2225="T"),"",IF($R2225="B",$Q2225,IF($Q2225+1&gt;$K$3,"",$Q2225+1)))</f>
        <v/>
      </c>
      <c r="R2226">
        <f>IF(OR($R2225="",$R2225="T"),"",IF($R2225="B","S",IF($Q2225+1&gt;$K$3,"T",IF(INDEX($M$4:$M$2003,MATCH($Q2225+1,$P$4:$P$2003,0))&lt;&gt;INDEX($M$4:$M$2003,MATCH($Q2225,$P$4:$P$2003,0)),"B","S"))))</f>
        <v/>
      </c>
      <c r="S2226">
        <f>IF(Q2226="","",IFERROR(MATCH(Q2226,$P$4:$P$2003,0),""))</f>
        <v/>
      </c>
    </row>
    <row r="2227">
      <c r="A2227" s="4">
        <f>IF($R2227="","",IF($R2227="T","Gesamtergebnis",IF($R2227="B",INDEX($M$4:$M$2003,$S2227),INDEX($L$4:$L$2003,$S2227))))</f>
        <v/>
      </c>
      <c r="B2227" s="4">
        <f>IF($R2227="","",IF($R2227="T",$K$3,IF($R2227="B",COUNTIFS($M$4:$M$2003,INDEX($M$4:$M$2003,$S2227),$N$4:$N$2003,1),1)))</f>
        <v/>
      </c>
      <c r="Q2227">
        <f>IF(OR($R2226="",$R2226="T"),"",IF($R2226="B",$Q2226,IF($Q2226+1&gt;$K$3,"",$Q2226+1)))</f>
        <v/>
      </c>
      <c r="R2227">
        <f>IF(OR($R2226="",$R2226="T"),"",IF($R2226="B","S",IF($Q2226+1&gt;$K$3,"T",IF(INDEX($M$4:$M$2003,MATCH($Q2226+1,$P$4:$P$2003,0))&lt;&gt;INDEX($M$4:$M$2003,MATCH($Q2226,$P$4:$P$2003,0)),"B","S"))))</f>
        <v/>
      </c>
      <c r="S2227">
        <f>IF(Q2227="","",IFERROR(MATCH(Q2227,$P$4:$P$2003,0),""))</f>
        <v/>
      </c>
    </row>
    <row r="2228">
      <c r="A2228" s="4">
        <f>IF($R2228="","",IF($R2228="T","Gesamtergebnis",IF($R2228="B",INDEX($M$4:$M$2003,$S2228),INDEX($L$4:$L$2003,$S2228))))</f>
        <v/>
      </c>
      <c r="B2228" s="4">
        <f>IF($R2228="","",IF($R2228="T",$K$3,IF($R2228="B",COUNTIFS($M$4:$M$2003,INDEX($M$4:$M$2003,$S2228),$N$4:$N$2003,1),1)))</f>
        <v/>
      </c>
      <c r="Q2228">
        <f>IF(OR($R2227="",$R2227="T"),"",IF($R2227="B",$Q2227,IF($Q2227+1&gt;$K$3,"",$Q2227+1)))</f>
        <v/>
      </c>
      <c r="R2228">
        <f>IF(OR($R2227="",$R2227="T"),"",IF($R2227="B","S",IF($Q2227+1&gt;$K$3,"T",IF(INDEX($M$4:$M$2003,MATCH($Q2227+1,$P$4:$P$2003,0))&lt;&gt;INDEX($M$4:$M$2003,MATCH($Q2227,$P$4:$P$2003,0)),"B","S"))))</f>
        <v/>
      </c>
      <c r="S2228">
        <f>IF(Q2228="","",IFERROR(MATCH(Q2228,$P$4:$P$2003,0),""))</f>
        <v/>
      </c>
    </row>
    <row r="2229">
      <c r="A2229" s="4">
        <f>IF($R2229="","",IF($R2229="T","Gesamtergebnis",IF($R2229="B",INDEX($M$4:$M$2003,$S2229),INDEX($L$4:$L$2003,$S2229))))</f>
        <v/>
      </c>
      <c r="B2229" s="4">
        <f>IF($R2229="","",IF($R2229="T",$K$3,IF($R2229="B",COUNTIFS($M$4:$M$2003,INDEX($M$4:$M$2003,$S2229),$N$4:$N$2003,1),1)))</f>
        <v/>
      </c>
      <c r="Q2229">
        <f>IF(OR($R2228="",$R2228="T"),"",IF($R2228="B",$Q2228,IF($Q2228+1&gt;$K$3,"",$Q2228+1)))</f>
        <v/>
      </c>
      <c r="R2229">
        <f>IF(OR($R2228="",$R2228="T"),"",IF($R2228="B","S",IF($Q2228+1&gt;$K$3,"T",IF(INDEX($M$4:$M$2003,MATCH($Q2228+1,$P$4:$P$2003,0))&lt;&gt;INDEX($M$4:$M$2003,MATCH($Q2228,$P$4:$P$2003,0)),"B","S"))))</f>
        <v/>
      </c>
      <c r="S2229">
        <f>IF(Q2229="","",IFERROR(MATCH(Q2229,$P$4:$P$2003,0),""))</f>
        <v/>
      </c>
    </row>
    <row r="2230">
      <c r="A2230" s="4">
        <f>IF($R2230="","",IF($R2230="T","Gesamtergebnis",IF($R2230="B",INDEX($M$4:$M$2003,$S2230),INDEX($L$4:$L$2003,$S2230))))</f>
        <v/>
      </c>
      <c r="B2230" s="4">
        <f>IF($R2230="","",IF($R2230="T",$K$3,IF($R2230="B",COUNTIFS($M$4:$M$2003,INDEX($M$4:$M$2003,$S2230),$N$4:$N$2003,1),1)))</f>
        <v/>
      </c>
      <c r="Q2230">
        <f>IF(OR($R2229="",$R2229="T"),"",IF($R2229="B",$Q2229,IF($Q2229+1&gt;$K$3,"",$Q2229+1)))</f>
        <v/>
      </c>
      <c r="R2230">
        <f>IF(OR($R2229="",$R2229="T"),"",IF($R2229="B","S",IF($Q2229+1&gt;$K$3,"T",IF(INDEX($M$4:$M$2003,MATCH($Q2229+1,$P$4:$P$2003,0))&lt;&gt;INDEX($M$4:$M$2003,MATCH($Q2229,$P$4:$P$2003,0)),"B","S"))))</f>
        <v/>
      </c>
      <c r="S2230">
        <f>IF(Q2230="","",IFERROR(MATCH(Q2230,$P$4:$P$2003,0),""))</f>
        <v/>
      </c>
    </row>
    <row r="2231">
      <c r="A2231" s="4">
        <f>IF($R2231="","",IF($R2231="T","Gesamtergebnis",IF($R2231="B",INDEX($M$4:$M$2003,$S2231),INDEX($L$4:$L$2003,$S2231))))</f>
        <v/>
      </c>
      <c r="B2231" s="4">
        <f>IF($R2231="","",IF($R2231="T",$K$3,IF($R2231="B",COUNTIFS($M$4:$M$2003,INDEX($M$4:$M$2003,$S2231),$N$4:$N$2003,1),1)))</f>
        <v/>
      </c>
      <c r="Q2231">
        <f>IF(OR($R2230="",$R2230="T"),"",IF($R2230="B",$Q2230,IF($Q2230+1&gt;$K$3,"",$Q2230+1)))</f>
        <v/>
      </c>
      <c r="R2231">
        <f>IF(OR($R2230="",$R2230="T"),"",IF($R2230="B","S",IF($Q2230+1&gt;$K$3,"T",IF(INDEX($M$4:$M$2003,MATCH($Q2230+1,$P$4:$P$2003,0))&lt;&gt;INDEX($M$4:$M$2003,MATCH($Q2230,$P$4:$P$2003,0)),"B","S"))))</f>
        <v/>
      </c>
      <c r="S2231">
        <f>IF(Q2231="","",IFERROR(MATCH(Q2231,$P$4:$P$2003,0),""))</f>
        <v/>
      </c>
    </row>
    <row r="2232">
      <c r="A2232" s="4">
        <f>IF($R2232="","",IF($R2232="T","Gesamtergebnis",IF($R2232="B",INDEX($M$4:$M$2003,$S2232),INDEX($L$4:$L$2003,$S2232))))</f>
        <v/>
      </c>
      <c r="B2232" s="4">
        <f>IF($R2232="","",IF($R2232="T",$K$3,IF($R2232="B",COUNTIFS($M$4:$M$2003,INDEX($M$4:$M$2003,$S2232),$N$4:$N$2003,1),1)))</f>
        <v/>
      </c>
      <c r="Q2232">
        <f>IF(OR($R2231="",$R2231="T"),"",IF($R2231="B",$Q2231,IF($Q2231+1&gt;$K$3,"",$Q2231+1)))</f>
        <v/>
      </c>
      <c r="R2232">
        <f>IF(OR($R2231="",$R2231="T"),"",IF($R2231="B","S",IF($Q2231+1&gt;$K$3,"T",IF(INDEX($M$4:$M$2003,MATCH($Q2231+1,$P$4:$P$2003,0))&lt;&gt;INDEX($M$4:$M$2003,MATCH($Q2231,$P$4:$P$2003,0)),"B","S"))))</f>
        <v/>
      </c>
      <c r="S2232">
        <f>IF(Q2232="","",IFERROR(MATCH(Q2232,$P$4:$P$2003,0),""))</f>
        <v/>
      </c>
    </row>
    <row r="2233">
      <c r="A2233" s="4">
        <f>IF($R2233="","",IF($R2233="T","Gesamtergebnis",IF($R2233="B",INDEX($M$4:$M$2003,$S2233),INDEX($L$4:$L$2003,$S2233))))</f>
        <v/>
      </c>
      <c r="B2233" s="4">
        <f>IF($R2233="","",IF($R2233="T",$K$3,IF($R2233="B",COUNTIFS($M$4:$M$2003,INDEX($M$4:$M$2003,$S2233),$N$4:$N$2003,1),1)))</f>
        <v/>
      </c>
      <c r="Q2233">
        <f>IF(OR($R2232="",$R2232="T"),"",IF($R2232="B",$Q2232,IF($Q2232+1&gt;$K$3,"",$Q2232+1)))</f>
        <v/>
      </c>
      <c r="R2233">
        <f>IF(OR($R2232="",$R2232="T"),"",IF($R2232="B","S",IF($Q2232+1&gt;$K$3,"T",IF(INDEX($M$4:$M$2003,MATCH($Q2232+1,$P$4:$P$2003,0))&lt;&gt;INDEX($M$4:$M$2003,MATCH($Q2232,$P$4:$P$2003,0)),"B","S"))))</f>
        <v/>
      </c>
      <c r="S2233">
        <f>IF(Q2233="","",IFERROR(MATCH(Q2233,$P$4:$P$2003,0),""))</f>
        <v/>
      </c>
    </row>
    <row r="2234">
      <c r="A2234" s="4">
        <f>IF($R2234="","",IF($R2234="T","Gesamtergebnis",IF($R2234="B",INDEX($M$4:$M$2003,$S2234),INDEX($L$4:$L$2003,$S2234))))</f>
        <v/>
      </c>
      <c r="B2234" s="4">
        <f>IF($R2234="","",IF($R2234="T",$K$3,IF($R2234="B",COUNTIFS($M$4:$M$2003,INDEX($M$4:$M$2003,$S2234),$N$4:$N$2003,1),1)))</f>
        <v/>
      </c>
      <c r="Q2234">
        <f>IF(OR($R2233="",$R2233="T"),"",IF($R2233="B",$Q2233,IF($Q2233+1&gt;$K$3,"",$Q2233+1)))</f>
        <v/>
      </c>
      <c r="R2234">
        <f>IF(OR($R2233="",$R2233="T"),"",IF($R2233="B","S",IF($Q2233+1&gt;$K$3,"T",IF(INDEX($M$4:$M$2003,MATCH($Q2233+1,$P$4:$P$2003,0))&lt;&gt;INDEX($M$4:$M$2003,MATCH($Q2233,$P$4:$P$2003,0)),"B","S"))))</f>
        <v/>
      </c>
      <c r="S2234">
        <f>IF(Q2234="","",IFERROR(MATCH(Q2234,$P$4:$P$2003,0),""))</f>
        <v/>
      </c>
    </row>
    <row r="2235">
      <c r="A2235" s="4">
        <f>IF($R2235="","",IF($R2235="T","Gesamtergebnis",IF($R2235="B",INDEX($M$4:$M$2003,$S2235),INDEX($L$4:$L$2003,$S2235))))</f>
        <v/>
      </c>
      <c r="B2235" s="4">
        <f>IF($R2235="","",IF($R2235="T",$K$3,IF($R2235="B",COUNTIFS($M$4:$M$2003,INDEX($M$4:$M$2003,$S2235),$N$4:$N$2003,1),1)))</f>
        <v/>
      </c>
      <c r="Q2235">
        <f>IF(OR($R2234="",$R2234="T"),"",IF($R2234="B",$Q2234,IF($Q2234+1&gt;$K$3,"",$Q2234+1)))</f>
        <v/>
      </c>
      <c r="R2235">
        <f>IF(OR($R2234="",$R2234="T"),"",IF($R2234="B","S",IF($Q2234+1&gt;$K$3,"T",IF(INDEX($M$4:$M$2003,MATCH($Q2234+1,$P$4:$P$2003,0))&lt;&gt;INDEX($M$4:$M$2003,MATCH($Q2234,$P$4:$P$2003,0)),"B","S"))))</f>
        <v/>
      </c>
      <c r="S2235">
        <f>IF(Q2235="","",IFERROR(MATCH(Q2235,$P$4:$P$2003,0),""))</f>
        <v/>
      </c>
    </row>
    <row r="2236">
      <c r="A2236" s="4">
        <f>IF($R2236="","",IF($R2236="T","Gesamtergebnis",IF($R2236="B",INDEX($M$4:$M$2003,$S2236),INDEX($L$4:$L$2003,$S2236))))</f>
        <v/>
      </c>
      <c r="B2236" s="4">
        <f>IF($R2236="","",IF($R2236="T",$K$3,IF($R2236="B",COUNTIFS($M$4:$M$2003,INDEX($M$4:$M$2003,$S2236),$N$4:$N$2003,1),1)))</f>
        <v/>
      </c>
      <c r="Q2236">
        <f>IF(OR($R2235="",$R2235="T"),"",IF($R2235="B",$Q2235,IF($Q2235+1&gt;$K$3,"",$Q2235+1)))</f>
        <v/>
      </c>
      <c r="R2236">
        <f>IF(OR($R2235="",$R2235="T"),"",IF($R2235="B","S",IF($Q2235+1&gt;$K$3,"T",IF(INDEX($M$4:$M$2003,MATCH($Q2235+1,$P$4:$P$2003,0))&lt;&gt;INDEX($M$4:$M$2003,MATCH($Q2235,$P$4:$P$2003,0)),"B","S"))))</f>
        <v/>
      </c>
      <c r="S2236">
        <f>IF(Q2236="","",IFERROR(MATCH(Q2236,$P$4:$P$2003,0),""))</f>
        <v/>
      </c>
    </row>
    <row r="2237">
      <c r="A2237" s="4">
        <f>IF($R2237="","",IF($R2237="T","Gesamtergebnis",IF($R2237="B",INDEX($M$4:$M$2003,$S2237),INDEX($L$4:$L$2003,$S2237))))</f>
        <v/>
      </c>
      <c r="B2237" s="4">
        <f>IF($R2237="","",IF($R2237="T",$K$3,IF($R2237="B",COUNTIFS($M$4:$M$2003,INDEX($M$4:$M$2003,$S2237),$N$4:$N$2003,1),1)))</f>
        <v/>
      </c>
      <c r="Q2237">
        <f>IF(OR($R2236="",$R2236="T"),"",IF($R2236="B",$Q2236,IF($Q2236+1&gt;$K$3,"",$Q2236+1)))</f>
        <v/>
      </c>
      <c r="R2237">
        <f>IF(OR($R2236="",$R2236="T"),"",IF($R2236="B","S",IF($Q2236+1&gt;$K$3,"T",IF(INDEX($M$4:$M$2003,MATCH($Q2236+1,$P$4:$P$2003,0))&lt;&gt;INDEX($M$4:$M$2003,MATCH($Q2236,$P$4:$P$2003,0)),"B","S"))))</f>
        <v/>
      </c>
      <c r="S2237">
        <f>IF(Q2237="","",IFERROR(MATCH(Q2237,$P$4:$P$2003,0),""))</f>
        <v/>
      </c>
    </row>
    <row r="2238">
      <c r="A2238" s="4">
        <f>IF($R2238="","",IF($R2238="T","Gesamtergebnis",IF($R2238="B",INDEX($M$4:$M$2003,$S2238),INDEX($L$4:$L$2003,$S2238))))</f>
        <v/>
      </c>
      <c r="B2238" s="4">
        <f>IF($R2238="","",IF($R2238="T",$K$3,IF($R2238="B",COUNTIFS($M$4:$M$2003,INDEX($M$4:$M$2003,$S2238),$N$4:$N$2003,1),1)))</f>
        <v/>
      </c>
      <c r="Q2238">
        <f>IF(OR($R2237="",$R2237="T"),"",IF($R2237="B",$Q2237,IF($Q2237+1&gt;$K$3,"",$Q2237+1)))</f>
        <v/>
      </c>
      <c r="R2238">
        <f>IF(OR($R2237="",$R2237="T"),"",IF($R2237="B","S",IF($Q2237+1&gt;$K$3,"T",IF(INDEX($M$4:$M$2003,MATCH($Q2237+1,$P$4:$P$2003,0))&lt;&gt;INDEX($M$4:$M$2003,MATCH($Q2237,$P$4:$P$2003,0)),"B","S"))))</f>
        <v/>
      </c>
      <c r="S2238">
        <f>IF(Q2238="","",IFERROR(MATCH(Q2238,$P$4:$P$2003,0),""))</f>
        <v/>
      </c>
    </row>
    <row r="2239">
      <c r="A2239" s="4">
        <f>IF($R2239="","",IF($R2239="T","Gesamtergebnis",IF($R2239="B",INDEX($M$4:$M$2003,$S2239),INDEX($L$4:$L$2003,$S2239))))</f>
        <v/>
      </c>
      <c r="B2239" s="4">
        <f>IF($R2239="","",IF($R2239="T",$K$3,IF($R2239="B",COUNTIFS($M$4:$M$2003,INDEX($M$4:$M$2003,$S2239),$N$4:$N$2003,1),1)))</f>
        <v/>
      </c>
      <c r="Q2239">
        <f>IF(OR($R2238="",$R2238="T"),"",IF($R2238="B",$Q2238,IF($Q2238+1&gt;$K$3,"",$Q2238+1)))</f>
        <v/>
      </c>
      <c r="R2239">
        <f>IF(OR($R2238="",$R2238="T"),"",IF($R2238="B","S",IF($Q2238+1&gt;$K$3,"T",IF(INDEX($M$4:$M$2003,MATCH($Q2238+1,$P$4:$P$2003,0))&lt;&gt;INDEX($M$4:$M$2003,MATCH($Q2238,$P$4:$P$2003,0)),"B","S"))))</f>
        <v/>
      </c>
      <c r="S2239">
        <f>IF(Q2239="","",IFERROR(MATCH(Q2239,$P$4:$P$2003,0),""))</f>
        <v/>
      </c>
    </row>
    <row r="2240">
      <c r="A2240" s="4">
        <f>IF($R2240="","",IF($R2240="T","Gesamtergebnis",IF($R2240="B",INDEX($M$4:$M$2003,$S2240),INDEX($L$4:$L$2003,$S2240))))</f>
        <v/>
      </c>
      <c r="B2240" s="4">
        <f>IF($R2240="","",IF($R2240="T",$K$3,IF($R2240="B",COUNTIFS($M$4:$M$2003,INDEX($M$4:$M$2003,$S2240),$N$4:$N$2003,1),1)))</f>
        <v/>
      </c>
      <c r="Q2240">
        <f>IF(OR($R2239="",$R2239="T"),"",IF($R2239="B",$Q2239,IF($Q2239+1&gt;$K$3,"",$Q2239+1)))</f>
        <v/>
      </c>
      <c r="R2240">
        <f>IF(OR($R2239="",$R2239="T"),"",IF($R2239="B","S",IF($Q2239+1&gt;$K$3,"T",IF(INDEX($M$4:$M$2003,MATCH($Q2239+1,$P$4:$P$2003,0))&lt;&gt;INDEX($M$4:$M$2003,MATCH($Q2239,$P$4:$P$2003,0)),"B","S"))))</f>
        <v/>
      </c>
      <c r="S2240">
        <f>IF(Q2240="","",IFERROR(MATCH(Q2240,$P$4:$P$2003,0),""))</f>
        <v/>
      </c>
    </row>
    <row r="2241">
      <c r="A2241" s="4">
        <f>IF($R2241="","",IF($R2241="T","Gesamtergebnis",IF($R2241="B",INDEX($M$4:$M$2003,$S2241),INDEX($L$4:$L$2003,$S2241))))</f>
        <v/>
      </c>
      <c r="B2241" s="4">
        <f>IF($R2241="","",IF($R2241="T",$K$3,IF($R2241="B",COUNTIFS($M$4:$M$2003,INDEX($M$4:$M$2003,$S2241),$N$4:$N$2003,1),1)))</f>
        <v/>
      </c>
      <c r="Q2241">
        <f>IF(OR($R2240="",$R2240="T"),"",IF($R2240="B",$Q2240,IF($Q2240+1&gt;$K$3,"",$Q2240+1)))</f>
        <v/>
      </c>
      <c r="R2241">
        <f>IF(OR($R2240="",$R2240="T"),"",IF($R2240="B","S",IF($Q2240+1&gt;$K$3,"T",IF(INDEX($M$4:$M$2003,MATCH($Q2240+1,$P$4:$P$2003,0))&lt;&gt;INDEX($M$4:$M$2003,MATCH($Q2240,$P$4:$P$2003,0)),"B","S"))))</f>
        <v/>
      </c>
      <c r="S2241">
        <f>IF(Q2241="","",IFERROR(MATCH(Q2241,$P$4:$P$2003,0),""))</f>
        <v/>
      </c>
    </row>
    <row r="2242">
      <c r="A2242" s="4">
        <f>IF($R2242="","",IF($R2242="T","Gesamtergebnis",IF($R2242="B",INDEX($M$4:$M$2003,$S2242),INDEX($L$4:$L$2003,$S2242))))</f>
        <v/>
      </c>
      <c r="B2242" s="4">
        <f>IF($R2242="","",IF($R2242="T",$K$3,IF($R2242="B",COUNTIFS($M$4:$M$2003,INDEX($M$4:$M$2003,$S2242),$N$4:$N$2003,1),1)))</f>
        <v/>
      </c>
      <c r="Q2242">
        <f>IF(OR($R2241="",$R2241="T"),"",IF($R2241="B",$Q2241,IF($Q2241+1&gt;$K$3,"",$Q2241+1)))</f>
        <v/>
      </c>
      <c r="R2242">
        <f>IF(OR($R2241="",$R2241="T"),"",IF($R2241="B","S",IF($Q2241+1&gt;$K$3,"T",IF(INDEX($M$4:$M$2003,MATCH($Q2241+1,$P$4:$P$2003,0))&lt;&gt;INDEX($M$4:$M$2003,MATCH($Q2241,$P$4:$P$2003,0)),"B","S"))))</f>
        <v/>
      </c>
      <c r="S2242">
        <f>IF(Q2242="","",IFERROR(MATCH(Q2242,$P$4:$P$2003,0),""))</f>
        <v/>
      </c>
    </row>
    <row r="2243">
      <c r="A2243" s="4">
        <f>IF($R2243="","",IF($R2243="T","Gesamtergebnis",IF($R2243="B",INDEX($M$4:$M$2003,$S2243),INDEX($L$4:$L$2003,$S2243))))</f>
        <v/>
      </c>
      <c r="B2243" s="4">
        <f>IF($R2243="","",IF($R2243="T",$K$3,IF($R2243="B",COUNTIFS($M$4:$M$2003,INDEX($M$4:$M$2003,$S2243),$N$4:$N$2003,1),1)))</f>
        <v/>
      </c>
      <c r="Q2243">
        <f>IF(OR($R2242="",$R2242="T"),"",IF($R2242="B",$Q2242,IF($Q2242+1&gt;$K$3,"",$Q2242+1)))</f>
        <v/>
      </c>
      <c r="R2243">
        <f>IF(OR($R2242="",$R2242="T"),"",IF($R2242="B","S",IF($Q2242+1&gt;$K$3,"T",IF(INDEX($M$4:$M$2003,MATCH($Q2242+1,$P$4:$P$2003,0))&lt;&gt;INDEX($M$4:$M$2003,MATCH($Q2242,$P$4:$P$2003,0)),"B","S"))))</f>
        <v/>
      </c>
      <c r="S2243">
        <f>IF(Q2243="","",IFERROR(MATCH(Q2243,$P$4:$P$2003,0),""))</f>
        <v/>
      </c>
    </row>
    <row r="2244">
      <c r="A2244" s="4">
        <f>IF($R2244="","",IF($R2244="T","Gesamtergebnis",IF($R2244="B",INDEX($M$4:$M$2003,$S2244),INDEX($L$4:$L$2003,$S2244))))</f>
        <v/>
      </c>
      <c r="B2244" s="4">
        <f>IF($R2244="","",IF($R2244="T",$K$3,IF($R2244="B",COUNTIFS($M$4:$M$2003,INDEX($M$4:$M$2003,$S2244),$N$4:$N$2003,1),1)))</f>
        <v/>
      </c>
      <c r="Q2244">
        <f>IF(OR($R2243="",$R2243="T"),"",IF($R2243="B",$Q2243,IF($Q2243+1&gt;$K$3,"",$Q2243+1)))</f>
        <v/>
      </c>
      <c r="R2244">
        <f>IF(OR($R2243="",$R2243="T"),"",IF($R2243="B","S",IF($Q2243+1&gt;$K$3,"T",IF(INDEX($M$4:$M$2003,MATCH($Q2243+1,$P$4:$P$2003,0))&lt;&gt;INDEX($M$4:$M$2003,MATCH($Q2243,$P$4:$P$2003,0)),"B","S"))))</f>
        <v/>
      </c>
      <c r="S2244">
        <f>IF(Q2244="","",IFERROR(MATCH(Q2244,$P$4:$P$2003,0),""))</f>
        <v/>
      </c>
    </row>
    <row r="2245">
      <c r="A2245" s="4">
        <f>IF($R2245="","",IF($R2245="T","Gesamtergebnis",IF($R2245="B",INDEX($M$4:$M$2003,$S2245),INDEX($L$4:$L$2003,$S2245))))</f>
        <v/>
      </c>
      <c r="B2245" s="4">
        <f>IF($R2245="","",IF($R2245="T",$K$3,IF($R2245="B",COUNTIFS($M$4:$M$2003,INDEX($M$4:$M$2003,$S2245),$N$4:$N$2003,1),1)))</f>
        <v/>
      </c>
      <c r="Q2245">
        <f>IF(OR($R2244="",$R2244="T"),"",IF($R2244="B",$Q2244,IF($Q2244+1&gt;$K$3,"",$Q2244+1)))</f>
        <v/>
      </c>
      <c r="R2245">
        <f>IF(OR($R2244="",$R2244="T"),"",IF($R2244="B","S",IF($Q2244+1&gt;$K$3,"T",IF(INDEX($M$4:$M$2003,MATCH($Q2244+1,$P$4:$P$2003,0))&lt;&gt;INDEX($M$4:$M$2003,MATCH($Q2244,$P$4:$P$2003,0)),"B","S"))))</f>
        <v/>
      </c>
      <c r="S2245">
        <f>IF(Q2245="","",IFERROR(MATCH(Q2245,$P$4:$P$2003,0),""))</f>
        <v/>
      </c>
    </row>
    <row r="2246">
      <c r="A2246" s="4">
        <f>IF($R2246="","",IF($R2246="T","Gesamtergebnis",IF($R2246="B",INDEX($M$4:$M$2003,$S2246),INDEX($L$4:$L$2003,$S2246))))</f>
        <v/>
      </c>
      <c r="B2246" s="4">
        <f>IF($R2246="","",IF($R2246="T",$K$3,IF($R2246="B",COUNTIFS($M$4:$M$2003,INDEX($M$4:$M$2003,$S2246),$N$4:$N$2003,1),1)))</f>
        <v/>
      </c>
      <c r="Q2246">
        <f>IF(OR($R2245="",$R2245="T"),"",IF($R2245="B",$Q2245,IF($Q2245+1&gt;$K$3,"",$Q2245+1)))</f>
        <v/>
      </c>
      <c r="R2246">
        <f>IF(OR($R2245="",$R2245="T"),"",IF($R2245="B","S",IF($Q2245+1&gt;$K$3,"T",IF(INDEX($M$4:$M$2003,MATCH($Q2245+1,$P$4:$P$2003,0))&lt;&gt;INDEX($M$4:$M$2003,MATCH($Q2245,$P$4:$P$2003,0)),"B","S"))))</f>
        <v/>
      </c>
      <c r="S2246">
        <f>IF(Q2246="","",IFERROR(MATCH(Q2246,$P$4:$P$2003,0),""))</f>
        <v/>
      </c>
    </row>
    <row r="2247">
      <c r="A2247" s="4">
        <f>IF($R2247="","",IF($R2247="T","Gesamtergebnis",IF($R2247="B",INDEX($M$4:$M$2003,$S2247),INDEX($L$4:$L$2003,$S2247))))</f>
        <v/>
      </c>
      <c r="B2247" s="4">
        <f>IF($R2247="","",IF($R2247="T",$K$3,IF($R2247="B",COUNTIFS($M$4:$M$2003,INDEX($M$4:$M$2003,$S2247),$N$4:$N$2003,1),1)))</f>
        <v/>
      </c>
      <c r="Q2247">
        <f>IF(OR($R2246="",$R2246="T"),"",IF($R2246="B",$Q2246,IF($Q2246+1&gt;$K$3,"",$Q2246+1)))</f>
        <v/>
      </c>
      <c r="R2247">
        <f>IF(OR($R2246="",$R2246="T"),"",IF($R2246="B","S",IF($Q2246+1&gt;$K$3,"T",IF(INDEX($M$4:$M$2003,MATCH($Q2246+1,$P$4:$P$2003,0))&lt;&gt;INDEX($M$4:$M$2003,MATCH($Q2246,$P$4:$P$2003,0)),"B","S"))))</f>
        <v/>
      </c>
      <c r="S2247">
        <f>IF(Q2247="","",IFERROR(MATCH(Q2247,$P$4:$P$2003,0),""))</f>
        <v/>
      </c>
    </row>
    <row r="2248">
      <c r="A2248" s="4">
        <f>IF($R2248="","",IF($R2248="T","Gesamtergebnis",IF($R2248="B",INDEX($M$4:$M$2003,$S2248),INDEX($L$4:$L$2003,$S2248))))</f>
        <v/>
      </c>
      <c r="B2248" s="4">
        <f>IF($R2248="","",IF($R2248="T",$K$3,IF($R2248="B",COUNTIFS($M$4:$M$2003,INDEX($M$4:$M$2003,$S2248),$N$4:$N$2003,1),1)))</f>
        <v/>
      </c>
      <c r="Q2248">
        <f>IF(OR($R2247="",$R2247="T"),"",IF($R2247="B",$Q2247,IF($Q2247+1&gt;$K$3,"",$Q2247+1)))</f>
        <v/>
      </c>
      <c r="R2248">
        <f>IF(OR($R2247="",$R2247="T"),"",IF($R2247="B","S",IF($Q2247+1&gt;$K$3,"T",IF(INDEX($M$4:$M$2003,MATCH($Q2247+1,$P$4:$P$2003,0))&lt;&gt;INDEX($M$4:$M$2003,MATCH($Q2247,$P$4:$P$2003,0)),"B","S"))))</f>
        <v/>
      </c>
      <c r="S2248">
        <f>IF(Q2248="","",IFERROR(MATCH(Q2248,$P$4:$P$2003,0),""))</f>
        <v/>
      </c>
    </row>
    <row r="2249">
      <c r="A2249" s="4">
        <f>IF($R2249="","",IF($R2249="T","Gesamtergebnis",IF($R2249="B",INDEX($M$4:$M$2003,$S2249),INDEX($L$4:$L$2003,$S2249))))</f>
        <v/>
      </c>
      <c r="B2249" s="4">
        <f>IF($R2249="","",IF($R2249="T",$K$3,IF($R2249="B",COUNTIFS($M$4:$M$2003,INDEX($M$4:$M$2003,$S2249),$N$4:$N$2003,1),1)))</f>
        <v/>
      </c>
      <c r="Q2249">
        <f>IF(OR($R2248="",$R2248="T"),"",IF($R2248="B",$Q2248,IF($Q2248+1&gt;$K$3,"",$Q2248+1)))</f>
        <v/>
      </c>
      <c r="R2249">
        <f>IF(OR($R2248="",$R2248="T"),"",IF($R2248="B","S",IF($Q2248+1&gt;$K$3,"T",IF(INDEX($M$4:$M$2003,MATCH($Q2248+1,$P$4:$P$2003,0))&lt;&gt;INDEX($M$4:$M$2003,MATCH($Q2248,$P$4:$P$2003,0)),"B","S"))))</f>
        <v/>
      </c>
      <c r="S2249">
        <f>IF(Q2249="","",IFERROR(MATCH(Q2249,$P$4:$P$2003,0),""))</f>
        <v/>
      </c>
    </row>
    <row r="2250">
      <c r="A2250" s="4">
        <f>IF($R2250="","",IF($R2250="T","Gesamtergebnis",IF($R2250="B",INDEX($M$4:$M$2003,$S2250),INDEX($L$4:$L$2003,$S2250))))</f>
        <v/>
      </c>
      <c r="B2250" s="4">
        <f>IF($R2250="","",IF($R2250="T",$K$3,IF($R2250="B",COUNTIFS($M$4:$M$2003,INDEX($M$4:$M$2003,$S2250),$N$4:$N$2003,1),1)))</f>
        <v/>
      </c>
      <c r="Q2250">
        <f>IF(OR($R2249="",$R2249="T"),"",IF($R2249="B",$Q2249,IF($Q2249+1&gt;$K$3,"",$Q2249+1)))</f>
        <v/>
      </c>
      <c r="R2250">
        <f>IF(OR($R2249="",$R2249="T"),"",IF($R2249="B","S",IF($Q2249+1&gt;$K$3,"T",IF(INDEX($M$4:$M$2003,MATCH($Q2249+1,$P$4:$P$2003,0))&lt;&gt;INDEX($M$4:$M$2003,MATCH($Q2249,$P$4:$P$2003,0)),"B","S"))))</f>
        <v/>
      </c>
      <c r="S2250">
        <f>IF(Q2250="","",IFERROR(MATCH(Q2250,$P$4:$P$2003,0),""))</f>
        <v/>
      </c>
    </row>
    <row r="2251">
      <c r="A2251" s="4">
        <f>IF($R2251="","",IF($R2251="T","Gesamtergebnis",IF($R2251="B",INDEX($M$4:$M$2003,$S2251),INDEX($L$4:$L$2003,$S2251))))</f>
        <v/>
      </c>
      <c r="B2251" s="4">
        <f>IF($R2251="","",IF($R2251="T",$K$3,IF($R2251="B",COUNTIFS($M$4:$M$2003,INDEX($M$4:$M$2003,$S2251),$N$4:$N$2003,1),1)))</f>
        <v/>
      </c>
      <c r="Q2251">
        <f>IF(OR($R2250="",$R2250="T"),"",IF($R2250="B",$Q2250,IF($Q2250+1&gt;$K$3,"",$Q2250+1)))</f>
        <v/>
      </c>
      <c r="R2251">
        <f>IF(OR($R2250="",$R2250="T"),"",IF($R2250="B","S",IF($Q2250+1&gt;$K$3,"T",IF(INDEX($M$4:$M$2003,MATCH($Q2250+1,$P$4:$P$2003,0))&lt;&gt;INDEX($M$4:$M$2003,MATCH($Q2250,$P$4:$P$2003,0)),"B","S"))))</f>
        <v/>
      </c>
      <c r="S2251">
        <f>IF(Q2251="","",IFERROR(MATCH(Q2251,$P$4:$P$2003,0),""))</f>
        <v/>
      </c>
    </row>
    <row r="2252">
      <c r="A2252" s="4">
        <f>IF($R2252="","",IF($R2252="T","Gesamtergebnis",IF($R2252="B",INDEX($M$4:$M$2003,$S2252),INDEX($L$4:$L$2003,$S2252))))</f>
        <v/>
      </c>
      <c r="B2252" s="4">
        <f>IF($R2252="","",IF($R2252="T",$K$3,IF($R2252="B",COUNTIFS($M$4:$M$2003,INDEX($M$4:$M$2003,$S2252),$N$4:$N$2003,1),1)))</f>
        <v/>
      </c>
      <c r="Q2252">
        <f>IF(OR($R2251="",$R2251="T"),"",IF($R2251="B",$Q2251,IF($Q2251+1&gt;$K$3,"",$Q2251+1)))</f>
        <v/>
      </c>
      <c r="R2252">
        <f>IF(OR($R2251="",$R2251="T"),"",IF($R2251="B","S",IF($Q2251+1&gt;$K$3,"T",IF(INDEX($M$4:$M$2003,MATCH($Q2251+1,$P$4:$P$2003,0))&lt;&gt;INDEX($M$4:$M$2003,MATCH($Q2251,$P$4:$P$2003,0)),"B","S"))))</f>
        <v/>
      </c>
      <c r="S2252">
        <f>IF(Q2252="","",IFERROR(MATCH(Q2252,$P$4:$P$2003,0),""))</f>
        <v/>
      </c>
    </row>
    <row r="2253">
      <c r="A2253" s="4">
        <f>IF($R2253="","",IF($R2253="T","Gesamtergebnis",IF($R2253="B",INDEX($M$4:$M$2003,$S2253),INDEX($L$4:$L$2003,$S2253))))</f>
        <v/>
      </c>
      <c r="B2253" s="4">
        <f>IF($R2253="","",IF($R2253="T",$K$3,IF($R2253="B",COUNTIFS($M$4:$M$2003,INDEX($M$4:$M$2003,$S2253),$N$4:$N$2003,1),1)))</f>
        <v/>
      </c>
      <c r="Q2253">
        <f>IF(OR($R2252="",$R2252="T"),"",IF($R2252="B",$Q2252,IF($Q2252+1&gt;$K$3,"",$Q2252+1)))</f>
        <v/>
      </c>
      <c r="R2253">
        <f>IF(OR($R2252="",$R2252="T"),"",IF($R2252="B","S",IF($Q2252+1&gt;$K$3,"T",IF(INDEX($M$4:$M$2003,MATCH($Q2252+1,$P$4:$P$2003,0))&lt;&gt;INDEX($M$4:$M$2003,MATCH($Q2252,$P$4:$P$2003,0)),"B","S"))))</f>
        <v/>
      </c>
      <c r="S2253">
        <f>IF(Q2253="","",IFERROR(MATCH(Q2253,$P$4:$P$2003,0),""))</f>
        <v/>
      </c>
    </row>
    <row r="2254">
      <c r="A2254" s="4">
        <f>IF($R2254="","",IF($R2254="T","Gesamtergebnis",IF($R2254="B",INDEX($M$4:$M$2003,$S2254),INDEX($L$4:$L$2003,$S2254))))</f>
        <v/>
      </c>
      <c r="B2254" s="4">
        <f>IF($R2254="","",IF($R2254="T",$K$3,IF($R2254="B",COUNTIFS($M$4:$M$2003,INDEX($M$4:$M$2003,$S2254),$N$4:$N$2003,1),1)))</f>
        <v/>
      </c>
      <c r="Q2254">
        <f>IF(OR($R2253="",$R2253="T"),"",IF($R2253="B",$Q2253,IF($Q2253+1&gt;$K$3,"",$Q2253+1)))</f>
        <v/>
      </c>
      <c r="R2254">
        <f>IF(OR($R2253="",$R2253="T"),"",IF($R2253="B","S",IF($Q2253+1&gt;$K$3,"T",IF(INDEX($M$4:$M$2003,MATCH($Q2253+1,$P$4:$P$2003,0))&lt;&gt;INDEX($M$4:$M$2003,MATCH($Q2253,$P$4:$P$2003,0)),"B","S"))))</f>
        <v/>
      </c>
      <c r="S2254">
        <f>IF(Q2254="","",IFERROR(MATCH(Q2254,$P$4:$P$2003,0),""))</f>
        <v/>
      </c>
    </row>
    <row r="2255">
      <c r="A2255" s="4">
        <f>IF($R2255="","",IF($R2255="T","Gesamtergebnis",IF($R2255="B",INDEX($M$4:$M$2003,$S2255),INDEX($L$4:$L$2003,$S2255))))</f>
        <v/>
      </c>
      <c r="B2255" s="4">
        <f>IF($R2255="","",IF($R2255="T",$K$3,IF($R2255="B",COUNTIFS($M$4:$M$2003,INDEX($M$4:$M$2003,$S2255),$N$4:$N$2003,1),1)))</f>
        <v/>
      </c>
      <c r="Q2255">
        <f>IF(OR($R2254="",$R2254="T"),"",IF($R2254="B",$Q2254,IF($Q2254+1&gt;$K$3,"",$Q2254+1)))</f>
        <v/>
      </c>
      <c r="R2255">
        <f>IF(OR($R2254="",$R2254="T"),"",IF($R2254="B","S",IF($Q2254+1&gt;$K$3,"T",IF(INDEX($M$4:$M$2003,MATCH($Q2254+1,$P$4:$P$2003,0))&lt;&gt;INDEX($M$4:$M$2003,MATCH($Q2254,$P$4:$P$2003,0)),"B","S"))))</f>
        <v/>
      </c>
      <c r="S2255">
        <f>IF(Q2255="","",IFERROR(MATCH(Q2255,$P$4:$P$2003,0),""))</f>
        <v/>
      </c>
    </row>
    <row r="2256">
      <c r="A2256" s="4">
        <f>IF($R2256="","",IF($R2256="T","Gesamtergebnis",IF($R2256="B",INDEX($M$4:$M$2003,$S2256),INDEX($L$4:$L$2003,$S2256))))</f>
        <v/>
      </c>
      <c r="B2256" s="4">
        <f>IF($R2256="","",IF($R2256="T",$K$3,IF($R2256="B",COUNTIFS($M$4:$M$2003,INDEX($M$4:$M$2003,$S2256),$N$4:$N$2003,1),1)))</f>
        <v/>
      </c>
      <c r="Q2256">
        <f>IF(OR($R2255="",$R2255="T"),"",IF($R2255="B",$Q2255,IF($Q2255+1&gt;$K$3,"",$Q2255+1)))</f>
        <v/>
      </c>
      <c r="R2256">
        <f>IF(OR($R2255="",$R2255="T"),"",IF($R2255="B","S",IF($Q2255+1&gt;$K$3,"T",IF(INDEX($M$4:$M$2003,MATCH($Q2255+1,$P$4:$P$2003,0))&lt;&gt;INDEX($M$4:$M$2003,MATCH($Q2255,$P$4:$P$2003,0)),"B","S"))))</f>
        <v/>
      </c>
      <c r="S2256">
        <f>IF(Q2256="","",IFERROR(MATCH(Q2256,$P$4:$P$2003,0),""))</f>
        <v/>
      </c>
    </row>
    <row r="2257">
      <c r="A2257" s="4">
        <f>IF($R2257="","",IF($R2257="T","Gesamtergebnis",IF($R2257="B",INDEX($M$4:$M$2003,$S2257),INDEX($L$4:$L$2003,$S2257))))</f>
        <v/>
      </c>
      <c r="B2257" s="4">
        <f>IF($R2257="","",IF($R2257="T",$K$3,IF($R2257="B",COUNTIFS($M$4:$M$2003,INDEX($M$4:$M$2003,$S2257),$N$4:$N$2003,1),1)))</f>
        <v/>
      </c>
      <c r="Q2257">
        <f>IF(OR($R2256="",$R2256="T"),"",IF($R2256="B",$Q2256,IF($Q2256+1&gt;$K$3,"",$Q2256+1)))</f>
        <v/>
      </c>
      <c r="R2257">
        <f>IF(OR($R2256="",$R2256="T"),"",IF($R2256="B","S",IF($Q2256+1&gt;$K$3,"T",IF(INDEX($M$4:$M$2003,MATCH($Q2256+1,$P$4:$P$2003,0))&lt;&gt;INDEX($M$4:$M$2003,MATCH($Q2256,$P$4:$P$2003,0)),"B","S"))))</f>
        <v/>
      </c>
      <c r="S2257">
        <f>IF(Q2257="","",IFERROR(MATCH(Q2257,$P$4:$P$2003,0),""))</f>
        <v/>
      </c>
    </row>
    <row r="2258">
      <c r="A2258" s="4">
        <f>IF($R2258="","",IF($R2258="T","Gesamtergebnis",IF($R2258="B",INDEX($M$4:$M$2003,$S2258),INDEX($L$4:$L$2003,$S2258))))</f>
        <v/>
      </c>
      <c r="B2258" s="4">
        <f>IF($R2258="","",IF($R2258="T",$K$3,IF($R2258="B",COUNTIFS($M$4:$M$2003,INDEX($M$4:$M$2003,$S2258),$N$4:$N$2003,1),1)))</f>
        <v/>
      </c>
      <c r="Q2258">
        <f>IF(OR($R2257="",$R2257="T"),"",IF($R2257="B",$Q2257,IF($Q2257+1&gt;$K$3,"",$Q2257+1)))</f>
        <v/>
      </c>
      <c r="R2258">
        <f>IF(OR($R2257="",$R2257="T"),"",IF($R2257="B","S",IF($Q2257+1&gt;$K$3,"T",IF(INDEX($M$4:$M$2003,MATCH($Q2257+1,$P$4:$P$2003,0))&lt;&gt;INDEX($M$4:$M$2003,MATCH($Q2257,$P$4:$P$2003,0)),"B","S"))))</f>
        <v/>
      </c>
      <c r="S2258">
        <f>IF(Q2258="","",IFERROR(MATCH(Q2258,$P$4:$P$2003,0),""))</f>
        <v/>
      </c>
    </row>
    <row r="2259">
      <c r="A2259" s="4">
        <f>IF($R2259="","",IF($R2259="T","Gesamtergebnis",IF($R2259="B",INDEX($M$4:$M$2003,$S2259),INDEX($L$4:$L$2003,$S2259))))</f>
        <v/>
      </c>
      <c r="B2259" s="4">
        <f>IF($R2259="","",IF($R2259="T",$K$3,IF($R2259="B",COUNTIFS($M$4:$M$2003,INDEX($M$4:$M$2003,$S2259),$N$4:$N$2003,1),1)))</f>
        <v/>
      </c>
      <c r="Q2259">
        <f>IF(OR($R2258="",$R2258="T"),"",IF($R2258="B",$Q2258,IF($Q2258+1&gt;$K$3,"",$Q2258+1)))</f>
        <v/>
      </c>
      <c r="R2259">
        <f>IF(OR($R2258="",$R2258="T"),"",IF($R2258="B","S",IF($Q2258+1&gt;$K$3,"T",IF(INDEX($M$4:$M$2003,MATCH($Q2258+1,$P$4:$P$2003,0))&lt;&gt;INDEX($M$4:$M$2003,MATCH($Q2258,$P$4:$P$2003,0)),"B","S"))))</f>
        <v/>
      </c>
      <c r="S2259">
        <f>IF(Q2259="","",IFERROR(MATCH(Q2259,$P$4:$P$2003,0),""))</f>
        <v/>
      </c>
    </row>
    <row r="2260">
      <c r="A2260" s="4">
        <f>IF($R2260="","",IF($R2260="T","Gesamtergebnis",IF($R2260="B",INDEX($M$4:$M$2003,$S2260),INDEX($L$4:$L$2003,$S2260))))</f>
        <v/>
      </c>
      <c r="B2260" s="4">
        <f>IF($R2260="","",IF($R2260="T",$K$3,IF($R2260="B",COUNTIFS($M$4:$M$2003,INDEX($M$4:$M$2003,$S2260),$N$4:$N$2003,1),1)))</f>
        <v/>
      </c>
      <c r="Q2260">
        <f>IF(OR($R2259="",$R2259="T"),"",IF($R2259="B",$Q2259,IF($Q2259+1&gt;$K$3,"",$Q2259+1)))</f>
        <v/>
      </c>
      <c r="R2260">
        <f>IF(OR($R2259="",$R2259="T"),"",IF($R2259="B","S",IF($Q2259+1&gt;$K$3,"T",IF(INDEX($M$4:$M$2003,MATCH($Q2259+1,$P$4:$P$2003,0))&lt;&gt;INDEX($M$4:$M$2003,MATCH($Q2259,$P$4:$P$2003,0)),"B","S"))))</f>
        <v/>
      </c>
      <c r="S2260">
        <f>IF(Q2260="","",IFERROR(MATCH(Q2260,$P$4:$P$2003,0),""))</f>
        <v/>
      </c>
    </row>
    <row r="2261">
      <c r="A2261" s="4">
        <f>IF($R2261="","",IF($R2261="T","Gesamtergebnis",IF($R2261="B",INDEX($M$4:$M$2003,$S2261),INDEX($L$4:$L$2003,$S2261))))</f>
        <v/>
      </c>
      <c r="B2261" s="4">
        <f>IF($R2261="","",IF($R2261="T",$K$3,IF($R2261="B",COUNTIFS($M$4:$M$2003,INDEX($M$4:$M$2003,$S2261),$N$4:$N$2003,1),1)))</f>
        <v/>
      </c>
      <c r="Q2261">
        <f>IF(OR($R2260="",$R2260="T"),"",IF($R2260="B",$Q2260,IF($Q2260+1&gt;$K$3,"",$Q2260+1)))</f>
        <v/>
      </c>
      <c r="R2261">
        <f>IF(OR($R2260="",$R2260="T"),"",IF($R2260="B","S",IF($Q2260+1&gt;$K$3,"T",IF(INDEX($M$4:$M$2003,MATCH($Q2260+1,$P$4:$P$2003,0))&lt;&gt;INDEX($M$4:$M$2003,MATCH($Q2260,$P$4:$P$2003,0)),"B","S"))))</f>
        <v/>
      </c>
      <c r="S2261">
        <f>IF(Q2261="","",IFERROR(MATCH(Q2261,$P$4:$P$2003,0),""))</f>
        <v/>
      </c>
    </row>
    <row r="2262">
      <c r="A2262" s="4">
        <f>IF($R2262="","",IF($R2262="T","Gesamtergebnis",IF($R2262="B",INDEX($M$4:$M$2003,$S2262),INDEX($L$4:$L$2003,$S2262))))</f>
        <v/>
      </c>
      <c r="B2262" s="4">
        <f>IF($R2262="","",IF($R2262="T",$K$3,IF($R2262="B",COUNTIFS($M$4:$M$2003,INDEX($M$4:$M$2003,$S2262),$N$4:$N$2003,1),1)))</f>
        <v/>
      </c>
      <c r="Q2262">
        <f>IF(OR($R2261="",$R2261="T"),"",IF($R2261="B",$Q2261,IF($Q2261+1&gt;$K$3,"",$Q2261+1)))</f>
        <v/>
      </c>
      <c r="R2262">
        <f>IF(OR($R2261="",$R2261="T"),"",IF($R2261="B","S",IF($Q2261+1&gt;$K$3,"T",IF(INDEX($M$4:$M$2003,MATCH($Q2261+1,$P$4:$P$2003,0))&lt;&gt;INDEX($M$4:$M$2003,MATCH($Q2261,$P$4:$P$2003,0)),"B","S"))))</f>
        <v/>
      </c>
      <c r="S2262">
        <f>IF(Q2262="","",IFERROR(MATCH(Q2262,$P$4:$P$2003,0),""))</f>
        <v/>
      </c>
    </row>
    <row r="2263">
      <c r="A2263" s="4">
        <f>IF($R2263="","",IF($R2263="T","Gesamtergebnis",IF($R2263="B",INDEX($M$4:$M$2003,$S2263),INDEX($L$4:$L$2003,$S2263))))</f>
        <v/>
      </c>
      <c r="B2263" s="4">
        <f>IF($R2263="","",IF($R2263="T",$K$3,IF($R2263="B",COUNTIFS($M$4:$M$2003,INDEX($M$4:$M$2003,$S2263),$N$4:$N$2003,1),1)))</f>
        <v/>
      </c>
      <c r="Q2263">
        <f>IF(OR($R2262="",$R2262="T"),"",IF($R2262="B",$Q2262,IF($Q2262+1&gt;$K$3,"",$Q2262+1)))</f>
        <v/>
      </c>
      <c r="R2263">
        <f>IF(OR($R2262="",$R2262="T"),"",IF($R2262="B","S",IF($Q2262+1&gt;$K$3,"T",IF(INDEX($M$4:$M$2003,MATCH($Q2262+1,$P$4:$P$2003,0))&lt;&gt;INDEX($M$4:$M$2003,MATCH($Q2262,$P$4:$P$2003,0)),"B","S"))))</f>
        <v/>
      </c>
      <c r="S2263">
        <f>IF(Q2263="","",IFERROR(MATCH(Q2263,$P$4:$P$2003,0),""))</f>
        <v/>
      </c>
    </row>
    <row r="2264">
      <c r="A2264" s="4">
        <f>IF($R2264="","",IF($R2264="T","Gesamtergebnis",IF($R2264="B",INDEX($M$4:$M$2003,$S2264),INDEX($L$4:$L$2003,$S2264))))</f>
        <v/>
      </c>
      <c r="B2264" s="4">
        <f>IF($R2264="","",IF($R2264="T",$K$3,IF($R2264="B",COUNTIFS($M$4:$M$2003,INDEX($M$4:$M$2003,$S2264),$N$4:$N$2003,1),1)))</f>
        <v/>
      </c>
      <c r="Q2264">
        <f>IF(OR($R2263="",$R2263="T"),"",IF($R2263="B",$Q2263,IF($Q2263+1&gt;$K$3,"",$Q2263+1)))</f>
        <v/>
      </c>
      <c r="R2264">
        <f>IF(OR($R2263="",$R2263="T"),"",IF($R2263="B","S",IF($Q2263+1&gt;$K$3,"T",IF(INDEX($M$4:$M$2003,MATCH($Q2263+1,$P$4:$P$2003,0))&lt;&gt;INDEX($M$4:$M$2003,MATCH($Q2263,$P$4:$P$2003,0)),"B","S"))))</f>
        <v/>
      </c>
      <c r="S2264">
        <f>IF(Q2264="","",IFERROR(MATCH(Q2264,$P$4:$P$2003,0),""))</f>
        <v/>
      </c>
    </row>
    <row r="2265">
      <c r="A2265" s="4">
        <f>IF($R2265="","",IF($R2265="T","Gesamtergebnis",IF($R2265="B",INDEX($M$4:$M$2003,$S2265),INDEX($L$4:$L$2003,$S2265))))</f>
        <v/>
      </c>
      <c r="B2265" s="4">
        <f>IF($R2265="","",IF($R2265="T",$K$3,IF($R2265="B",COUNTIFS($M$4:$M$2003,INDEX($M$4:$M$2003,$S2265),$N$4:$N$2003,1),1)))</f>
        <v/>
      </c>
      <c r="Q2265">
        <f>IF(OR($R2264="",$R2264="T"),"",IF($R2264="B",$Q2264,IF($Q2264+1&gt;$K$3,"",$Q2264+1)))</f>
        <v/>
      </c>
      <c r="R2265">
        <f>IF(OR($R2264="",$R2264="T"),"",IF($R2264="B","S",IF($Q2264+1&gt;$K$3,"T",IF(INDEX($M$4:$M$2003,MATCH($Q2264+1,$P$4:$P$2003,0))&lt;&gt;INDEX($M$4:$M$2003,MATCH($Q2264,$P$4:$P$2003,0)),"B","S"))))</f>
        <v/>
      </c>
      <c r="S2265">
        <f>IF(Q2265="","",IFERROR(MATCH(Q2265,$P$4:$P$2003,0),""))</f>
        <v/>
      </c>
    </row>
    <row r="2266">
      <c r="A2266" s="4">
        <f>IF($R2266="","",IF($R2266="T","Gesamtergebnis",IF($R2266="B",INDEX($M$4:$M$2003,$S2266),INDEX($L$4:$L$2003,$S2266))))</f>
        <v/>
      </c>
      <c r="B2266" s="4">
        <f>IF($R2266="","",IF($R2266="T",$K$3,IF($R2266="B",COUNTIFS($M$4:$M$2003,INDEX($M$4:$M$2003,$S2266),$N$4:$N$2003,1),1)))</f>
        <v/>
      </c>
      <c r="Q2266">
        <f>IF(OR($R2265="",$R2265="T"),"",IF($R2265="B",$Q2265,IF($Q2265+1&gt;$K$3,"",$Q2265+1)))</f>
        <v/>
      </c>
      <c r="R2266">
        <f>IF(OR($R2265="",$R2265="T"),"",IF($R2265="B","S",IF($Q2265+1&gt;$K$3,"T",IF(INDEX($M$4:$M$2003,MATCH($Q2265+1,$P$4:$P$2003,0))&lt;&gt;INDEX($M$4:$M$2003,MATCH($Q2265,$P$4:$P$2003,0)),"B","S"))))</f>
        <v/>
      </c>
      <c r="S2266">
        <f>IF(Q2266="","",IFERROR(MATCH(Q2266,$P$4:$P$2003,0),""))</f>
        <v/>
      </c>
    </row>
    <row r="2267">
      <c r="A2267" s="4">
        <f>IF($R2267="","",IF($R2267="T","Gesamtergebnis",IF($R2267="B",INDEX($M$4:$M$2003,$S2267),INDEX($L$4:$L$2003,$S2267))))</f>
        <v/>
      </c>
      <c r="B2267" s="4">
        <f>IF($R2267="","",IF($R2267="T",$K$3,IF($R2267="B",COUNTIFS($M$4:$M$2003,INDEX($M$4:$M$2003,$S2267),$N$4:$N$2003,1),1)))</f>
        <v/>
      </c>
      <c r="Q2267">
        <f>IF(OR($R2266="",$R2266="T"),"",IF($R2266="B",$Q2266,IF($Q2266+1&gt;$K$3,"",$Q2266+1)))</f>
        <v/>
      </c>
      <c r="R2267">
        <f>IF(OR($R2266="",$R2266="T"),"",IF($R2266="B","S",IF($Q2266+1&gt;$K$3,"T",IF(INDEX($M$4:$M$2003,MATCH($Q2266+1,$P$4:$P$2003,0))&lt;&gt;INDEX($M$4:$M$2003,MATCH($Q2266,$P$4:$P$2003,0)),"B","S"))))</f>
        <v/>
      </c>
      <c r="S2267">
        <f>IF(Q2267="","",IFERROR(MATCH(Q2267,$P$4:$P$2003,0),""))</f>
        <v/>
      </c>
    </row>
    <row r="2268">
      <c r="A2268" s="4">
        <f>IF($R2268="","",IF($R2268="T","Gesamtergebnis",IF($R2268="B",INDEX($M$4:$M$2003,$S2268),INDEX($L$4:$L$2003,$S2268))))</f>
        <v/>
      </c>
      <c r="B2268" s="4">
        <f>IF($R2268="","",IF($R2268="T",$K$3,IF($R2268="B",COUNTIFS($M$4:$M$2003,INDEX($M$4:$M$2003,$S2268),$N$4:$N$2003,1),1)))</f>
        <v/>
      </c>
      <c r="Q2268">
        <f>IF(OR($R2267="",$R2267="T"),"",IF($R2267="B",$Q2267,IF($Q2267+1&gt;$K$3,"",$Q2267+1)))</f>
        <v/>
      </c>
      <c r="R2268">
        <f>IF(OR($R2267="",$R2267="T"),"",IF($R2267="B","S",IF($Q2267+1&gt;$K$3,"T",IF(INDEX($M$4:$M$2003,MATCH($Q2267+1,$P$4:$P$2003,0))&lt;&gt;INDEX($M$4:$M$2003,MATCH($Q2267,$P$4:$P$2003,0)),"B","S"))))</f>
        <v/>
      </c>
      <c r="S2268">
        <f>IF(Q2268="","",IFERROR(MATCH(Q2268,$P$4:$P$2003,0),""))</f>
        <v/>
      </c>
    </row>
    <row r="2269">
      <c r="A2269" s="4">
        <f>IF($R2269="","",IF($R2269="T","Gesamtergebnis",IF($R2269="B",INDEX($M$4:$M$2003,$S2269),INDEX($L$4:$L$2003,$S2269))))</f>
        <v/>
      </c>
      <c r="B2269" s="4">
        <f>IF($R2269="","",IF($R2269="T",$K$3,IF($R2269="B",COUNTIFS($M$4:$M$2003,INDEX($M$4:$M$2003,$S2269),$N$4:$N$2003,1),1)))</f>
        <v/>
      </c>
      <c r="Q2269">
        <f>IF(OR($R2268="",$R2268="T"),"",IF($R2268="B",$Q2268,IF($Q2268+1&gt;$K$3,"",$Q2268+1)))</f>
        <v/>
      </c>
      <c r="R2269">
        <f>IF(OR($R2268="",$R2268="T"),"",IF($R2268="B","S",IF($Q2268+1&gt;$K$3,"T",IF(INDEX($M$4:$M$2003,MATCH($Q2268+1,$P$4:$P$2003,0))&lt;&gt;INDEX($M$4:$M$2003,MATCH($Q2268,$P$4:$P$2003,0)),"B","S"))))</f>
        <v/>
      </c>
      <c r="S2269">
        <f>IF(Q2269="","",IFERROR(MATCH(Q2269,$P$4:$P$2003,0),""))</f>
        <v/>
      </c>
    </row>
    <row r="2270">
      <c r="A2270" s="4">
        <f>IF($R2270="","",IF($R2270="T","Gesamtergebnis",IF($R2270="B",INDEX($M$4:$M$2003,$S2270),INDEX($L$4:$L$2003,$S2270))))</f>
        <v/>
      </c>
      <c r="B2270" s="4">
        <f>IF($R2270="","",IF($R2270="T",$K$3,IF($R2270="B",COUNTIFS($M$4:$M$2003,INDEX($M$4:$M$2003,$S2270),$N$4:$N$2003,1),1)))</f>
        <v/>
      </c>
      <c r="Q2270">
        <f>IF(OR($R2269="",$R2269="T"),"",IF($R2269="B",$Q2269,IF($Q2269+1&gt;$K$3,"",$Q2269+1)))</f>
        <v/>
      </c>
      <c r="R2270">
        <f>IF(OR($R2269="",$R2269="T"),"",IF($R2269="B","S",IF($Q2269+1&gt;$K$3,"T",IF(INDEX($M$4:$M$2003,MATCH($Q2269+1,$P$4:$P$2003,0))&lt;&gt;INDEX($M$4:$M$2003,MATCH($Q2269,$P$4:$P$2003,0)),"B","S"))))</f>
        <v/>
      </c>
      <c r="S2270">
        <f>IF(Q2270="","",IFERROR(MATCH(Q2270,$P$4:$P$2003,0),""))</f>
        <v/>
      </c>
    </row>
    <row r="2271">
      <c r="A2271" s="4">
        <f>IF($R2271="","",IF($R2271="T","Gesamtergebnis",IF($R2271="B",INDEX($M$4:$M$2003,$S2271),INDEX($L$4:$L$2003,$S2271))))</f>
        <v/>
      </c>
      <c r="B2271" s="4">
        <f>IF($R2271="","",IF($R2271="T",$K$3,IF($R2271="B",COUNTIFS($M$4:$M$2003,INDEX($M$4:$M$2003,$S2271),$N$4:$N$2003,1),1)))</f>
        <v/>
      </c>
      <c r="Q2271">
        <f>IF(OR($R2270="",$R2270="T"),"",IF($R2270="B",$Q2270,IF($Q2270+1&gt;$K$3,"",$Q2270+1)))</f>
        <v/>
      </c>
      <c r="R2271">
        <f>IF(OR($R2270="",$R2270="T"),"",IF($R2270="B","S",IF($Q2270+1&gt;$K$3,"T",IF(INDEX($M$4:$M$2003,MATCH($Q2270+1,$P$4:$P$2003,0))&lt;&gt;INDEX($M$4:$M$2003,MATCH($Q2270,$P$4:$P$2003,0)),"B","S"))))</f>
        <v/>
      </c>
      <c r="S2271">
        <f>IF(Q2271="","",IFERROR(MATCH(Q2271,$P$4:$P$2003,0),""))</f>
        <v/>
      </c>
    </row>
    <row r="2272">
      <c r="A2272" s="4">
        <f>IF($R2272="","",IF($R2272="T","Gesamtergebnis",IF($R2272="B",INDEX($M$4:$M$2003,$S2272),INDEX($L$4:$L$2003,$S2272))))</f>
        <v/>
      </c>
      <c r="B2272" s="4">
        <f>IF($R2272="","",IF($R2272="T",$K$3,IF($R2272="B",COUNTIFS($M$4:$M$2003,INDEX($M$4:$M$2003,$S2272),$N$4:$N$2003,1),1)))</f>
        <v/>
      </c>
      <c r="Q2272">
        <f>IF(OR($R2271="",$R2271="T"),"",IF($R2271="B",$Q2271,IF($Q2271+1&gt;$K$3,"",$Q2271+1)))</f>
        <v/>
      </c>
      <c r="R2272">
        <f>IF(OR($R2271="",$R2271="T"),"",IF($R2271="B","S",IF($Q2271+1&gt;$K$3,"T",IF(INDEX($M$4:$M$2003,MATCH($Q2271+1,$P$4:$P$2003,0))&lt;&gt;INDEX($M$4:$M$2003,MATCH($Q2271,$P$4:$P$2003,0)),"B","S"))))</f>
        <v/>
      </c>
      <c r="S2272">
        <f>IF(Q2272="","",IFERROR(MATCH(Q2272,$P$4:$P$2003,0),""))</f>
        <v/>
      </c>
    </row>
    <row r="2273">
      <c r="A2273" s="4">
        <f>IF($R2273="","",IF($R2273="T","Gesamtergebnis",IF($R2273="B",INDEX($M$4:$M$2003,$S2273),INDEX($L$4:$L$2003,$S2273))))</f>
        <v/>
      </c>
      <c r="B2273" s="4">
        <f>IF($R2273="","",IF($R2273="T",$K$3,IF($R2273="B",COUNTIFS($M$4:$M$2003,INDEX($M$4:$M$2003,$S2273),$N$4:$N$2003,1),1)))</f>
        <v/>
      </c>
      <c r="Q2273">
        <f>IF(OR($R2272="",$R2272="T"),"",IF($R2272="B",$Q2272,IF($Q2272+1&gt;$K$3,"",$Q2272+1)))</f>
        <v/>
      </c>
      <c r="R2273">
        <f>IF(OR($R2272="",$R2272="T"),"",IF($R2272="B","S",IF($Q2272+1&gt;$K$3,"T",IF(INDEX($M$4:$M$2003,MATCH($Q2272+1,$P$4:$P$2003,0))&lt;&gt;INDEX($M$4:$M$2003,MATCH($Q2272,$P$4:$P$2003,0)),"B","S"))))</f>
        <v/>
      </c>
      <c r="S2273">
        <f>IF(Q2273="","",IFERROR(MATCH(Q2273,$P$4:$P$2003,0),""))</f>
        <v/>
      </c>
    </row>
    <row r="2274">
      <c r="A2274" s="4">
        <f>IF($R2274="","",IF($R2274="T","Gesamtergebnis",IF($R2274="B",INDEX($M$4:$M$2003,$S2274),INDEX($L$4:$L$2003,$S2274))))</f>
        <v/>
      </c>
      <c r="B2274" s="4">
        <f>IF($R2274="","",IF($R2274="T",$K$3,IF($R2274="B",COUNTIFS($M$4:$M$2003,INDEX($M$4:$M$2003,$S2274),$N$4:$N$2003,1),1)))</f>
        <v/>
      </c>
      <c r="Q2274">
        <f>IF(OR($R2273="",$R2273="T"),"",IF($R2273="B",$Q2273,IF($Q2273+1&gt;$K$3,"",$Q2273+1)))</f>
        <v/>
      </c>
      <c r="R2274">
        <f>IF(OR($R2273="",$R2273="T"),"",IF($R2273="B","S",IF($Q2273+1&gt;$K$3,"T",IF(INDEX($M$4:$M$2003,MATCH($Q2273+1,$P$4:$P$2003,0))&lt;&gt;INDEX($M$4:$M$2003,MATCH($Q2273,$P$4:$P$2003,0)),"B","S"))))</f>
        <v/>
      </c>
      <c r="S2274">
        <f>IF(Q2274="","",IFERROR(MATCH(Q2274,$P$4:$P$2003,0),""))</f>
        <v/>
      </c>
    </row>
    <row r="2275">
      <c r="A2275" s="4">
        <f>IF($R2275="","",IF($R2275="T","Gesamtergebnis",IF($R2275="B",INDEX($M$4:$M$2003,$S2275),INDEX($L$4:$L$2003,$S2275))))</f>
        <v/>
      </c>
      <c r="B2275" s="4">
        <f>IF($R2275="","",IF($R2275="T",$K$3,IF($R2275="B",COUNTIFS($M$4:$M$2003,INDEX($M$4:$M$2003,$S2275),$N$4:$N$2003,1),1)))</f>
        <v/>
      </c>
      <c r="Q2275">
        <f>IF(OR($R2274="",$R2274="T"),"",IF($R2274="B",$Q2274,IF($Q2274+1&gt;$K$3,"",$Q2274+1)))</f>
        <v/>
      </c>
      <c r="R2275">
        <f>IF(OR($R2274="",$R2274="T"),"",IF($R2274="B","S",IF($Q2274+1&gt;$K$3,"T",IF(INDEX($M$4:$M$2003,MATCH($Q2274+1,$P$4:$P$2003,0))&lt;&gt;INDEX($M$4:$M$2003,MATCH($Q2274,$P$4:$P$2003,0)),"B","S"))))</f>
        <v/>
      </c>
      <c r="S2275">
        <f>IF(Q2275="","",IFERROR(MATCH(Q2275,$P$4:$P$2003,0),""))</f>
        <v/>
      </c>
    </row>
    <row r="2276">
      <c r="A2276" s="4">
        <f>IF($R2276="","",IF($R2276="T","Gesamtergebnis",IF($R2276="B",INDEX($M$4:$M$2003,$S2276),INDEX($L$4:$L$2003,$S2276))))</f>
        <v/>
      </c>
      <c r="B2276" s="4">
        <f>IF($R2276="","",IF($R2276="T",$K$3,IF($R2276="B",COUNTIFS($M$4:$M$2003,INDEX($M$4:$M$2003,$S2276),$N$4:$N$2003,1),1)))</f>
        <v/>
      </c>
      <c r="Q2276">
        <f>IF(OR($R2275="",$R2275="T"),"",IF($R2275="B",$Q2275,IF($Q2275+1&gt;$K$3,"",$Q2275+1)))</f>
        <v/>
      </c>
      <c r="R2276">
        <f>IF(OR($R2275="",$R2275="T"),"",IF($R2275="B","S",IF($Q2275+1&gt;$K$3,"T",IF(INDEX($M$4:$M$2003,MATCH($Q2275+1,$P$4:$P$2003,0))&lt;&gt;INDEX($M$4:$M$2003,MATCH($Q2275,$P$4:$P$2003,0)),"B","S"))))</f>
        <v/>
      </c>
      <c r="S2276">
        <f>IF(Q2276="","",IFERROR(MATCH(Q2276,$P$4:$P$2003,0),""))</f>
        <v/>
      </c>
    </row>
    <row r="2277">
      <c r="A2277" s="4">
        <f>IF($R2277="","",IF($R2277="T","Gesamtergebnis",IF($R2277="B",INDEX($M$4:$M$2003,$S2277),INDEX($L$4:$L$2003,$S2277))))</f>
        <v/>
      </c>
      <c r="B2277" s="4">
        <f>IF($R2277="","",IF($R2277="T",$K$3,IF($R2277="B",COUNTIFS($M$4:$M$2003,INDEX($M$4:$M$2003,$S2277),$N$4:$N$2003,1),1)))</f>
        <v/>
      </c>
      <c r="Q2277">
        <f>IF(OR($R2276="",$R2276="T"),"",IF($R2276="B",$Q2276,IF($Q2276+1&gt;$K$3,"",$Q2276+1)))</f>
        <v/>
      </c>
      <c r="R2277">
        <f>IF(OR($R2276="",$R2276="T"),"",IF($R2276="B","S",IF($Q2276+1&gt;$K$3,"T",IF(INDEX($M$4:$M$2003,MATCH($Q2276+1,$P$4:$P$2003,0))&lt;&gt;INDEX($M$4:$M$2003,MATCH($Q2276,$P$4:$P$2003,0)),"B","S"))))</f>
        <v/>
      </c>
      <c r="S2277">
        <f>IF(Q2277="","",IFERROR(MATCH(Q2277,$P$4:$P$2003,0),""))</f>
        <v/>
      </c>
    </row>
    <row r="2278">
      <c r="A2278" s="4">
        <f>IF($R2278="","",IF($R2278="T","Gesamtergebnis",IF($R2278="B",INDEX($M$4:$M$2003,$S2278),INDEX($L$4:$L$2003,$S2278))))</f>
        <v/>
      </c>
      <c r="B2278" s="4">
        <f>IF($R2278="","",IF($R2278="T",$K$3,IF($R2278="B",COUNTIFS($M$4:$M$2003,INDEX($M$4:$M$2003,$S2278),$N$4:$N$2003,1),1)))</f>
        <v/>
      </c>
      <c r="Q2278">
        <f>IF(OR($R2277="",$R2277="T"),"",IF($R2277="B",$Q2277,IF($Q2277+1&gt;$K$3,"",$Q2277+1)))</f>
        <v/>
      </c>
      <c r="R2278">
        <f>IF(OR($R2277="",$R2277="T"),"",IF($R2277="B","S",IF($Q2277+1&gt;$K$3,"T",IF(INDEX($M$4:$M$2003,MATCH($Q2277+1,$P$4:$P$2003,0))&lt;&gt;INDEX($M$4:$M$2003,MATCH($Q2277,$P$4:$P$2003,0)),"B","S"))))</f>
        <v/>
      </c>
      <c r="S2278">
        <f>IF(Q2278="","",IFERROR(MATCH(Q2278,$P$4:$P$2003,0),""))</f>
        <v/>
      </c>
    </row>
    <row r="2279">
      <c r="A2279" s="4">
        <f>IF($R2279="","",IF($R2279="T","Gesamtergebnis",IF($R2279="B",INDEX($M$4:$M$2003,$S2279),INDEX($L$4:$L$2003,$S2279))))</f>
        <v/>
      </c>
      <c r="B2279" s="4">
        <f>IF($R2279="","",IF($R2279="T",$K$3,IF($R2279="B",COUNTIFS($M$4:$M$2003,INDEX($M$4:$M$2003,$S2279),$N$4:$N$2003,1),1)))</f>
        <v/>
      </c>
      <c r="Q2279">
        <f>IF(OR($R2278="",$R2278="T"),"",IF($R2278="B",$Q2278,IF($Q2278+1&gt;$K$3,"",$Q2278+1)))</f>
        <v/>
      </c>
      <c r="R2279">
        <f>IF(OR($R2278="",$R2278="T"),"",IF($R2278="B","S",IF($Q2278+1&gt;$K$3,"T",IF(INDEX($M$4:$M$2003,MATCH($Q2278+1,$P$4:$P$2003,0))&lt;&gt;INDEX($M$4:$M$2003,MATCH($Q2278,$P$4:$P$2003,0)),"B","S"))))</f>
        <v/>
      </c>
      <c r="S2279">
        <f>IF(Q2279="","",IFERROR(MATCH(Q2279,$P$4:$P$2003,0),""))</f>
        <v/>
      </c>
    </row>
    <row r="2280">
      <c r="A2280" s="4">
        <f>IF($R2280="","",IF($R2280="T","Gesamtergebnis",IF($R2280="B",INDEX($M$4:$M$2003,$S2280),INDEX($L$4:$L$2003,$S2280))))</f>
        <v/>
      </c>
      <c r="B2280" s="4">
        <f>IF($R2280="","",IF($R2280="T",$K$3,IF($R2280="B",COUNTIFS($M$4:$M$2003,INDEX($M$4:$M$2003,$S2280),$N$4:$N$2003,1),1)))</f>
        <v/>
      </c>
      <c r="Q2280">
        <f>IF(OR($R2279="",$R2279="T"),"",IF($R2279="B",$Q2279,IF($Q2279+1&gt;$K$3,"",$Q2279+1)))</f>
        <v/>
      </c>
      <c r="R2280">
        <f>IF(OR($R2279="",$R2279="T"),"",IF($R2279="B","S",IF($Q2279+1&gt;$K$3,"T",IF(INDEX($M$4:$M$2003,MATCH($Q2279+1,$P$4:$P$2003,0))&lt;&gt;INDEX($M$4:$M$2003,MATCH($Q2279,$P$4:$P$2003,0)),"B","S"))))</f>
        <v/>
      </c>
      <c r="S2280">
        <f>IF(Q2280="","",IFERROR(MATCH(Q2280,$P$4:$P$2003,0),""))</f>
        <v/>
      </c>
    </row>
    <row r="2281">
      <c r="A2281" s="4">
        <f>IF($R2281="","",IF($R2281="T","Gesamtergebnis",IF($R2281="B",INDEX($M$4:$M$2003,$S2281),INDEX($L$4:$L$2003,$S2281))))</f>
        <v/>
      </c>
      <c r="B2281" s="4">
        <f>IF($R2281="","",IF($R2281="T",$K$3,IF($R2281="B",COUNTIFS($M$4:$M$2003,INDEX($M$4:$M$2003,$S2281),$N$4:$N$2003,1),1)))</f>
        <v/>
      </c>
      <c r="Q2281">
        <f>IF(OR($R2280="",$R2280="T"),"",IF($R2280="B",$Q2280,IF($Q2280+1&gt;$K$3,"",$Q2280+1)))</f>
        <v/>
      </c>
      <c r="R2281">
        <f>IF(OR($R2280="",$R2280="T"),"",IF($R2280="B","S",IF($Q2280+1&gt;$K$3,"T",IF(INDEX($M$4:$M$2003,MATCH($Q2280+1,$P$4:$P$2003,0))&lt;&gt;INDEX($M$4:$M$2003,MATCH($Q2280,$P$4:$P$2003,0)),"B","S"))))</f>
        <v/>
      </c>
      <c r="S2281">
        <f>IF(Q2281="","",IFERROR(MATCH(Q2281,$P$4:$P$2003,0),""))</f>
        <v/>
      </c>
    </row>
    <row r="2282">
      <c r="A2282" s="4">
        <f>IF($R2282="","",IF($R2282="T","Gesamtergebnis",IF($R2282="B",INDEX($M$4:$M$2003,$S2282),INDEX($L$4:$L$2003,$S2282))))</f>
        <v/>
      </c>
      <c r="B2282" s="4">
        <f>IF($R2282="","",IF($R2282="T",$K$3,IF($R2282="B",COUNTIFS($M$4:$M$2003,INDEX($M$4:$M$2003,$S2282),$N$4:$N$2003,1),1)))</f>
        <v/>
      </c>
      <c r="Q2282">
        <f>IF(OR($R2281="",$R2281="T"),"",IF($R2281="B",$Q2281,IF($Q2281+1&gt;$K$3,"",$Q2281+1)))</f>
        <v/>
      </c>
      <c r="R2282">
        <f>IF(OR($R2281="",$R2281="T"),"",IF($R2281="B","S",IF($Q2281+1&gt;$K$3,"T",IF(INDEX($M$4:$M$2003,MATCH($Q2281+1,$P$4:$P$2003,0))&lt;&gt;INDEX($M$4:$M$2003,MATCH($Q2281,$P$4:$P$2003,0)),"B","S"))))</f>
        <v/>
      </c>
      <c r="S2282">
        <f>IF(Q2282="","",IFERROR(MATCH(Q2282,$P$4:$P$2003,0),""))</f>
        <v/>
      </c>
    </row>
    <row r="2283">
      <c r="A2283" s="4">
        <f>IF($R2283="","",IF($R2283="T","Gesamtergebnis",IF($R2283="B",INDEX($M$4:$M$2003,$S2283),INDEX($L$4:$L$2003,$S2283))))</f>
        <v/>
      </c>
      <c r="B2283" s="4">
        <f>IF($R2283="","",IF($R2283="T",$K$3,IF($R2283="B",COUNTIFS($M$4:$M$2003,INDEX($M$4:$M$2003,$S2283),$N$4:$N$2003,1),1)))</f>
        <v/>
      </c>
      <c r="Q2283">
        <f>IF(OR($R2282="",$R2282="T"),"",IF($R2282="B",$Q2282,IF($Q2282+1&gt;$K$3,"",$Q2282+1)))</f>
        <v/>
      </c>
      <c r="R2283">
        <f>IF(OR($R2282="",$R2282="T"),"",IF($R2282="B","S",IF($Q2282+1&gt;$K$3,"T",IF(INDEX($M$4:$M$2003,MATCH($Q2282+1,$P$4:$P$2003,0))&lt;&gt;INDEX($M$4:$M$2003,MATCH($Q2282,$P$4:$P$2003,0)),"B","S"))))</f>
        <v/>
      </c>
      <c r="S2283">
        <f>IF(Q2283="","",IFERROR(MATCH(Q2283,$P$4:$P$2003,0),""))</f>
        <v/>
      </c>
    </row>
    <row r="2284">
      <c r="A2284" s="4">
        <f>IF($R2284="","",IF($R2284="T","Gesamtergebnis",IF($R2284="B",INDEX($M$4:$M$2003,$S2284),INDEX($L$4:$L$2003,$S2284))))</f>
        <v/>
      </c>
      <c r="B2284" s="4">
        <f>IF($R2284="","",IF($R2284="T",$K$3,IF($R2284="B",COUNTIFS($M$4:$M$2003,INDEX($M$4:$M$2003,$S2284),$N$4:$N$2003,1),1)))</f>
        <v/>
      </c>
      <c r="Q2284">
        <f>IF(OR($R2283="",$R2283="T"),"",IF($R2283="B",$Q2283,IF($Q2283+1&gt;$K$3,"",$Q2283+1)))</f>
        <v/>
      </c>
      <c r="R2284">
        <f>IF(OR($R2283="",$R2283="T"),"",IF($R2283="B","S",IF($Q2283+1&gt;$K$3,"T",IF(INDEX($M$4:$M$2003,MATCH($Q2283+1,$P$4:$P$2003,0))&lt;&gt;INDEX($M$4:$M$2003,MATCH($Q2283,$P$4:$P$2003,0)),"B","S"))))</f>
        <v/>
      </c>
      <c r="S2284">
        <f>IF(Q2284="","",IFERROR(MATCH(Q2284,$P$4:$P$2003,0),""))</f>
        <v/>
      </c>
    </row>
    <row r="2285">
      <c r="A2285" s="4">
        <f>IF($R2285="","",IF($R2285="T","Gesamtergebnis",IF($R2285="B",INDEX($M$4:$M$2003,$S2285),INDEX($L$4:$L$2003,$S2285))))</f>
        <v/>
      </c>
      <c r="B2285" s="4">
        <f>IF($R2285="","",IF($R2285="T",$K$3,IF($R2285="B",COUNTIFS($M$4:$M$2003,INDEX($M$4:$M$2003,$S2285),$N$4:$N$2003,1),1)))</f>
        <v/>
      </c>
      <c r="Q2285">
        <f>IF(OR($R2284="",$R2284="T"),"",IF($R2284="B",$Q2284,IF($Q2284+1&gt;$K$3,"",$Q2284+1)))</f>
        <v/>
      </c>
      <c r="R2285">
        <f>IF(OR($R2284="",$R2284="T"),"",IF($R2284="B","S",IF($Q2284+1&gt;$K$3,"T",IF(INDEX($M$4:$M$2003,MATCH($Q2284+1,$P$4:$P$2003,0))&lt;&gt;INDEX($M$4:$M$2003,MATCH($Q2284,$P$4:$P$2003,0)),"B","S"))))</f>
        <v/>
      </c>
      <c r="S2285">
        <f>IF(Q2285="","",IFERROR(MATCH(Q2285,$P$4:$P$2003,0),""))</f>
        <v/>
      </c>
    </row>
    <row r="2286">
      <c r="A2286" s="4">
        <f>IF($R2286="","",IF($R2286="T","Gesamtergebnis",IF($R2286="B",INDEX($M$4:$M$2003,$S2286),INDEX($L$4:$L$2003,$S2286))))</f>
        <v/>
      </c>
      <c r="B2286" s="4">
        <f>IF($R2286="","",IF($R2286="T",$K$3,IF($R2286="B",COUNTIFS($M$4:$M$2003,INDEX($M$4:$M$2003,$S2286),$N$4:$N$2003,1),1)))</f>
        <v/>
      </c>
      <c r="Q2286">
        <f>IF(OR($R2285="",$R2285="T"),"",IF($R2285="B",$Q2285,IF($Q2285+1&gt;$K$3,"",$Q2285+1)))</f>
        <v/>
      </c>
      <c r="R2286">
        <f>IF(OR($R2285="",$R2285="T"),"",IF($R2285="B","S",IF($Q2285+1&gt;$K$3,"T",IF(INDEX($M$4:$M$2003,MATCH($Q2285+1,$P$4:$P$2003,0))&lt;&gt;INDEX($M$4:$M$2003,MATCH($Q2285,$P$4:$P$2003,0)),"B","S"))))</f>
        <v/>
      </c>
      <c r="S2286">
        <f>IF(Q2286="","",IFERROR(MATCH(Q2286,$P$4:$P$2003,0),""))</f>
        <v/>
      </c>
    </row>
    <row r="2287">
      <c r="A2287" s="4">
        <f>IF($R2287="","",IF($R2287="T","Gesamtergebnis",IF($R2287="B",INDEX($M$4:$M$2003,$S2287),INDEX($L$4:$L$2003,$S2287))))</f>
        <v/>
      </c>
      <c r="B2287" s="4">
        <f>IF($R2287="","",IF($R2287="T",$K$3,IF($R2287="B",COUNTIFS($M$4:$M$2003,INDEX($M$4:$M$2003,$S2287),$N$4:$N$2003,1),1)))</f>
        <v/>
      </c>
      <c r="Q2287">
        <f>IF(OR($R2286="",$R2286="T"),"",IF($R2286="B",$Q2286,IF($Q2286+1&gt;$K$3,"",$Q2286+1)))</f>
        <v/>
      </c>
      <c r="R2287">
        <f>IF(OR($R2286="",$R2286="T"),"",IF($R2286="B","S",IF($Q2286+1&gt;$K$3,"T",IF(INDEX($M$4:$M$2003,MATCH($Q2286+1,$P$4:$P$2003,0))&lt;&gt;INDEX($M$4:$M$2003,MATCH($Q2286,$P$4:$P$2003,0)),"B","S"))))</f>
        <v/>
      </c>
      <c r="S2287">
        <f>IF(Q2287="","",IFERROR(MATCH(Q2287,$P$4:$P$2003,0),""))</f>
        <v/>
      </c>
    </row>
    <row r="2288">
      <c r="A2288" s="4">
        <f>IF($R2288="","",IF($R2288="T","Gesamtergebnis",IF($R2288="B",INDEX($M$4:$M$2003,$S2288),INDEX($L$4:$L$2003,$S2288))))</f>
        <v/>
      </c>
      <c r="B2288" s="4">
        <f>IF($R2288="","",IF($R2288="T",$K$3,IF($R2288="B",COUNTIFS($M$4:$M$2003,INDEX($M$4:$M$2003,$S2288),$N$4:$N$2003,1),1)))</f>
        <v/>
      </c>
      <c r="Q2288">
        <f>IF(OR($R2287="",$R2287="T"),"",IF($R2287="B",$Q2287,IF($Q2287+1&gt;$K$3,"",$Q2287+1)))</f>
        <v/>
      </c>
      <c r="R2288">
        <f>IF(OR($R2287="",$R2287="T"),"",IF($R2287="B","S",IF($Q2287+1&gt;$K$3,"T",IF(INDEX($M$4:$M$2003,MATCH($Q2287+1,$P$4:$P$2003,0))&lt;&gt;INDEX($M$4:$M$2003,MATCH($Q2287,$P$4:$P$2003,0)),"B","S"))))</f>
        <v/>
      </c>
      <c r="S2288">
        <f>IF(Q2288="","",IFERROR(MATCH(Q2288,$P$4:$P$2003,0),""))</f>
        <v/>
      </c>
    </row>
    <row r="2289">
      <c r="A2289" s="4">
        <f>IF($R2289="","",IF($R2289="T","Gesamtergebnis",IF($R2289="B",INDEX($M$4:$M$2003,$S2289),INDEX($L$4:$L$2003,$S2289))))</f>
        <v/>
      </c>
      <c r="B2289" s="4">
        <f>IF($R2289="","",IF($R2289="T",$K$3,IF($R2289="B",COUNTIFS($M$4:$M$2003,INDEX($M$4:$M$2003,$S2289),$N$4:$N$2003,1),1)))</f>
        <v/>
      </c>
      <c r="Q2289">
        <f>IF(OR($R2288="",$R2288="T"),"",IF($R2288="B",$Q2288,IF($Q2288+1&gt;$K$3,"",$Q2288+1)))</f>
        <v/>
      </c>
      <c r="R2289">
        <f>IF(OR($R2288="",$R2288="T"),"",IF($R2288="B","S",IF($Q2288+1&gt;$K$3,"T",IF(INDEX($M$4:$M$2003,MATCH($Q2288+1,$P$4:$P$2003,0))&lt;&gt;INDEX($M$4:$M$2003,MATCH($Q2288,$P$4:$P$2003,0)),"B","S"))))</f>
        <v/>
      </c>
      <c r="S2289">
        <f>IF(Q2289="","",IFERROR(MATCH(Q2289,$P$4:$P$2003,0),""))</f>
        <v/>
      </c>
    </row>
    <row r="2290">
      <c r="A2290" s="4">
        <f>IF($R2290="","",IF($R2290="T","Gesamtergebnis",IF($R2290="B",INDEX($M$4:$M$2003,$S2290),INDEX($L$4:$L$2003,$S2290))))</f>
        <v/>
      </c>
      <c r="B2290" s="4">
        <f>IF($R2290="","",IF($R2290="T",$K$3,IF($R2290="B",COUNTIFS($M$4:$M$2003,INDEX($M$4:$M$2003,$S2290),$N$4:$N$2003,1),1)))</f>
        <v/>
      </c>
      <c r="Q2290">
        <f>IF(OR($R2289="",$R2289="T"),"",IF($R2289="B",$Q2289,IF($Q2289+1&gt;$K$3,"",$Q2289+1)))</f>
        <v/>
      </c>
      <c r="R2290">
        <f>IF(OR($R2289="",$R2289="T"),"",IF($R2289="B","S",IF($Q2289+1&gt;$K$3,"T",IF(INDEX($M$4:$M$2003,MATCH($Q2289+1,$P$4:$P$2003,0))&lt;&gt;INDEX($M$4:$M$2003,MATCH($Q2289,$P$4:$P$2003,0)),"B","S"))))</f>
        <v/>
      </c>
      <c r="S2290">
        <f>IF(Q2290="","",IFERROR(MATCH(Q2290,$P$4:$P$2003,0),""))</f>
        <v/>
      </c>
    </row>
    <row r="2291">
      <c r="A2291" s="4">
        <f>IF($R2291="","",IF($R2291="T","Gesamtergebnis",IF($R2291="B",INDEX($M$4:$M$2003,$S2291),INDEX($L$4:$L$2003,$S2291))))</f>
        <v/>
      </c>
      <c r="B2291" s="4">
        <f>IF($R2291="","",IF($R2291="T",$K$3,IF($R2291="B",COUNTIFS($M$4:$M$2003,INDEX($M$4:$M$2003,$S2291),$N$4:$N$2003,1),1)))</f>
        <v/>
      </c>
      <c r="Q2291">
        <f>IF(OR($R2290="",$R2290="T"),"",IF($R2290="B",$Q2290,IF($Q2290+1&gt;$K$3,"",$Q2290+1)))</f>
        <v/>
      </c>
      <c r="R2291">
        <f>IF(OR($R2290="",$R2290="T"),"",IF($R2290="B","S",IF($Q2290+1&gt;$K$3,"T",IF(INDEX($M$4:$M$2003,MATCH($Q2290+1,$P$4:$P$2003,0))&lt;&gt;INDEX($M$4:$M$2003,MATCH($Q2290,$P$4:$P$2003,0)),"B","S"))))</f>
        <v/>
      </c>
      <c r="S2291">
        <f>IF(Q2291="","",IFERROR(MATCH(Q2291,$P$4:$P$2003,0),""))</f>
        <v/>
      </c>
    </row>
    <row r="2292">
      <c r="A2292" s="4">
        <f>IF($R2292="","",IF($R2292="T","Gesamtergebnis",IF($R2292="B",INDEX($M$4:$M$2003,$S2292),INDEX($L$4:$L$2003,$S2292))))</f>
        <v/>
      </c>
      <c r="B2292" s="4">
        <f>IF($R2292="","",IF($R2292="T",$K$3,IF($R2292="B",COUNTIFS($M$4:$M$2003,INDEX($M$4:$M$2003,$S2292),$N$4:$N$2003,1),1)))</f>
        <v/>
      </c>
      <c r="Q2292">
        <f>IF(OR($R2291="",$R2291="T"),"",IF($R2291="B",$Q2291,IF($Q2291+1&gt;$K$3,"",$Q2291+1)))</f>
        <v/>
      </c>
      <c r="R2292">
        <f>IF(OR($R2291="",$R2291="T"),"",IF($R2291="B","S",IF($Q2291+1&gt;$K$3,"T",IF(INDEX($M$4:$M$2003,MATCH($Q2291+1,$P$4:$P$2003,0))&lt;&gt;INDEX($M$4:$M$2003,MATCH($Q2291,$P$4:$P$2003,0)),"B","S"))))</f>
        <v/>
      </c>
      <c r="S2292">
        <f>IF(Q2292="","",IFERROR(MATCH(Q2292,$P$4:$P$2003,0),""))</f>
        <v/>
      </c>
    </row>
    <row r="2293">
      <c r="A2293" s="4">
        <f>IF($R2293="","",IF($R2293="T","Gesamtergebnis",IF($R2293="B",INDEX($M$4:$M$2003,$S2293),INDEX($L$4:$L$2003,$S2293))))</f>
        <v/>
      </c>
      <c r="B2293" s="4">
        <f>IF($R2293="","",IF($R2293="T",$K$3,IF($R2293="B",COUNTIFS($M$4:$M$2003,INDEX($M$4:$M$2003,$S2293),$N$4:$N$2003,1),1)))</f>
        <v/>
      </c>
      <c r="Q2293">
        <f>IF(OR($R2292="",$R2292="T"),"",IF($R2292="B",$Q2292,IF($Q2292+1&gt;$K$3,"",$Q2292+1)))</f>
        <v/>
      </c>
      <c r="R2293">
        <f>IF(OR($R2292="",$R2292="T"),"",IF($R2292="B","S",IF($Q2292+1&gt;$K$3,"T",IF(INDEX($M$4:$M$2003,MATCH($Q2292+1,$P$4:$P$2003,0))&lt;&gt;INDEX($M$4:$M$2003,MATCH($Q2292,$P$4:$P$2003,0)),"B","S"))))</f>
        <v/>
      </c>
      <c r="S2293">
        <f>IF(Q2293="","",IFERROR(MATCH(Q2293,$P$4:$P$2003,0),""))</f>
        <v/>
      </c>
    </row>
    <row r="2294">
      <c r="A2294" s="4">
        <f>IF($R2294="","",IF($R2294="T","Gesamtergebnis",IF($R2294="B",INDEX($M$4:$M$2003,$S2294),INDEX($L$4:$L$2003,$S2294))))</f>
        <v/>
      </c>
      <c r="B2294" s="4">
        <f>IF($R2294="","",IF($R2294="T",$K$3,IF($R2294="B",COUNTIFS($M$4:$M$2003,INDEX($M$4:$M$2003,$S2294),$N$4:$N$2003,1),1)))</f>
        <v/>
      </c>
      <c r="Q2294">
        <f>IF(OR($R2293="",$R2293="T"),"",IF($R2293="B",$Q2293,IF($Q2293+1&gt;$K$3,"",$Q2293+1)))</f>
        <v/>
      </c>
      <c r="R2294">
        <f>IF(OR($R2293="",$R2293="T"),"",IF($R2293="B","S",IF($Q2293+1&gt;$K$3,"T",IF(INDEX($M$4:$M$2003,MATCH($Q2293+1,$P$4:$P$2003,0))&lt;&gt;INDEX($M$4:$M$2003,MATCH($Q2293,$P$4:$P$2003,0)),"B","S"))))</f>
        <v/>
      </c>
      <c r="S2294">
        <f>IF(Q2294="","",IFERROR(MATCH(Q2294,$P$4:$P$2003,0),""))</f>
        <v/>
      </c>
    </row>
    <row r="2295">
      <c r="A2295" s="4">
        <f>IF($R2295="","",IF($R2295="T","Gesamtergebnis",IF($R2295="B",INDEX($M$4:$M$2003,$S2295),INDEX($L$4:$L$2003,$S2295))))</f>
        <v/>
      </c>
      <c r="B2295" s="4">
        <f>IF($R2295="","",IF($R2295="T",$K$3,IF($R2295="B",COUNTIFS($M$4:$M$2003,INDEX($M$4:$M$2003,$S2295),$N$4:$N$2003,1),1)))</f>
        <v/>
      </c>
      <c r="Q2295">
        <f>IF(OR($R2294="",$R2294="T"),"",IF($R2294="B",$Q2294,IF($Q2294+1&gt;$K$3,"",$Q2294+1)))</f>
        <v/>
      </c>
      <c r="R2295">
        <f>IF(OR($R2294="",$R2294="T"),"",IF($R2294="B","S",IF($Q2294+1&gt;$K$3,"T",IF(INDEX($M$4:$M$2003,MATCH($Q2294+1,$P$4:$P$2003,0))&lt;&gt;INDEX($M$4:$M$2003,MATCH($Q2294,$P$4:$P$2003,0)),"B","S"))))</f>
        <v/>
      </c>
      <c r="S2295">
        <f>IF(Q2295="","",IFERROR(MATCH(Q2295,$P$4:$P$2003,0),""))</f>
        <v/>
      </c>
    </row>
    <row r="2296">
      <c r="A2296" s="4">
        <f>IF($R2296="","",IF($R2296="T","Gesamtergebnis",IF($R2296="B",INDEX($M$4:$M$2003,$S2296),INDEX($L$4:$L$2003,$S2296))))</f>
        <v/>
      </c>
      <c r="B2296" s="4">
        <f>IF($R2296="","",IF($R2296="T",$K$3,IF($R2296="B",COUNTIFS($M$4:$M$2003,INDEX($M$4:$M$2003,$S2296),$N$4:$N$2003,1),1)))</f>
        <v/>
      </c>
      <c r="Q2296">
        <f>IF(OR($R2295="",$R2295="T"),"",IF($R2295="B",$Q2295,IF($Q2295+1&gt;$K$3,"",$Q2295+1)))</f>
        <v/>
      </c>
      <c r="R2296">
        <f>IF(OR($R2295="",$R2295="T"),"",IF($R2295="B","S",IF($Q2295+1&gt;$K$3,"T",IF(INDEX($M$4:$M$2003,MATCH($Q2295+1,$P$4:$P$2003,0))&lt;&gt;INDEX($M$4:$M$2003,MATCH($Q2295,$P$4:$P$2003,0)),"B","S"))))</f>
        <v/>
      </c>
      <c r="S2296">
        <f>IF(Q2296="","",IFERROR(MATCH(Q2296,$P$4:$P$2003,0),""))</f>
        <v/>
      </c>
    </row>
    <row r="2297">
      <c r="A2297" s="4">
        <f>IF($R2297="","",IF($R2297="T","Gesamtergebnis",IF($R2297="B",INDEX($M$4:$M$2003,$S2297),INDEX($L$4:$L$2003,$S2297))))</f>
        <v/>
      </c>
      <c r="B2297" s="4">
        <f>IF($R2297="","",IF($R2297="T",$K$3,IF($R2297="B",COUNTIFS($M$4:$M$2003,INDEX($M$4:$M$2003,$S2297),$N$4:$N$2003,1),1)))</f>
        <v/>
      </c>
      <c r="Q2297">
        <f>IF(OR($R2296="",$R2296="T"),"",IF($R2296="B",$Q2296,IF($Q2296+1&gt;$K$3,"",$Q2296+1)))</f>
        <v/>
      </c>
      <c r="R2297">
        <f>IF(OR($R2296="",$R2296="T"),"",IF($R2296="B","S",IF($Q2296+1&gt;$K$3,"T",IF(INDEX($M$4:$M$2003,MATCH($Q2296+1,$P$4:$P$2003,0))&lt;&gt;INDEX($M$4:$M$2003,MATCH($Q2296,$P$4:$P$2003,0)),"B","S"))))</f>
        <v/>
      </c>
      <c r="S2297">
        <f>IF(Q2297="","",IFERROR(MATCH(Q2297,$P$4:$P$2003,0),""))</f>
        <v/>
      </c>
    </row>
    <row r="2298">
      <c r="A2298" s="4">
        <f>IF($R2298="","",IF($R2298="T","Gesamtergebnis",IF($R2298="B",INDEX($M$4:$M$2003,$S2298),INDEX($L$4:$L$2003,$S2298))))</f>
        <v/>
      </c>
      <c r="B2298" s="4">
        <f>IF($R2298="","",IF($R2298="T",$K$3,IF($R2298="B",COUNTIFS($M$4:$M$2003,INDEX($M$4:$M$2003,$S2298),$N$4:$N$2003,1),1)))</f>
        <v/>
      </c>
      <c r="Q2298">
        <f>IF(OR($R2297="",$R2297="T"),"",IF($R2297="B",$Q2297,IF($Q2297+1&gt;$K$3,"",$Q2297+1)))</f>
        <v/>
      </c>
      <c r="R2298">
        <f>IF(OR($R2297="",$R2297="T"),"",IF($R2297="B","S",IF($Q2297+1&gt;$K$3,"T",IF(INDEX($M$4:$M$2003,MATCH($Q2297+1,$P$4:$P$2003,0))&lt;&gt;INDEX($M$4:$M$2003,MATCH($Q2297,$P$4:$P$2003,0)),"B","S"))))</f>
        <v/>
      </c>
      <c r="S2298">
        <f>IF(Q2298="","",IFERROR(MATCH(Q2298,$P$4:$P$2003,0),""))</f>
        <v/>
      </c>
    </row>
    <row r="2299">
      <c r="A2299" s="4">
        <f>IF($R2299="","",IF($R2299="T","Gesamtergebnis",IF($R2299="B",INDEX($M$4:$M$2003,$S2299),INDEX($L$4:$L$2003,$S2299))))</f>
        <v/>
      </c>
      <c r="B2299" s="4">
        <f>IF($R2299="","",IF($R2299="T",$K$3,IF($R2299="B",COUNTIFS($M$4:$M$2003,INDEX($M$4:$M$2003,$S2299),$N$4:$N$2003,1),1)))</f>
        <v/>
      </c>
      <c r="Q2299">
        <f>IF(OR($R2298="",$R2298="T"),"",IF($R2298="B",$Q2298,IF($Q2298+1&gt;$K$3,"",$Q2298+1)))</f>
        <v/>
      </c>
      <c r="R2299">
        <f>IF(OR($R2298="",$R2298="T"),"",IF($R2298="B","S",IF($Q2298+1&gt;$K$3,"T",IF(INDEX($M$4:$M$2003,MATCH($Q2298+1,$P$4:$P$2003,0))&lt;&gt;INDEX($M$4:$M$2003,MATCH($Q2298,$P$4:$P$2003,0)),"B","S"))))</f>
        <v/>
      </c>
      <c r="S2299">
        <f>IF(Q2299="","",IFERROR(MATCH(Q2299,$P$4:$P$2003,0),""))</f>
        <v/>
      </c>
    </row>
    <row r="2300">
      <c r="A2300" s="4">
        <f>IF($R2300="","",IF($R2300="T","Gesamtergebnis",IF($R2300="B",INDEX($M$4:$M$2003,$S2300),INDEX($L$4:$L$2003,$S2300))))</f>
        <v/>
      </c>
      <c r="B2300" s="4">
        <f>IF($R2300="","",IF($R2300="T",$K$3,IF($R2300="B",COUNTIFS($M$4:$M$2003,INDEX($M$4:$M$2003,$S2300),$N$4:$N$2003,1),1)))</f>
        <v/>
      </c>
      <c r="Q2300">
        <f>IF(OR($R2299="",$R2299="T"),"",IF($R2299="B",$Q2299,IF($Q2299+1&gt;$K$3,"",$Q2299+1)))</f>
        <v/>
      </c>
      <c r="R2300">
        <f>IF(OR($R2299="",$R2299="T"),"",IF($R2299="B","S",IF($Q2299+1&gt;$K$3,"T",IF(INDEX($M$4:$M$2003,MATCH($Q2299+1,$P$4:$P$2003,0))&lt;&gt;INDEX($M$4:$M$2003,MATCH($Q2299,$P$4:$P$2003,0)),"B","S"))))</f>
        <v/>
      </c>
      <c r="S2300">
        <f>IF(Q2300="","",IFERROR(MATCH(Q2300,$P$4:$P$2003,0),""))</f>
        <v/>
      </c>
    </row>
    <row r="2301">
      <c r="A2301" s="4">
        <f>IF($R2301="","",IF($R2301="T","Gesamtergebnis",IF($R2301="B",INDEX($M$4:$M$2003,$S2301),INDEX($L$4:$L$2003,$S2301))))</f>
        <v/>
      </c>
      <c r="B2301" s="4">
        <f>IF($R2301="","",IF($R2301="T",$K$3,IF($R2301="B",COUNTIFS($M$4:$M$2003,INDEX($M$4:$M$2003,$S2301),$N$4:$N$2003,1),1)))</f>
        <v/>
      </c>
      <c r="Q2301">
        <f>IF(OR($R2300="",$R2300="T"),"",IF($R2300="B",$Q2300,IF($Q2300+1&gt;$K$3,"",$Q2300+1)))</f>
        <v/>
      </c>
      <c r="R2301">
        <f>IF(OR($R2300="",$R2300="T"),"",IF($R2300="B","S",IF($Q2300+1&gt;$K$3,"T",IF(INDEX($M$4:$M$2003,MATCH($Q2300+1,$P$4:$P$2003,0))&lt;&gt;INDEX($M$4:$M$2003,MATCH($Q2300,$P$4:$P$2003,0)),"B","S"))))</f>
        <v/>
      </c>
      <c r="S2301">
        <f>IF(Q2301="","",IFERROR(MATCH(Q2301,$P$4:$P$2003,0),""))</f>
        <v/>
      </c>
    </row>
    <row r="2302">
      <c r="A2302" s="4">
        <f>IF($R2302="","",IF($R2302="T","Gesamtergebnis",IF($R2302="B",INDEX($M$4:$M$2003,$S2302),INDEX($L$4:$L$2003,$S2302))))</f>
        <v/>
      </c>
      <c r="B2302" s="4">
        <f>IF($R2302="","",IF($R2302="T",$K$3,IF($R2302="B",COUNTIFS($M$4:$M$2003,INDEX($M$4:$M$2003,$S2302),$N$4:$N$2003,1),1)))</f>
        <v/>
      </c>
      <c r="Q2302">
        <f>IF(OR($R2301="",$R2301="T"),"",IF($R2301="B",$Q2301,IF($Q2301+1&gt;$K$3,"",$Q2301+1)))</f>
        <v/>
      </c>
      <c r="R2302">
        <f>IF(OR($R2301="",$R2301="T"),"",IF($R2301="B","S",IF($Q2301+1&gt;$K$3,"T",IF(INDEX($M$4:$M$2003,MATCH($Q2301+1,$P$4:$P$2003,0))&lt;&gt;INDEX($M$4:$M$2003,MATCH($Q2301,$P$4:$P$2003,0)),"B","S"))))</f>
        <v/>
      </c>
      <c r="S2302">
        <f>IF(Q2302="","",IFERROR(MATCH(Q2302,$P$4:$P$2003,0),""))</f>
        <v/>
      </c>
    </row>
    <row r="2303">
      <c r="A2303" s="4">
        <f>IF($R2303="","",IF($R2303="T","Gesamtergebnis",IF($R2303="B",INDEX($M$4:$M$2003,$S2303),INDEX($L$4:$L$2003,$S2303))))</f>
        <v/>
      </c>
      <c r="B2303" s="4">
        <f>IF($R2303="","",IF($R2303="T",$K$3,IF($R2303="B",COUNTIFS($M$4:$M$2003,INDEX($M$4:$M$2003,$S2303),$N$4:$N$2003,1),1)))</f>
        <v/>
      </c>
      <c r="Q2303">
        <f>IF(OR($R2302="",$R2302="T"),"",IF($R2302="B",$Q2302,IF($Q2302+1&gt;$K$3,"",$Q2302+1)))</f>
        <v/>
      </c>
      <c r="R2303">
        <f>IF(OR($R2302="",$R2302="T"),"",IF($R2302="B","S",IF($Q2302+1&gt;$K$3,"T",IF(INDEX($M$4:$M$2003,MATCH($Q2302+1,$P$4:$P$2003,0))&lt;&gt;INDEX($M$4:$M$2003,MATCH($Q2302,$P$4:$P$2003,0)),"B","S"))))</f>
        <v/>
      </c>
      <c r="S2303">
        <f>IF(Q2303="","",IFERROR(MATCH(Q2303,$P$4:$P$2003,0),""))</f>
        <v/>
      </c>
    </row>
    <row r="2304">
      <c r="A2304" s="4">
        <f>IF($R2304="","",IF($R2304="T","Gesamtergebnis",IF($R2304="B",INDEX($M$4:$M$2003,$S2304),INDEX($L$4:$L$2003,$S2304))))</f>
        <v/>
      </c>
      <c r="B2304" s="4">
        <f>IF($R2304="","",IF($R2304="T",$K$3,IF($R2304="B",COUNTIFS($M$4:$M$2003,INDEX($M$4:$M$2003,$S2304),$N$4:$N$2003,1),1)))</f>
        <v/>
      </c>
      <c r="Q2304">
        <f>IF(OR($R2303="",$R2303="T"),"",IF($R2303="B",$Q2303,IF($Q2303+1&gt;$K$3,"",$Q2303+1)))</f>
        <v/>
      </c>
      <c r="R2304">
        <f>IF(OR($R2303="",$R2303="T"),"",IF($R2303="B","S",IF($Q2303+1&gt;$K$3,"T",IF(INDEX($M$4:$M$2003,MATCH($Q2303+1,$P$4:$P$2003,0))&lt;&gt;INDEX($M$4:$M$2003,MATCH($Q2303,$P$4:$P$2003,0)),"B","S"))))</f>
        <v/>
      </c>
      <c r="S2304">
        <f>IF(Q2304="","",IFERROR(MATCH(Q2304,$P$4:$P$2003,0),""))</f>
        <v/>
      </c>
    </row>
    <row r="2305">
      <c r="A2305" s="4">
        <f>IF($R2305="","",IF($R2305="T","Gesamtergebnis",IF($R2305="B",INDEX($M$4:$M$2003,$S2305),INDEX($L$4:$L$2003,$S2305))))</f>
        <v/>
      </c>
      <c r="B2305" s="4">
        <f>IF($R2305="","",IF($R2305="T",$K$3,IF($R2305="B",COUNTIFS($M$4:$M$2003,INDEX($M$4:$M$2003,$S2305),$N$4:$N$2003,1),1)))</f>
        <v/>
      </c>
      <c r="Q2305">
        <f>IF(OR($R2304="",$R2304="T"),"",IF($R2304="B",$Q2304,IF($Q2304+1&gt;$K$3,"",$Q2304+1)))</f>
        <v/>
      </c>
      <c r="R2305">
        <f>IF(OR($R2304="",$R2304="T"),"",IF($R2304="B","S",IF($Q2304+1&gt;$K$3,"T",IF(INDEX($M$4:$M$2003,MATCH($Q2304+1,$P$4:$P$2003,0))&lt;&gt;INDEX($M$4:$M$2003,MATCH($Q2304,$P$4:$P$2003,0)),"B","S"))))</f>
        <v/>
      </c>
      <c r="S2305">
        <f>IF(Q2305="","",IFERROR(MATCH(Q2305,$P$4:$P$2003,0),""))</f>
        <v/>
      </c>
    </row>
    <row r="2306">
      <c r="A2306" s="4">
        <f>IF($R2306="","",IF($R2306="T","Gesamtergebnis",IF($R2306="B",INDEX($M$4:$M$2003,$S2306),INDEX($L$4:$L$2003,$S2306))))</f>
        <v/>
      </c>
      <c r="B2306" s="4">
        <f>IF($R2306="","",IF($R2306="T",$K$3,IF($R2306="B",COUNTIFS($M$4:$M$2003,INDEX($M$4:$M$2003,$S2306),$N$4:$N$2003,1),1)))</f>
        <v/>
      </c>
      <c r="Q2306">
        <f>IF(OR($R2305="",$R2305="T"),"",IF($R2305="B",$Q2305,IF($Q2305+1&gt;$K$3,"",$Q2305+1)))</f>
        <v/>
      </c>
      <c r="R2306">
        <f>IF(OR($R2305="",$R2305="T"),"",IF($R2305="B","S",IF($Q2305+1&gt;$K$3,"T",IF(INDEX($M$4:$M$2003,MATCH($Q2305+1,$P$4:$P$2003,0))&lt;&gt;INDEX($M$4:$M$2003,MATCH($Q2305,$P$4:$P$2003,0)),"B","S"))))</f>
        <v/>
      </c>
      <c r="S2306">
        <f>IF(Q2306="","",IFERROR(MATCH(Q2306,$P$4:$P$2003,0),""))</f>
        <v/>
      </c>
    </row>
    <row r="2307">
      <c r="A2307" s="4">
        <f>IF($R2307="","",IF($R2307="T","Gesamtergebnis",IF($R2307="B",INDEX($M$4:$M$2003,$S2307),INDEX($L$4:$L$2003,$S2307))))</f>
        <v/>
      </c>
      <c r="B2307" s="4">
        <f>IF($R2307="","",IF($R2307="T",$K$3,IF($R2307="B",COUNTIFS($M$4:$M$2003,INDEX($M$4:$M$2003,$S2307),$N$4:$N$2003,1),1)))</f>
        <v/>
      </c>
      <c r="Q2307">
        <f>IF(OR($R2306="",$R2306="T"),"",IF($R2306="B",$Q2306,IF($Q2306+1&gt;$K$3,"",$Q2306+1)))</f>
        <v/>
      </c>
      <c r="R2307">
        <f>IF(OR($R2306="",$R2306="T"),"",IF($R2306="B","S",IF($Q2306+1&gt;$K$3,"T",IF(INDEX($M$4:$M$2003,MATCH($Q2306+1,$P$4:$P$2003,0))&lt;&gt;INDEX($M$4:$M$2003,MATCH($Q2306,$P$4:$P$2003,0)),"B","S"))))</f>
        <v/>
      </c>
      <c r="S2307">
        <f>IF(Q2307="","",IFERROR(MATCH(Q2307,$P$4:$P$2003,0),""))</f>
        <v/>
      </c>
    </row>
    <row r="2308">
      <c r="A2308" s="4">
        <f>IF($R2308="","",IF($R2308="T","Gesamtergebnis",IF($R2308="B",INDEX($M$4:$M$2003,$S2308),INDEX($L$4:$L$2003,$S2308))))</f>
        <v/>
      </c>
      <c r="B2308" s="4">
        <f>IF($R2308="","",IF($R2308="T",$K$3,IF($R2308="B",COUNTIFS($M$4:$M$2003,INDEX($M$4:$M$2003,$S2308),$N$4:$N$2003,1),1)))</f>
        <v/>
      </c>
      <c r="Q2308">
        <f>IF(OR($R2307="",$R2307="T"),"",IF($R2307="B",$Q2307,IF($Q2307+1&gt;$K$3,"",$Q2307+1)))</f>
        <v/>
      </c>
      <c r="R2308">
        <f>IF(OR($R2307="",$R2307="T"),"",IF($R2307="B","S",IF($Q2307+1&gt;$K$3,"T",IF(INDEX($M$4:$M$2003,MATCH($Q2307+1,$P$4:$P$2003,0))&lt;&gt;INDEX($M$4:$M$2003,MATCH($Q2307,$P$4:$P$2003,0)),"B","S"))))</f>
        <v/>
      </c>
      <c r="S2308">
        <f>IF(Q2308="","",IFERROR(MATCH(Q2308,$P$4:$P$2003,0),""))</f>
        <v/>
      </c>
    </row>
    <row r="2309">
      <c r="A2309" s="4">
        <f>IF($R2309="","",IF($R2309="T","Gesamtergebnis",IF($R2309="B",INDEX($M$4:$M$2003,$S2309),INDEX($L$4:$L$2003,$S2309))))</f>
        <v/>
      </c>
      <c r="B2309" s="4">
        <f>IF($R2309="","",IF($R2309="T",$K$3,IF($R2309="B",COUNTIFS($M$4:$M$2003,INDEX($M$4:$M$2003,$S2309),$N$4:$N$2003,1),1)))</f>
        <v/>
      </c>
      <c r="Q2309">
        <f>IF(OR($R2308="",$R2308="T"),"",IF($R2308="B",$Q2308,IF($Q2308+1&gt;$K$3,"",$Q2308+1)))</f>
        <v/>
      </c>
      <c r="R2309">
        <f>IF(OR($R2308="",$R2308="T"),"",IF($R2308="B","S",IF($Q2308+1&gt;$K$3,"T",IF(INDEX($M$4:$M$2003,MATCH($Q2308+1,$P$4:$P$2003,0))&lt;&gt;INDEX($M$4:$M$2003,MATCH($Q2308,$P$4:$P$2003,0)),"B","S"))))</f>
        <v/>
      </c>
      <c r="S2309">
        <f>IF(Q2309="","",IFERROR(MATCH(Q2309,$P$4:$P$2003,0),""))</f>
        <v/>
      </c>
    </row>
    <row r="2310">
      <c r="A2310" s="4">
        <f>IF($R2310="","",IF($R2310="T","Gesamtergebnis",IF($R2310="B",INDEX($M$4:$M$2003,$S2310),INDEX($L$4:$L$2003,$S2310))))</f>
        <v/>
      </c>
      <c r="B2310" s="4">
        <f>IF($R2310="","",IF($R2310="T",$K$3,IF($R2310="B",COUNTIFS($M$4:$M$2003,INDEX($M$4:$M$2003,$S2310),$N$4:$N$2003,1),1)))</f>
        <v/>
      </c>
      <c r="Q2310">
        <f>IF(OR($R2309="",$R2309="T"),"",IF($R2309="B",$Q2309,IF($Q2309+1&gt;$K$3,"",$Q2309+1)))</f>
        <v/>
      </c>
      <c r="R2310">
        <f>IF(OR($R2309="",$R2309="T"),"",IF($R2309="B","S",IF($Q2309+1&gt;$K$3,"T",IF(INDEX($M$4:$M$2003,MATCH($Q2309+1,$P$4:$P$2003,0))&lt;&gt;INDEX($M$4:$M$2003,MATCH($Q2309,$P$4:$P$2003,0)),"B","S"))))</f>
        <v/>
      </c>
      <c r="S2310">
        <f>IF(Q2310="","",IFERROR(MATCH(Q2310,$P$4:$P$2003,0),""))</f>
        <v/>
      </c>
    </row>
    <row r="2311">
      <c r="A2311" s="4">
        <f>IF($R2311="","",IF($R2311="T","Gesamtergebnis",IF($R2311="B",INDEX($M$4:$M$2003,$S2311),INDEX($L$4:$L$2003,$S2311))))</f>
        <v/>
      </c>
      <c r="B2311" s="4">
        <f>IF($R2311="","",IF($R2311="T",$K$3,IF($R2311="B",COUNTIFS($M$4:$M$2003,INDEX($M$4:$M$2003,$S2311),$N$4:$N$2003,1),1)))</f>
        <v/>
      </c>
      <c r="Q2311">
        <f>IF(OR($R2310="",$R2310="T"),"",IF($R2310="B",$Q2310,IF($Q2310+1&gt;$K$3,"",$Q2310+1)))</f>
        <v/>
      </c>
      <c r="R2311">
        <f>IF(OR($R2310="",$R2310="T"),"",IF($R2310="B","S",IF($Q2310+1&gt;$K$3,"T",IF(INDEX($M$4:$M$2003,MATCH($Q2310+1,$P$4:$P$2003,0))&lt;&gt;INDEX($M$4:$M$2003,MATCH($Q2310,$P$4:$P$2003,0)),"B","S"))))</f>
        <v/>
      </c>
      <c r="S2311">
        <f>IF(Q2311="","",IFERROR(MATCH(Q2311,$P$4:$P$2003,0),""))</f>
        <v/>
      </c>
    </row>
    <row r="2312">
      <c r="A2312" s="4">
        <f>IF($R2312="","",IF($R2312="T","Gesamtergebnis",IF($R2312="B",INDEX($M$4:$M$2003,$S2312),INDEX($L$4:$L$2003,$S2312))))</f>
        <v/>
      </c>
      <c r="B2312" s="4">
        <f>IF($R2312="","",IF($R2312="T",$K$3,IF($R2312="B",COUNTIFS($M$4:$M$2003,INDEX($M$4:$M$2003,$S2312),$N$4:$N$2003,1),1)))</f>
        <v/>
      </c>
      <c r="Q2312">
        <f>IF(OR($R2311="",$R2311="T"),"",IF($R2311="B",$Q2311,IF($Q2311+1&gt;$K$3,"",$Q2311+1)))</f>
        <v/>
      </c>
      <c r="R2312">
        <f>IF(OR($R2311="",$R2311="T"),"",IF($R2311="B","S",IF($Q2311+1&gt;$K$3,"T",IF(INDEX($M$4:$M$2003,MATCH($Q2311+1,$P$4:$P$2003,0))&lt;&gt;INDEX($M$4:$M$2003,MATCH($Q2311,$P$4:$P$2003,0)),"B","S"))))</f>
        <v/>
      </c>
      <c r="S2312">
        <f>IF(Q2312="","",IFERROR(MATCH(Q2312,$P$4:$P$2003,0),""))</f>
        <v/>
      </c>
    </row>
    <row r="2313">
      <c r="A2313" s="4">
        <f>IF($R2313="","",IF($R2313="T","Gesamtergebnis",IF($R2313="B",INDEX($M$4:$M$2003,$S2313),INDEX($L$4:$L$2003,$S2313))))</f>
        <v/>
      </c>
      <c r="B2313" s="4">
        <f>IF($R2313="","",IF($R2313="T",$K$3,IF($R2313="B",COUNTIFS($M$4:$M$2003,INDEX($M$4:$M$2003,$S2313),$N$4:$N$2003,1),1)))</f>
        <v/>
      </c>
      <c r="Q2313">
        <f>IF(OR($R2312="",$R2312="T"),"",IF($R2312="B",$Q2312,IF($Q2312+1&gt;$K$3,"",$Q2312+1)))</f>
        <v/>
      </c>
      <c r="R2313">
        <f>IF(OR($R2312="",$R2312="T"),"",IF($R2312="B","S",IF($Q2312+1&gt;$K$3,"T",IF(INDEX($M$4:$M$2003,MATCH($Q2312+1,$P$4:$P$2003,0))&lt;&gt;INDEX($M$4:$M$2003,MATCH($Q2312,$P$4:$P$2003,0)),"B","S"))))</f>
        <v/>
      </c>
      <c r="S2313">
        <f>IF(Q2313="","",IFERROR(MATCH(Q2313,$P$4:$P$2003,0),""))</f>
        <v/>
      </c>
    </row>
    <row r="2314">
      <c r="A2314" s="4">
        <f>IF($R2314="","",IF($R2314="T","Gesamtergebnis",IF($R2314="B",INDEX($M$4:$M$2003,$S2314),INDEX($L$4:$L$2003,$S2314))))</f>
        <v/>
      </c>
      <c r="B2314" s="4">
        <f>IF($R2314="","",IF($R2314="T",$K$3,IF($R2314="B",COUNTIFS($M$4:$M$2003,INDEX($M$4:$M$2003,$S2314),$N$4:$N$2003,1),1)))</f>
        <v/>
      </c>
      <c r="Q2314">
        <f>IF(OR($R2313="",$R2313="T"),"",IF($R2313="B",$Q2313,IF($Q2313+1&gt;$K$3,"",$Q2313+1)))</f>
        <v/>
      </c>
      <c r="R2314">
        <f>IF(OR($R2313="",$R2313="T"),"",IF($R2313="B","S",IF($Q2313+1&gt;$K$3,"T",IF(INDEX($M$4:$M$2003,MATCH($Q2313+1,$P$4:$P$2003,0))&lt;&gt;INDEX($M$4:$M$2003,MATCH($Q2313,$P$4:$P$2003,0)),"B","S"))))</f>
        <v/>
      </c>
      <c r="S2314">
        <f>IF(Q2314="","",IFERROR(MATCH(Q2314,$P$4:$P$2003,0),""))</f>
        <v/>
      </c>
    </row>
    <row r="2315">
      <c r="A2315" s="4">
        <f>IF($R2315="","",IF($R2315="T","Gesamtergebnis",IF($R2315="B",INDEX($M$4:$M$2003,$S2315),INDEX($L$4:$L$2003,$S2315))))</f>
        <v/>
      </c>
      <c r="B2315" s="4">
        <f>IF($R2315="","",IF($R2315="T",$K$3,IF($R2315="B",COUNTIFS($M$4:$M$2003,INDEX($M$4:$M$2003,$S2315),$N$4:$N$2003,1),1)))</f>
        <v/>
      </c>
      <c r="Q2315">
        <f>IF(OR($R2314="",$R2314="T"),"",IF($R2314="B",$Q2314,IF($Q2314+1&gt;$K$3,"",$Q2314+1)))</f>
        <v/>
      </c>
      <c r="R2315">
        <f>IF(OR($R2314="",$R2314="T"),"",IF($R2314="B","S",IF($Q2314+1&gt;$K$3,"T",IF(INDEX($M$4:$M$2003,MATCH($Q2314+1,$P$4:$P$2003,0))&lt;&gt;INDEX($M$4:$M$2003,MATCH($Q2314,$P$4:$P$2003,0)),"B","S"))))</f>
        <v/>
      </c>
      <c r="S2315">
        <f>IF(Q2315="","",IFERROR(MATCH(Q2315,$P$4:$P$2003,0),""))</f>
        <v/>
      </c>
    </row>
    <row r="2316">
      <c r="A2316" s="4">
        <f>IF($R2316="","",IF($R2316="T","Gesamtergebnis",IF($R2316="B",INDEX($M$4:$M$2003,$S2316),INDEX($L$4:$L$2003,$S2316))))</f>
        <v/>
      </c>
      <c r="B2316" s="4">
        <f>IF($R2316="","",IF($R2316="T",$K$3,IF($R2316="B",COUNTIFS($M$4:$M$2003,INDEX($M$4:$M$2003,$S2316),$N$4:$N$2003,1),1)))</f>
        <v/>
      </c>
      <c r="Q2316">
        <f>IF(OR($R2315="",$R2315="T"),"",IF($R2315="B",$Q2315,IF($Q2315+1&gt;$K$3,"",$Q2315+1)))</f>
        <v/>
      </c>
      <c r="R2316">
        <f>IF(OR($R2315="",$R2315="T"),"",IF($R2315="B","S",IF($Q2315+1&gt;$K$3,"T",IF(INDEX($M$4:$M$2003,MATCH($Q2315+1,$P$4:$P$2003,0))&lt;&gt;INDEX($M$4:$M$2003,MATCH($Q2315,$P$4:$P$2003,0)),"B","S"))))</f>
        <v/>
      </c>
      <c r="S2316">
        <f>IF(Q2316="","",IFERROR(MATCH(Q2316,$P$4:$P$2003,0),""))</f>
        <v/>
      </c>
    </row>
    <row r="2317">
      <c r="A2317" s="4">
        <f>IF($R2317="","",IF($R2317="T","Gesamtergebnis",IF($R2317="B",INDEX($M$4:$M$2003,$S2317),INDEX($L$4:$L$2003,$S2317))))</f>
        <v/>
      </c>
      <c r="B2317" s="4">
        <f>IF($R2317="","",IF($R2317="T",$K$3,IF($R2317="B",COUNTIFS($M$4:$M$2003,INDEX($M$4:$M$2003,$S2317),$N$4:$N$2003,1),1)))</f>
        <v/>
      </c>
      <c r="Q2317">
        <f>IF(OR($R2316="",$R2316="T"),"",IF($R2316="B",$Q2316,IF($Q2316+1&gt;$K$3,"",$Q2316+1)))</f>
        <v/>
      </c>
      <c r="R2317">
        <f>IF(OR($R2316="",$R2316="T"),"",IF($R2316="B","S",IF($Q2316+1&gt;$K$3,"T",IF(INDEX($M$4:$M$2003,MATCH($Q2316+1,$P$4:$P$2003,0))&lt;&gt;INDEX($M$4:$M$2003,MATCH($Q2316,$P$4:$P$2003,0)),"B","S"))))</f>
        <v/>
      </c>
      <c r="S2317">
        <f>IF(Q2317="","",IFERROR(MATCH(Q2317,$P$4:$P$2003,0),""))</f>
        <v/>
      </c>
    </row>
    <row r="2318">
      <c r="A2318" s="4">
        <f>IF($R2318="","",IF($R2318="T","Gesamtergebnis",IF($R2318="B",INDEX($M$4:$M$2003,$S2318),INDEX($L$4:$L$2003,$S2318))))</f>
        <v/>
      </c>
      <c r="B2318" s="4">
        <f>IF($R2318="","",IF($R2318="T",$K$3,IF($R2318="B",COUNTIFS($M$4:$M$2003,INDEX($M$4:$M$2003,$S2318),$N$4:$N$2003,1),1)))</f>
        <v/>
      </c>
      <c r="Q2318">
        <f>IF(OR($R2317="",$R2317="T"),"",IF($R2317="B",$Q2317,IF($Q2317+1&gt;$K$3,"",$Q2317+1)))</f>
        <v/>
      </c>
      <c r="R2318">
        <f>IF(OR($R2317="",$R2317="T"),"",IF($R2317="B","S",IF($Q2317+1&gt;$K$3,"T",IF(INDEX($M$4:$M$2003,MATCH($Q2317+1,$P$4:$P$2003,0))&lt;&gt;INDEX($M$4:$M$2003,MATCH($Q2317,$P$4:$P$2003,0)),"B","S"))))</f>
        <v/>
      </c>
      <c r="S2318">
        <f>IF(Q2318="","",IFERROR(MATCH(Q2318,$P$4:$P$2003,0),""))</f>
        <v/>
      </c>
    </row>
    <row r="2319">
      <c r="A2319" s="4">
        <f>IF($R2319="","",IF($R2319="T","Gesamtergebnis",IF($R2319="B",INDEX($M$4:$M$2003,$S2319),INDEX($L$4:$L$2003,$S2319))))</f>
        <v/>
      </c>
      <c r="B2319" s="4">
        <f>IF($R2319="","",IF($R2319="T",$K$3,IF($R2319="B",COUNTIFS($M$4:$M$2003,INDEX($M$4:$M$2003,$S2319),$N$4:$N$2003,1),1)))</f>
        <v/>
      </c>
      <c r="Q2319">
        <f>IF(OR($R2318="",$R2318="T"),"",IF($R2318="B",$Q2318,IF($Q2318+1&gt;$K$3,"",$Q2318+1)))</f>
        <v/>
      </c>
      <c r="R2319">
        <f>IF(OR($R2318="",$R2318="T"),"",IF($R2318="B","S",IF($Q2318+1&gt;$K$3,"T",IF(INDEX($M$4:$M$2003,MATCH($Q2318+1,$P$4:$P$2003,0))&lt;&gt;INDEX($M$4:$M$2003,MATCH($Q2318,$P$4:$P$2003,0)),"B","S"))))</f>
        <v/>
      </c>
      <c r="S2319">
        <f>IF(Q2319="","",IFERROR(MATCH(Q2319,$P$4:$P$2003,0),""))</f>
        <v/>
      </c>
    </row>
    <row r="2320">
      <c r="A2320" s="4">
        <f>IF($R2320="","",IF($R2320="T","Gesamtergebnis",IF($R2320="B",INDEX($M$4:$M$2003,$S2320),INDEX($L$4:$L$2003,$S2320))))</f>
        <v/>
      </c>
      <c r="B2320" s="4">
        <f>IF($R2320="","",IF($R2320="T",$K$3,IF($R2320="B",COUNTIFS($M$4:$M$2003,INDEX($M$4:$M$2003,$S2320),$N$4:$N$2003,1),1)))</f>
        <v/>
      </c>
      <c r="Q2320">
        <f>IF(OR($R2319="",$R2319="T"),"",IF($R2319="B",$Q2319,IF($Q2319+1&gt;$K$3,"",$Q2319+1)))</f>
        <v/>
      </c>
      <c r="R2320">
        <f>IF(OR($R2319="",$R2319="T"),"",IF($R2319="B","S",IF($Q2319+1&gt;$K$3,"T",IF(INDEX($M$4:$M$2003,MATCH($Q2319+1,$P$4:$P$2003,0))&lt;&gt;INDEX($M$4:$M$2003,MATCH($Q2319,$P$4:$P$2003,0)),"B","S"))))</f>
        <v/>
      </c>
      <c r="S2320">
        <f>IF(Q2320="","",IFERROR(MATCH(Q2320,$P$4:$P$2003,0),""))</f>
        <v/>
      </c>
    </row>
    <row r="2321">
      <c r="A2321" s="4">
        <f>IF($R2321="","",IF($R2321="T","Gesamtergebnis",IF($R2321="B",INDEX($M$4:$M$2003,$S2321),INDEX($L$4:$L$2003,$S2321))))</f>
        <v/>
      </c>
      <c r="B2321" s="4">
        <f>IF($R2321="","",IF($R2321="T",$K$3,IF($R2321="B",COUNTIFS($M$4:$M$2003,INDEX($M$4:$M$2003,$S2321),$N$4:$N$2003,1),1)))</f>
        <v/>
      </c>
      <c r="Q2321">
        <f>IF(OR($R2320="",$R2320="T"),"",IF($R2320="B",$Q2320,IF($Q2320+1&gt;$K$3,"",$Q2320+1)))</f>
        <v/>
      </c>
      <c r="R2321">
        <f>IF(OR($R2320="",$R2320="T"),"",IF($R2320="B","S",IF($Q2320+1&gt;$K$3,"T",IF(INDEX($M$4:$M$2003,MATCH($Q2320+1,$P$4:$P$2003,0))&lt;&gt;INDEX($M$4:$M$2003,MATCH($Q2320,$P$4:$P$2003,0)),"B","S"))))</f>
        <v/>
      </c>
      <c r="S2321">
        <f>IF(Q2321="","",IFERROR(MATCH(Q2321,$P$4:$P$2003,0),""))</f>
        <v/>
      </c>
    </row>
    <row r="2322">
      <c r="A2322" s="4">
        <f>IF($R2322="","",IF($R2322="T","Gesamtergebnis",IF($R2322="B",INDEX($M$4:$M$2003,$S2322),INDEX($L$4:$L$2003,$S2322))))</f>
        <v/>
      </c>
      <c r="B2322" s="4">
        <f>IF($R2322="","",IF($R2322="T",$K$3,IF($R2322="B",COUNTIFS($M$4:$M$2003,INDEX($M$4:$M$2003,$S2322),$N$4:$N$2003,1),1)))</f>
        <v/>
      </c>
      <c r="Q2322">
        <f>IF(OR($R2321="",$R2321="T"),"",IF($R2321="B",$Q2321,IF($Q2321+1&gt;$K$3,"",$Q2321+1)))</f>
        <v/>
      </c>
      <c r="R2322">
        <f>IF(OR($R2321="",$R2321="T"),"",IF($R2321="B","S",IF($Q2321+1&gt;$K$3,"T",IF(INDEX($M$4:$M$2003,MATCH($Q2321+1,$P$4:$P$2003,0))&lt;&gt;INDEX($M$4:$M$2003,MATCH($Q2321,$P$4:$P$2003,0)),"B","S"))))</f>
        <v/>
      </c>
      <c r="S2322">
        <f>IF(Q2322="","",IFERROR(MATCH(Q2322,$P$4:$P$2003,0),""))</f>
        <v/>
      </c>
    </row>
    <row r="2323">
      <c r="A2323" s="4">
        <f>IF($R2323="","",IF($R2323="T","Gesamtergebnis",IF($R2323="B",INDEX($M$4:$M$2003,$S2323),INDEX($L$4:$L$2003,$S2323))))</f>
        <v/>
      </c>
      <c r="B2323" s="4">
        <f>IF($R2323="","",IF($R2323="T",$K$3,IF($R2323="B",COUNTIFS($M$4:$M$2003,INDEX($M$4:$M$2003,$S2323),$N$4:$N$2003,1),1)))</f>
        <v/>
      </c>
      <c r="Q2323">
        <f>IF(OR($R2322="",$R2322="T"),"",IF($R2322="B",$Q2322,IF($Q2322+1&gt;$K$3,"",$Q2322+1)))</f>
        <v/>
      </c>
      <c r="R2323">
        <f>IF(OR($R2322="",$R2322="T"),"",IF($R2322="B","S",IF($Q2322+1&gt;$K$3,"T",IF(INDEX($M$4:$M$2003,MATCH($Q2322+1,$P$4:$P$2003,0))&lt;&gt;INDEX($M$4:$M$2003,MATCH($Q2322,$P$4:$P$2003,0)),"B","S"))))</f>
        <v/>
      </c>
      <c r="S2323">
        <f>IF(Q2323="","",IFERROR(MATCH(Q2323,$P$4:$P$2003,0),""))</f>
        <v/>
      </c>
    </row>
    <row r="2324">
      <c r="A2324" s="4">
        <f>IF($R2324="","",IF($R2324="T","Gesamtergebnis",IF($R2324="B",INDEX($M$4:$M$2003,$S2324),INDEX($L$4:$L$2003,$S2324))))</f>
        <v/>
      </c>
      <c r="B2324" s="4">
        <f>IF($R2324="","",IF($R2324="T",$K$3,IF($R2324="B",COUNTIFS($M$4:$M$2003,INDEX($M$4:$M$2003,$S2324),$N$4:$N$2003,1),1)))</f>
        <v/>
      </c>
      <c r="Q2324">
        <f>IF(OR($R2323="",$R2323="T"),"",IF($R2323="B",$Q2323,IF($Q2323+1&gt;$K$3,"",$Q2323+1)))</f>
        <v/>
      </c>
      <c r="R2324">
        <f>IF(OR($R2323="",$R2323="T"),"",IF($R2323="B","S",IF($Q2323+1&gt;$K$3,"T",IF(INDEX($M$4:$M$2003,MATCH($Q2323+1,$P$4:$P$2003,0))&lt;&gt;INDEX($M$4:$M$2003,MATCH($Q2323,$P$4:$P$2003,0)),"B","S"))))</f>
        <v/>
      </c>
      <c r="S2324">
        <f>IF(Q2324="","",IFERROR(MATCH(Q2324,$P$4:$P$2003,0),""))</f>
        <v/>
      </c>
    </row>
    <row r="2325">
      <c r="A2325" s="4">
        <f>IF($R2325="","",IF($R2325="T","Gesamtergebnis",IF($R2325="B",INDEX($M$4:$M$2003,$S2325),INDEX($L$4:$L$2003,$S2325))))</f>
        <v/>
      </c>
      <c r="B2325" s="4">
        <f>IF($R2325="","",IF($R2325="T",$K$3,IF($R2325="B",COUNTIFS($M$4:$M$2003,INDEX($M$4:$M$2003,$S2325),$N$4:$N$2003,1),1)))</f>
        <v/>
      </c>
      <c r="Q2325">
        <f>IF(OR($R2324="",$R2324="T"),"",IF($R2324="B",$Q2324,IF($Q2324+1&gt;$K$3,"",$Q2324+1)))</f>
        <v/>
      </c>
      <c r="R2325">
        <f>IF(OR($R2324="",$R2324="T"),"",IF($R2324="B","S",IF($Q2324+1&gt;$K$3,"T",IF(INDEX($M$4:$M$2003,MATCH($Q2324+1,$P$4:$P$2003,0))&lt;&gt;INDEX($M$4:$M$2003,MATCH($Q2324,$P$4:$P$2003,0)),"B","S"))))</f>
        <v/>
      </c>
      <c r="S2325">
        <f>IF(Q2325="","",IFERROR(MATCH(Q2325,$P$4:$P$2003,0),""))</f>
        <v/>
      </c>
    </row>
    <row r="2326">
      <c r="A2326" s="4">
        <f>IF($R2326="","",IF($R2326="T","Gesamtergebnis",IF($R2326="B",INDEX($M$4:$M$2003,$S2326),INDEX($L$4:$L$2003,$S2326))))</f>
        <v/>
      </c>
      <c r="B2326" s="4">
        <f>IF($R2326="","",IF($R2326="T",$K$3,IF($R2326="B",COUNTIFS($M$4:$M$2003,INDEX($M$4:$M$2003,$S2326),$N$4:$N$2003,1),1)))</f>
        <v/>
      </c>
      <c r="Q2326">
        <f>IF(OR($R2325="",$R2325="T"),"",IF($R2325="B",$Q2325,IF($Q2325+1&gt;$K$3,"",$Q2325+1)))</f>
        <v/>
      </c>
      <c r="R2326">
        <f>IF(OR($R2325="",$R2325="T"),"",IF($R2325="B","S",IF($Q2325+1&gt;$K$3,"T",IF(INDEX($M$4:$M$2003,MATCH($Q2325+1,$P$4:$P$2003,0))&lt;&gt;INDEX($M$4:$M$2003,MATCH($Q2325,$P$4:$P$2003,0)),"B","S"))))</f>
        <v/>
      </c>
      <c r="S2326">
        <f>IF(Q2326="","",IFERROR(MATCH(Q2326,$P$4:$P$2003,0),""))</f>
        <v/>
      </c>
    </row>
    <row r="2327">
      <c r="A2327" s="4">
        <f>IF($R2327="","",IF($R2327="T","Gesamtergebnis",IF($R2327="B",INDEX($M$4:$M$2003,$S2327),INDEX($L$4:$L$2003,$S2327))))</f>
        <v/>
      </c>
      <c r="B2327" s="4">
        <f>IF($R2327="","",IF($R2327="T",$K$3,IF($R2327="B",COUNTIFS($M$4:$M$2003,INDEX($M$4:$M$2003,$S2327),$N$4:$N$2003,1),1)))</f>
        <v/>
      </c>
      <c r="Q2327">
        <f>IF(OR($R2326="",$R2326="T"),"",IF($R2326="B",$Q2326,IF($Q2326+1&gt;$K$3,"",$Q2326+1)))</f>
        <v/>
      </c>
      <c r="R2327">
        <f>IF(OR($R2326="",$R2326="T"),"",IF($R2326="B","S",IF($Q2326+1&gt;$K$3,"T",IF(INDEX($M$4:$M$2003,MATCH($Q2326+1,$P$4:$P$2003,0))&lt;&gt;INDEX($M$4:$M$2003,MATCH($Q2326,$P$4:$P$2003,0)),"B","S"))))</f>
        <v/>
      </c>
      <c r="S2327">
        <f>IF(Q2327="","",IFERROR(MATCH(Q2327,$P$4:$P$2003,0),""))</f>
        <v/>
      </c>
    </row>
    <row r="2328">
      <c r="A2328" s="4">
        <f>IF($R2328="","",IF($R2328="T","Gesamtergebnis",IF($R2328="B",INDEX($M$4:$M$2003,$S2328),INDEX($L$4:$L$2003,$S2328))))</f>
        <v/>
      </c>
      <c r="B2328" s="4">
        <f>IF($R2328="","",IF($R2328="T",$K$3,IF($R2328="B",COUNTIFS($M$4:$M$2003,INDEX($M$4:$M$2003,$S2328),$N$4:$N$2003,1),1)))</f>
        <v/>
      </c>
      <c r="Q2328">
        <f>IF(OR($R2327="",$R2327="T"),"",IF($R2327="B",$Q2327,IF($Q2327+1&gt;$K$3,"",$Q2327+1)))</f>
        <v/>
      </c>
      <c r="R2328">
        <f>IF(OR($R2327="",$R2327="T"),"",IF($R2327="B","S",IF($Q2327+1&gt;$K$3,"T",IF(INDEX($M$4:$M$2003,MATCH($Q2327+1,$P$4:$P$2003,0))&lt;&gt;INDEX($M$4:$M$2003,MATCH($Q2327,$P$4:$P$2003,0)),"B","S"))))</f>
        <v/>
      </c>
      <c r="S2328">
        <f>IF(Q2328="","",IFERROR(MATCH(Q2328,$P$4:$P$2003,0),""))</f>
        <v/>
      </c>
    </row>
    <row r="2329">
      <c r="A2329" s="4">
        <f>IF($R2329="","",IF($R2329="T","Gesamtergebnis",IF($R2329="B",INDEX($M$4:$M$2003,$S2329),INDEX($L$4:$L$2003,$S2329))))</f>
        <v/>
      </c>
      <c r="B2329" s="4">
        <f>IF($R2329="","",IF($R2329="T",$K$3,IF($R2329="B",COUNTIFS($M$4:$M$2003,INDEX($M$4:$M$2003,$S2329),$N$4:$N$2003,1),1)))</f>
        <v/>
      </c>
      <c r="Q2329">
        <f>IF(OR($R2328="",$R2328="T"),"",IF($R2328="B",$Q2328,IF($Q2328+1&gt;$K$3,"",$Q2328+1)))</f>
        <v/>
      </c>
      <c r="R2329">
        <f>IF(OR($R2328="",$R2328="T"),"",IF($R2328="B","S",IF($Q2328+1&gt;$K$3,"T",IF(INDEX($M$4:$M$2003,MATCH($Q2328+1,$P$4:$P$2003,0))&lt;&gt;INDEX($M$4:$M$2003,MATCH($Q2328,$P$4:$P$2003,0)),"B","S"))))</f>
        <v/>
      </c>
      <c r="S2329">
        <f>IF(Q2329="","",IFERROR(MATCH(Q2329,$P$4:$P$2003,0),""))</f>
        <v/>
      </c>
    </row>
    <row r="2330">
      <c r="A2330" s="4">
        <f>IF($R2330="","",IF($R2330="T","Gesamtergebnis",IF($R2330="B",INDEX($M$4:$M$2003,$S2330),INDEX($L$4:$L$2003,$S2330))))</f>
        <v/>
      </c>
      <c r="B2330" s="4">
        <f>IF($R2330="","",IF($R2330="T",$K$3,IF($R2330="B",COUNTIFS($M$4:$M$2003,INDEX($M$4:$M$2003,$S2330),$N$4:$N$2003,1),1)))</f>
        <v/>
      </c>
      <c r="Q2330">
        <f>IF(OR($R2329="",$R2329="T"),"",IF($R2329="B",$Q2329,IF($Q2329+1&gt;$K$3,"",$Q2329+1)))</f>
        <v/>
      </c>
      <c r="R2330">
        <f>IF(OR($R2329="",$R2329="T"),"",IF($R2329="B","S",IF($Q2329+1&gt;$K$3,"T",IF(INDEX($M$4:$M$2003,MATCH($Q2329+1,$P$4:$P$2003,0))&lt;&gt;INDEX($M$4:$M$2003,MATCH($Q2329,$P$4:$P$2003,0)),"B","S"))))</f>
        <v/>
      </c>
      <c r="S2330">
        <f>IF(Q2330="","",IFERROR(MATCH(Q2330,$P$4:$P$2003,0),""))</f>
        <v/>
      </c>
    </row>
    <row r="2331">
      <c r="A2331" s="4">
        <f>IF($R2331="","",IF($R2331="T","Gesamtergebnis",IF($R2331="B",INDEX($M$4:$M$2003,$S2331),INDEX($L$4:$L$2003,$S2331))))</f>
        <v/>
      </c>
      <c r="B2331" s="4">
        <f>IF($R2331="","",IF($R2331="T",$K$3,IF($R2331="B",COUNTIFS($M$4:$M$2003,INDEX($M$4:$M$2003,$S2331),$N$4:$N$2003,1),1)))</f>
        <v/>
      </c>
      <c r="Q2331">
        <f>IF(OR($R2330="",$R2330="T"),"",IF($R2330="B",$Q2330,IF($Q2330+1&gt;$K$3,"",$Q2330+1)))</f>
        <v/>
      </c>
      <c r="R2331">
        <f>IF(OR($R2330="",$R2330="T"),"",IF($R2330="B","S",IF($Q2330+1&gt;$K$3,"T",IF(INDEX($M$4:$M$2003,MATCH($Q2330+1,$P$4:$P$2003,0))&lt;&gt;INDEX($M$4:$M$2003,MATCH($Q2330,$P$4:$P$2003,0)),"B","S"))))</f>
        <v/>
      </c>
      <c r="S2331">
        <f>IF(Q2331="","",IFERROR(MATCH(Q2331,$P$4:$P$2003,0),""))</f>
        <v/>
      </c>
    </row>
    <row r="2332">
      <c r="A2332" s="4">
        <f>IF($R2332="","",IF($R2332="T","Gesamtergebnis",IF($R2332="B",INDEX($M$4:$M$2003,$S2332),INDEX($L$4:$L$2003,$S2332))))</f>
        <v/>
      </c>
      <c r="B2332" s="4">
        <f>IF($R2332="","",IF($R2332="T",$K$3,IF($R2332="B",COUNTIFS($M$4:$M$2003,INDEX($M$4:$M$2003,$S2332),$N$4:$N$2003,1),1)))</f>
        <v/>
      </c>
      <c r="Q2332">
        <f>IF(OR($R2331="",$R2331="T"),"",IF($R2331="B",$Q2331,IF($Q2331+1&gt;$K$3,"",$Q2331+1)))</f>
        <v/>
      </c>
      <c r="R2332">
        <f>IF(OR($R2331="",$R2331="T"),"",IF($R2331="B","S",IF($Q2331+1&gt;$K$3,"T",IF(INDEX($M$4:$M$2003,MATCH($Q2331+1,$P$4:$P$2003,0))&lt;&gt;INDEX($M$4:$M$2003,MATCH($Q2331,$P$4:$P$2003,0)),"B","S"))))</f>
        <v/>
      </c>
      <c r="S2332">
        <f>IF(Q2332="","",IFERROR(MATCH(Q2332,$P$4:$P$2003,0),""))</f>
        <v/>
      </c>
    </row>
    <row r="2333">
      <c r="A2333" s="4">
        <f>IF($R2333="","",IF($R2333="T","Gesamtergebnis",IF($R2333="B",INDEX($M$4:$M$2003,$S2333),INDEX($L$4:$L$2003,$S2333))))</f>
        <v/>
      </c>
      <c r="B2333" s="4">
        <f>IF($R2333="","",IF($R2333="T",$K$3,IF($R2333="B",COUNTIFS($M$4:$M$2003,INDEX($M$4:$M$2003,$S2333),$N$4:$N$2003,1),1)))</f>
        <v/>
      </c>
      <c r="Q2333">
        <f>IF(OR($R2332="",$R2332="T"),"",IF($R2332="B",$Q2332,IF($Q2332+1&gt;$K$3,"",$Q2332+1)))</f>
        <v/>
      </c>
      <c r="R2333">
        <f>IF(OR($R2332="",$R2332="T"),"",IF($R2332="B","S",IF($Q2332+1&gt;$K$3,"T",IF(INDEX($M$4:$M$2003,MATCH($Q2332+1,$P$4:$P$2003,0))&lt;&gt;INDEX($M$4:$M$2003,MATCH($Q2332,$P$4:$P$2003,0)),"B","S"))))</f>
        <v/>
      </c>
      <c r="S2333">
        <f>IF(Q2333="","",IFERROR(MATCH(Q2333,$P$4:$P$2003,0),""))</f>
        <v/>
      </c>
    </row>
    <row r="2334">
      <c r="A2334" s="4">
        <f>IF($R2334="","",IF($R2334="T","Gesamtergebnis",IF($R2334="B",INDEX($M$4:$M$2003,$S2334),INDEX($L$4:$L$2003,$S2334))))</f>
        <v/>
      </c>
      <c r="B2334" s="4">
        <f>IF($R2334="","",IF($R2334="T",$K$3,IF($R2334="B",COUNTIFS($M$4:$M$2003,INDEX($M$4:$M$2003,$S2334),$N$4:$N$2003,1),1)))</f>
        <v/>
      </c>
      <c r="Q2334">
        <f>IF(OR($R2333="",$R2333="T"),"",IF($R2333="B",$Q2333,IF($Q2333+1&gt;$K$3,"",$Q2333+1)))</f>
        <v/>
      </c>
      <c r="R2334">
        <f>IF(OR($R2333="",$R2333="T"),"",IF($R2333="B","S",IF($Q2333+1&gt;$K$3,"T",IF(INDEX($M$4:$M$2003,MATCH($Q2333+1,$P$4:$P$2003,0))&lt;&gt;INDEX($M$4:$M$2003,MATCH($Q2333,$P$4:$P$2003,0)),"B","S"))))</f>
        <v/>
      </c>
      <c r="S2334">
        <f>IF(Q2334="","",IFERROR(MATCH(Q2334,$P$4:$P$2003,0),""))</f>
        <v/>
      </c>
    </row>
    <row r="2335">
      <c r="A2335" s="4">
        <f>IF($R2335="","",IF($R2335="T","Gesamtergebnis",IF($R2335="B",INDEX($M$4:$M$2003,$S2335),INDEX($L$4:$L$2003,$S2335))))</f>
        <v/>
      </c>
      <c r="B2335" s="4">
        <f>IF($R2335="","",IF($R2335="T",$K$3,IF($R2335="B",COUNTIFS($M$4:$M$2003,INDEX($M$4:$M$2003,$S2335),$N$4:$N$2003,1),1)))</f>
        <v/>
      </c>
      <c r="Q2335">
        <f>IF(OR($R2334="",$R2334="T"),"",IF($R2334="B",$Q2334,IF($Q2334+1&gt;$K$3,"",$Q2334+1)))</f>
        <v/>
      </c>
      <c r="R2335">
        <f>IF(OR($R2334="",$R2334="T"),"",IF($R2334="B","S",IF($Q2334+1&gt;$K$3,"T",IF(INDEX($M$4:$M$2003,MATCH($Q2334+1,$P$4:$P$2003,0))&lt;&gt;INDEX($M$4:$M$2003,MATCH($Q2334,$P$4:$P$2003,0)),"B","S"))))</f>
        <v/>
      </c>
      <c r="S2335">
        <f>IF(Q2335="","",IFERROR(MATCH(Q2335,$P$4:$P$2003,0),""))</f>
        <v/>
      </c>
    </row>
    <row r="2336">
      <c r="A2336" s="4">
        <f>IF($R2336="","",IF($R2336="T","Gesamtergebnis",IF($R2336="B",INDEX($M$4:$M$2003,$S2336),INDEX($L$4:$L$2003,$S2336))))</f>
        <v/>
      </c>
      <c r="B2336" s="4">
        <f>IF($R2336="","",IF($R2336="T",$K$3,IF($R2336="B",COUNTIFS($M$4:$M$2003,INDEX($M$4:$M$2003,$S2336),$N$4:$N$2003,1),1)))</f>
        <v/>
      </c>
      <c r="Q2336">
        <f>IF(OR($R2335="",$R2335="T"),"",IF($R2335="B",$Q2335,IF($Q2335+1&gt;$K$3,"",$Q2335+1)))</f>
        <v/>
      </c>
      <c r="R2336">
        <f>IF(OR($R2335="",$R2335="T"),"",IF($R2335="B","S",IF($Q2335+1&gt;$K$3,"T",IF(INDEX($M$4:$M$2003,MATCH($Q2335+1,$P$4:$P$2003,0))&lt;&gt;INDEX($M$4:$M$2003,MATCH($Q2335,$P$4:$P$2003,0)),"B","S"))))</f>
        <v/>
      </c>
      <c r="S2336">
        <f>IF(Q2336="","",IFERROR(MATCH(Q2336,$P$4:$P$2003,0),""))</f>
        <v/>
      </c>
    </row>
    <row r="2337">
      <c r="A2337" s="4">
        <f>IF($R2337="","",IF($R2337="T","Gesamtergebnis",IF($R2337="B",INDEX($M$4:$M$2003,$S2337),INDEX($L$4:$L$2003,$S2337))))</f>
        <v/>
      </c>
      <c r="B2337" s="4">
        <f>IF($R2337="","",IF($R2337="T",$K$3,IF($R2337="B",COUNTIFS($M$4:$M$2003,INDEX($M$4:$M$2003,$S2337),$N$4:$N$2003,1),1)))</f>
        <v/>
      </c>
      <c r="Q2337">
        <f>IF(OR($R2336="",$R2336="T"),"",IF($R2336="B",$Q2336,IF($Q2336+1&gt;$K$3,"",$Q2336+1)))</f>
        <v/>
      </c>
      <c r="R2337">
        <f>IF(OR($R2336="",$R2336="T"),"",IF($R2336="B","S",IF($Q2336+1&gt;$K$3,"T",IF(INDEX($M$4:$M$2003,MATCH($Q2336+1,$P$4:$P$2003,0))&lt;&gt;INDEX($M$4:$M$2003,MATCH($Q2336,$P$4:$P$2003,0)),"B","S"))))</f>
        <v/>
      </c>
      <c r="S2337">
        <f>IF(Q2337="","",IFERROR(MATCH(Q2337,$P$4:$P$2003,0),""))</f>
        <v/>
      </c>
    </row>
    <row r="2338">
      <c r="A2338" s="4">
        <f>IF($R2338="","",IF($R2338="T","Gesamtergebnis",IF($R2338="B",INDEX($M$4:$M$2003,$S2338),INDEX($L$4:$L$2003,$S2338))))</f>
        <v/>
      </c>
      <c r="B2338" s="4">
        <f>IF($R2338="","",IF($R2338="T",$K$3,IF($R2338="B",COUNTIFS($M$4:$M$2003,INDEX($M$4:$M$2003,$S2338),$N$4:$N$2003,1),1)))</f>
        <v/>
      </c>
      <c r="Q2338">
        <f>IF(OR($R2337="",$R2337="T"),"",IF($R2337="B",$Q2337,IF($Q2337+1&gt;$K$3,"",$Q2337+1)))</f>
        <v/>
      </c>
      <c r="R2338">
        <f>IF(OR($R2337="",$R2337="T"),"",IF($R2337="B","S",IF($Q2337+1&gt;$K$3,"T",IF(INDEX($M$4:$M$2003,MATCH($Q2337+1,$P$4:$P$2003,0))&lt;&gt;INDEX($M$4:$M$2003,MATCH($Q2337,$P$4:$P$2003,0)),"B","S"))))</f>
        <v/>
      </c>
      <c r="S2338">
        <f>IF(Q2338="","",IFERROR(MATCH(Q2338,$P$4:$P$2003,0),""))</f>
        <v/>
      </c>
    </row>
    <row r="2339">
      <c r="A2339" s="4">
        <f>IF($R2339="","",IF($R2339="T","Gesamtergebnis",IF($R2339="B",INDEX($M$4:$M$2003,$S2339),INDEX($L$4:$L$2003,$S2339))))</f>
        <v/>
      </c>
      <c r="B2339" s="4">
        <f>IF($R2339="","",IF($R2339="T",$K$3,IF($R2339="B",COUNTIFS($M$4:$M$2003,INDEX($M$4:$M$2003,$S2339),$N$4:$N$2003,1),1)))</f>
        <v/>
      </c>
      <c r="Q2339">
        <f>IF(OR($R2338="",$R2338="T"),"",IF($R2338="B",$Q2338,IF($Q2338+1&gt;$K$3,"",$Q2338+1)))</f>
        <v/>
      </c>
      <c r="R2339">
        <f>IF(OR($R2338="",$R2338="T"),"",IF($R2338="B","S",IF($Q2338+1&gt;$K$3,"T",IF(INDEX($M$4:$M$2003,MATCH($Q2338+1,$P$4:$P$2003,0))&lt;&gt;INDEX($M$4:$M$2003,MATCH($Q2338,$P$4:$P$2003,0)),"B","S"))))</f>
        <v/>
      </c>
      <c r="S2339">
        <f>IF(Q2339="","",IFERROR(MATCH(Q2339,$P$4:$P$2003,0),""))</f>
        <v/>
      </c>
    </row>
    <row r="2340">
      <c r="A2340" s="4">
        <f>IF($R2340="","",IF($R2340="T","Gesamtergebnis",IF($R2340="B",INDEX($M$4:$M$2003,$S2340),INDEX($L$4:$L$2003,$S2340))))</f>
        <v/>
      </c>
      <c r="B2340" s="4">
        <f>IF($R2340="","",IF($R2340="T",$K$3,IF($R2340="B",COUNTIFS($M$4:$M$2003,INDEX($M$4:$M$2003,$S2340),$N$4:$N$2003,1),1)))</f>
        <v/>
      </c>
      <c r="Q2340">
        <f>IF(OR($R2339="",$R2339="T"),"",IF($R2339="B",$Q2339,IF($Q2339+1&gt;$K$3,"",$Q2339+1)))</f>
        <v/>
      </c>
      <c r="R2340">
        <f>IF(OR($R2339="",$R2339="T"),"",IF($R2339="B","S",IF($Q2339+1&gt;$K$3,"T",IF(INDEX($M$4:$M$2003,MATCH($Q2339+1,$P$4:$P$2003,0))&lt;&gt;INDEX($M$4:$M$2003,MATCH($Q2339,$P$4:$P$2003,0)),"B","S"))))</f>
        <v/>
      </c>
      <c r="S2340">
        <f>IF(Q2340="","",IFERROR(MATCH(Q2340,$P$4:$P$2003,0),""))</f>
        <v/>
      </c>
    </row>
    <row r="2341">
      <c r="A2341" s="4">
        <f>IF($R2341="","",IF($R2341="T","Gesamtergebnis",IF($R2341="B",INDEX($M$4:$M$2003,$S2341),INDEX($L$4:$L$2003,$S2341))))</f>
        <v/>
      </c>
      <c r="B2341" s="4">
        <f>IF($R2341="","",IF($R2341="T",$K$3,IF($R2341="B",COUNTIFS($M$4:$M$2003,INDEX($M$4:$M$2003,$S2341),$N$4:$N$2003,1),1)))</f>
        <v/>
      </c>
      <c r="Q2341">
        <f>IF(OR($R2340="",$R2340="T"),"",IF($R2340="B",$Q2340,IF($Q2340+1&gt;$K$3,"",$Q2340+1)))</f>
        <v/>
      </c>
      <c r="R2341">
        <f>IF(OR($R2340="",$R2340="T"),"",IF($R2340="B","S",IF($Q2340+1&gt;$K$3,"T",IF(INDEX($M$4:$M$2003,MATCH($Q2340+1,$P$4:$P$2003,0))&lt;&gt;INDEX($M$4:$M$2003,MATCH($Q2340,$P$4:$P$2003,0)),"B","S"))))</f>
        <v/>
      </c>
      <c r="S2341">
        <f>IF(Q2341="","",IFERROR(MATCH(Q2341,$P$4:$P$2003,0),""))</f>
        <v/>
      </c>
    </row>
    <row r="2342">
      <c r="A2342" s="4">
        <f>IF($R2342="","",IF($R2342="T","Gesamtergebnis",IF($R2342="B",INDEX($M$4:$M$2003,$S2342),INDEX($L$4:$L$2003,$S2342))))</f>
        <v/>
      </c>
      <c r="B2342" s="4">
        <f>IF($R2342="","",IF($R2342="T",$K$3,IF($R2342="B",COUNTIFS($M$4:$M$2003,INDEX($M$4:$M$2003,$S2342),$N$4:$N$2003,1),1)))</f>
        <v/>
      </c>
      <c r="Q2342">
        <f>IF(OR($R2341="",$R2341="T"),"",IF($R2341="B",$Q2341,IF($Q2341+1&gt;$K$3,"",$Q2341+1)))</f>
        <v/>
      </c>
      <c r="R2342">
        <f>IF(OR($R2341="",$R2341="T"),"",IF($R2341="B","S",IF($Q2341+1&gt;$K$3,"T",IF(INDEX($M$4:$M$2003,MATCH($Q2341+1,$P$4:$P$2003,0))&lt;&gt;INDEX($M$4:$M$2003,MATCH($Q2341,$P$4:$P$2003,0)),"B","S"))))</f>
        <v/>
      </c>
      <c r="S2342">
        <f>IF(Q2342="","",IFERROR(MATCH(Q2342,$P$4:$P$2003,0),""))</f>
        <v/>
      </c>
    </row>
    <row r="2343">
      <c r="A2343" s="4">
        <f>IF($R2343="","",IF($R2343="T","Gesamtergebnis",IF($R2343="B",INDEX($M$4:$M$2003,$S2343),INDEX($L$4:$L$2003,$S2343))))</f>
        <v/>
      </c>
      <c r="B2343" s="4">
        <f>IF($R2343="","",IF($R2343="T",$K$3,IF($R2343="B",COUNTIFS($M$4:$M$2003,INDEX($M$4:$M$2003,$S2343),$N$4:$N$2003,1),1)))</f>
        <v/>
      </c>
      <c r="Q2343">
        <f>IF(OR($R2342="",$R2342="T"),"",IF($R2342="B",$Q2342,IF($Q2342+1&gt;$K$3,"",$Q2342+1)))</f>
        <v/>
      </c>
      <c r="R2343">
        <f>IF(OR($R2342="",$R2342="T"),"",IF($R2342="B","S",IF($Q2342+1&gt;$K$3,"T",IF(INDEX($M$4:$M$2003,MATCH($Q2342+1,$P$4:$P$2003,0))&lt;&gt;INDEX($M$4:$M$2003,MATCH($Q2342,$P$4:$P$2003,0)),"B","S"))))</f>
        <v/>
      </c>
      <c r="S2343">
        <f>IF(Q2343="","",IFERROR(MATCH(Q2343,$P$4:$P$2003,0),""))</f>
        <v/>
      </c>
    </row>
    <row r="2344">
      <c r="A2344" s="4">
        <f>IF($R2344="","",IF($R2344="T","Gesamtergebnis",IF($R2344="B",INDEX($M$4:$M$2003,$S2344),INDEX($L$4:$L$2003,$S2344))))</f>
        <v/>
      </c>
      <c r="B2344" s="4">
        <f>IF($R2344="","",IF($R2344="T",$K$3,IF($R2344="B",COUNTIFS($M$4:$M$2003,INDEX($M$4:$M$2003,$S2344),$N$4:$N$2003,1),1)))</f>
        <v/>
      </c>
      <c r="Q2344">
        <f>IF(OR($R2343="",$R2343="T"),"",IF($R2343="B",$Q2343,IF($Q2343+1&gt;$K$3,"",$Q2343+1)))</f>
        <v/>
      </c>
      <c r="R2344">
        <f>IF(OR($R2343="",$R2343="T"),"",IF($R2343="B","S",IF($Q2343+1&gt;$K$3,"T",IF(INDEX($M$4:$M$2003,MATCH($Q2343+1,$P$4:$P$2003,0))&lt;&gt;INDEX($M$4:$M$2003,MATCH($Q2343,$P$4:$P$2003,0)),"B","S"))))</f>
        <v/>
      </c>
      <c r="S2344">
        <f>IF(Q2344="","",IFERROR(MATCH(Q2344,$P$4:$P$2003,0),""))</f>
        <v/>
      </c>
    </row>
    <row r="2345">
      <c r="A2345" s="4">
        <f>IF($R2345="","",IF($R2345="T","Gesamtergebnis",IF($R2345="B",INDEX($M$4:$M$2003,$S2345),INDEX($L$4:$L$2003,$S2345))))</f>
        <v/>
      </c>
      <c r="B2345" s="4">
        <f>IF($R2345="","",IF($R2345="T",$K$3,IF($R2345="B",COUNTIFS($M$4:$M$2003,INDEX($M$4:$M$2003,$S2345),$N$4:$N$2003,1),1)))</f>
        <v/>
      </c>
      <c r="Q2345">
        <f>IF(OR($R2344="",$R2344="T"),"",IF($R2344="B",$Q2344,IF($Q2344+1&gt;$K$3,"",$Q2344+1)))</f>
        <v/>
      </c>
      <c r="R2345">
        <f>IF(OR($R2344="",$R2344="T"),"",IF($R2344="B","S",IF($Q2344+1&gt;$K$3,"T",IF(INDEX($M$4:$M$2003,MATCH($Q2344+1,$P$4:$P$2003,0))&lt;&gt;INDEX($M$4:$M$2003,MATCH($Q2344,$P$4:$P$2003,0)),"B","S"))))</f>
        <v/>
      </c>
      <c r="S2345">
        <f>IF(Q2345="","",IFERROR(MATCH(Q2345,$P$4:$P$2003,0),""))</f>
        <v/>
      </c>
    </row>
    <row r="2346">
      <c r="A2346" s="4">
        <f>IF($R2346="","",IF($R2346="T","Gesamtergebnis",IF($R2346="B",INDEX($M$4:$M$2003,$S2346),INDEX($L$4:$L$2003,$S2346))))</f>
        <v/>
      </c>
      <c r="B2346" s="4">
        <f>IF($R2346="","",IF($R2346="T",$K$3,IF($R2346="B",COUNTIFS($M$4:$M$2003,INDEX($M$4:$M$2003,$S2346),$N$4:$N$2003,1),1)))</f>
        <v/>
      </c>
      <c r="Q2346">
        <f>IF(OR($R2345="",$R2345="T"),"",IF($R2345="B",$Q2345,IF($Q2345+1&gt;$K$3,"",$Q2345+1)))</f>
        <v/>
      </c>
      <c r="R2346">
        <f>IF(OR($R2345="",$R2345="T"),"",IF($R2345="B","S",IF($Q2345+1&gt;$K$3,"T",IF(INDEX($M$4:$M$2003,MATCH($Q2345+1,$P$4:$P$2003,0))&lt;&gt;INDEX($M$4:$M$2003,MATCH($Q2345,$P$4:$P$2003,0)),"B","S"))))</f>
        <v/>
      </c>
      <c r="S2346">
        <f>IF(Q2346="","",IFERROR(MATCH(Q2346,$P$4:$P$2003,0),""))</f>
        <v/>
      </c>
    </row>
    <row r="2347">
      <c r="A2347" s="4">
        <f>IF($R2347="","",IF($R2347="T","Gesamtergebnis",IF($R2347="B",INDEX($M$4:$M$2003,$S2347),INDEX($L$4:$L$2003,$S2347))))</f>
        <v/>
      </c>
      <c r="B2347" s="4">
        <f>IF($R2347="","",IF($R2347="T",$K$3,IF($R2347="B",COUNTIFS($M$4:$M$2003,INDEX($M$4:$M$2003,$S2347),$N$4:$N$2003,1),1)))</f>
        <v/>
      </c>
      <c r="Q2347">
        <f>IF(OR($R2346="",$R2346="T"),"",IF($R2346="B",$Q2346,IF($Q2346+1&gt;$K$3,"",$Q2346+1)))</f>
        <v/>
      </c>
      <c r="R2347">
        <f>IF(OR($R2346="",$R2346="T"),"",IF($R2346="B","S",IF($Q2346+1&gt;$K$3,"T",IF(INDEX($M$4:$M$2003,MATCH($Q2346+1,$P$4:$P$2003,0))&lt;&gt;INDEX($M$4:$M$2003,MATCH($Q2346,$P$4:$P$2003,0)),"B","S"))))</f>
        <v/>
      </c>
      <c r="S2347">
        <f>IF(Q2347="","",IFERROR(MATCH(Q2347,$P$4:$P$2003,0),""))</f>
        <v/>
      </c>
    </row>
    <row r="2348">
      <c r="A2348" s="4">
        <f>IF($R2348="","",IF($R2348="T","Gesamtergebnis",IF($R2348="B",INDEX($M$4:$M$2003,$S2348),INDEX($L$4:$L$2003,$S2348))))</f>
        <v/>
      </c>
      <c r="B2348" s="4">
        <f>IF($R2348="","",IF($R2348="T",$K$3,IF($R2348="B",COUNTIFS($M$4:$M$2003,INDEX($M$4:$M$2003,$S2348),$N$4:$N$2003,1),1)))</f>
        <v/>
      </c>
      <c r="Q2348">
        <f>IF(OR($R2347="",$R2347="T"),"",IF($R2347="B",$Q2347,IF($Q2347+1&gt;$K$3,"",$Q2347+1)))</f>
        <v/>
      </c>
      <c r="R2348">
        <f>IF(OR($R2347="",$R2347="T"),"",IF($R2347="B","S",IF($Q2347+1&gt;$K$3,"T",IF(INDEX($M$4:$M$2003,MATCH($Q2347+1,$P$4:$P$2003,0))&lt;&gt;INDEX($M$4:$M$2003,MATCH($Q2347,$P$4:$P$2003,0)),"B","S"))))</f>
        <v/>
      </c>
      <c r="S2348">
        <f>IF(Q2348="","",IFERROR(MATCH(Q2348,$P$4:$P$2003,0),""))</f>
        <v/>
      </c>
    </row>
    <row r="2349">
      <c r="A2349" s="4">
        <f>IF($R2349="","",IF($R2349="T","Gesamtergebnis",IF($R2349="B",INDEX($M$4:$M$2003,$S2349),INDEX($L$4:$L$2003,$S2349))))</f>
        <v/>
      </c>
      <c r="B2349" s="4">
        <f>IF($R2349="","",IF($R2349="T",$K$3,IF($R2349="B",COUNTIFS($M$4:$M$2003,INDEX($M$4:$M$2003,$S2349),$N$4:$N$2003,1),1)))</f>
        <v/>
      </c>
      <c r="Q2349">
        <f>IF(OR($R2348="",$R2348="T"),"",IF($R2348="B",$Q2348,IF($Q2348+1&gt;$K$3,"",$Q2348+1)))</f>
        <v/>
      </c>
      <c r="R2349">
        <f>IF(OR($R2348="",$R2348="T"),"",IF($R2348="B","S",IF($Q2348+1&gt;$K$3,"T",IF(INDEX($M$4:$M$2003,MATCH($Q2348+1,$P$4:$P$2003,0))&lt;&gt;INDEX($M$4:$M$2003,MATCH($Q2348,$P$4:$P$2003,0)),"B","S"))))</f>
        <v/>
      </c>
      <c r="S2349">
        <f>IF(Q2349="","",IFERROR(MATCH(Q2349,$P$4:$P$2003,0),""))</f>
        <v/>
      </c>
    </row>
    <row r="2350">
      <c r="A2350" s="4">
        <f>IF($R2350="","",IF($R2350="T","Gesamtergebnis",IF($R2350="B",INDEX($M$4:$M$2003,$S2350),INDEX($L$4:$L$2003,$S2350))))</f>
        <v/>
      </c>
      <c r="B2350" s="4">
        <f>IF($R2350="","",IF($R2350="T",$K$3,IF($R2350="B",COUNTIFS($M$4:$M$2003,INDEX($M$4:$M$2003,$S2350),$N$4:$N$2003,1),1)))</f>
        <v/>
      </c>
      <c r="Q2350">
        <f>IF(OR($R2349="",$R2349="T"),"",IF($R2349="B",$Q2349,IF($Q2349+1&gt;$K$3,"",$Q2349+1)))</f>
        <v/>
      </c>
      <c r="R2350">
        <f>IF(OR($R2349="",$R2349="T"),"",IF($R2349="B","S",IF($Q2349+1&gt;$K$3,"T",IF(INDEX($M$4:$M$2003,MATCH($Q2349+1,$P$4:$P$2003,0))&lt;&gt;INDEX($M$4:$M$2003,MATCH($Q2349,$P$4:$P$2003,0)),"B","S"))))</f>
        <v/>
      </c>
      <c r="S2350">
        <f>IF(Q2350="","",IFERROR(MATCH(Q2350,$P$4:$P$2003,0),""))</f>
        <v/>
      </c>
    </row>
    <row r="2351">
      <c r="A2351" s="4">
        <f>IF($R2351="","",IF($R2351="T","Gesamtergebnis",IF($R2351="B",INDEX($M$4:$M$2003,$S2351),INDEX($L$4:$L$2003,$S2351))))</f>
        <v/>
      </c>
      <c r="B2351" s="4">
        <f>IF($R2351="","",IF($R2351="T",$K$3,IF($R2351="B",COUNTIFS($M$4:$M$2003,INDEX($M$4:$M$2003,$S2351),$N$4:$N$2003,1),1)))</f>
        <v/>
      </c>
      <c r="Q2351">
        <f>IF(OR($R2350="",$R2350="T"),"",IF($R2350="B",$Q2350,IF($Q2350+1&gt;$K$3,"",$Q2350+1)))</f>
        <v/>
      </c>
      <c r="R2351">
        <f>IF(OR($R2350="",$R2350="T"),"",IF($R2350="B","S",IF($Q2350+1&gt;$K$3,"T",IF(INDEX($M$4:$M$2003,MATCH($Q2350+1,$P$4:$P$2003,0))&lt;&gt;INDEX($M$4:$M$2003,MATCH($Q2350,$P$4:$P$2003,0)),"B","S"))))</f>
        <v/>
      </c>
      <c r="S2351">
        <f>IF(Q2351="","",IFERROR(MATCH(Q2351,$P$4:$P$2003,0),""))</f>
        <v/>
      </c>
    </row>
    <row r="2352">
      <c r="A2352" s="4">
        <f>IF($R2352="","",IF($R2352="T","Gesamtergebnis",IF($R2352="B",INDEX($M$4:$M$2003,$S2352),INDEX($L$4:$L$2003,$S2352))))</f>
        <v/>
      </c>
      <c r="B2352" s="4">
        <f>IF($R2352="","",IF($R2352="T",$K$3,IF($R2352="B",COUNTIFS($M$4:$M$2003,INDEX($M$4:$M$2003,$S2352),$N$4:$N$2003,1),1)))</f>
        <v/>
      </c>
      <c r="Q2352">
        <f>IF(OR($R2351="",$R2351="T"),"",IF($R2351="B",$Q2351,IF($Q2351+1&gt;$K$3,"",$Q2351+1)))</f>
        <v/>
      </c>
      <c r="R2352">
        <f>IF(OR($R2351="",$R2351="T"),"",IF($R2351="B","S",IF($Q2351+1&gt;$K$3,"T",IF(INDEX($M$4:$M$2003,MATCH($Q2351+1,$P$4:$P$2003,0))&lt;&gt;INDEX($M$4:$M$2003,MATCH($Q2351,$P$4:$P$2003,0)),"B","S"))))</f>
        <v/>
      </c>
      <c r="S2352">
        <f>IF(Q2352="","",IFERROR(MATCH(Q2352,$P$4:$P$2003,0),""))</f>
        <v/>
      </c>
    </row>
    <row r="2353">
      <c r="A2353" s="4">
        <f>IF($R2353="","",IF($R2353="T","Gesamtergebnis",IF($R2353="B",INDEX($M$4:$M$2003,$S2353),INDEX($L$4:$L$2003,$S2353))))</f>
        <v/>
      </c>
      <c r="B2353" s="4">
        <f>IF($R2353="","",IF($R2353="T",$K$3,IF($R2353="B",COUNTIFS($M$4:$M$2003,INDEX($M$4:$M$2003,$S2353),$N$4:$N$2003,1),1)))</f>
        <v/>
      </c>
      <c r="Q2353">
        <f>IF(OR($R2352="",$R2352="T"),"",IF($R2352="B",$Q2352,IF($Q2352+1&gt;$K$3,"",$Q2352+1)))</f>
        <v/>
      </c>
      <c r="R2353">
        <f>IF(OR($R2352="",$R2352="T"),"",IF($R2352="B","S",IF($Q2352+1&gt;$K$3,"T",IF(INDEX($M$4:$M$2003,MATCH($Q2352+1,$P$4:$P$2003,0))&lt;&gt;INDEX($M$4:$M$2003,MATCH($Q2352,$P$4:$P$2003,0)),"B","S"))))</f>
        <v/>
      </c>
      <c r="S2353">
        <f>IF(Q2353="","",IFERROR(MATCH(Q2353,$P$4:$P$2003,0),""))</f>
        <v/>
      </c>
    </row>
    <row r="2354">
      <c r="A2354" s="4">
        <f>IF($R2354="","",IF($R2354="T","Gesamtergebnis",IF($R2354="B",INDEX($M$4:$M$2003,$S2354),INDEX($L$4:$L$2003,$S2354))))</f>
        <v/>
      </c>
      <c r="B2354" s="4">
        <f>IF($R2354="","",IF($R2354="T",$K$3,IF($R2354="B",COUNTIFS($M$4:$M$2003,INDEX($M$4:$M$2003,$S2354),$N$4:$N$2003,1),1)))</f>
        <v/>
      </c>
      <c r="Q2354">
        <f>IF(OR($R2353="",$R2353="T"),"",IF($R2353="B",$Q2353,IF($Q2353+1&gt;$K$3,"",$Q2353+1)))</f>
        <v/>
      </c>
      <c r="R2354">
        <f>IF(OR($R2353="",$R2353="T"),"",IF($R2353="B","S",IF($Q2353+1&gt;$K$3,"T",IF(INDEX($M$4:$M$2003,MATCH($Q2353+1,$P$4:$P$2003,0))&lt;&gt;INDEX($M$4:$M$2003,MATCH($Q2353,$P$4:$P$2003,0)),"B","S"))))</f>
        <v/>
      </c>
      <c r="S2354">
        <f>IF(Q2354="","",IFERROR(MATCH(Q2354,$P$4:$P$2003,0),""))</f>
        <v/>
      </c>
    </row>
    <row r="2355">
      <c r="A2355" s="4">
        <f>IF($R2355="","",IF($R2355="T","Gesamtergebnis",IF($R2355="B",INDEX($M$4:$M$2003,$S2355),INDEX($L$4:$L$2003,$S2355))))</f>
        <v/>
      </c>
      <c r="B2355" s="4">
        <f>IF($R2355="","",IF($R2355="T",$K$3,IF($R2355="B",COUNTIFS($M$4:$M$2003,INDEX($M$4:$M$2003,$S2355),$N$4:$N$2003,1),1)))</f>
        <v/>
      </c>
      <c r="Q2355">
        <f>IF(OR($R2354="",$R2354="T"),"",IF($R2354="B",$Q2354,IF($Q2354+1&gt;$K$3,"",$Q2354+1)))</f>
        <v/>
      </c>
      <c r="R2355">
        <f>IF(OR($R2354="",$R2354="T"),"",IF($R2354="B","S",IF($Q2354+1&gt;$K$3,"T",IF(INDEX($M$4:$M$2003,MATCH($Q2354+1,$P$4:$P$2003,0))&lt;&gt;INDEX($M$4:$M$2003,MATCH($Q2354,$P$4:$P$2003,0)),"B","S"))))</f>
        <v/>
      </c>
      <c r="S2355">
        <f>IF(Q2355="","",IFERROR(MATCH(Q2355,$P$4:$P$2003,0),""))</f>
        <v/>
      </c>
    </row>
    <row r="2356">
      <c r="A2356" s="4">
        <f>IF($R2356="","",IF($R2356="T","Gesamtergebnis",IF($R2356="B",INDEX($M$4:$M$2003,$S2356),INDEX($L$4:$L$2003,$S2356))))</f>
        <v/>
      </c>
      <c r="B2356" s="4">
        <f>IF($R2356="","",IF($R2356="T",$K$3,IF($R2356="B",COUNTIFS($M$4:$M$2003,INDEX($M$4:$M$2003,$S2356),$N$4:$N$2003,1),1)))</f>
        <v/>
      </c>
      <c r="Q2356">
        <f>IF(OR($R2355="",$R2355="T"),"",IF($R2355="B",$Q2355,IF($Q2355+1&gt;$K$3,"",$Q2355+1)))</f>
        <v/>
      </c>
      <c r="R2356">
        <f>IF(OR($R2355="",$R2355="T"),"",IF($R2355="B","S",IF($Q2355+1&gt;$K$3,"T",IF(INDEX($M$4:$M$2003,MATCH($Q2355+1,$P$4:$P$2003,0))&lt;&gt;INDEX($M$4:$M$2003,MATCH($Q2355,$P$4:$P$2003,0)),"B","S"))))</f>
        <v/>
      </c>
      <c r="S2356">
        <f>IF(Q2356="","",IFERROR(MATCH(Q2356,$P$4:$P$2003,0),""))</f>
        <v/>
      </c>
    </row>
    <row r="2357">
      <c r="A2357" s="4">
        <f>IF($R2357="","",IF($R2357="T","Gesamtergebnis",IF($R2357="B",INDEX($M$4:$M$2003,$S2357),INDEX($L$4:$L$2003,$S2357))))</f>
        <v/>
      </c>
      <c r="B2357" s="4">
        <f>IF($R2357="","",IF($R2357="T",$K$3,IF($R2357="B",COUNTIFS($M$4:$M$2003,INDEX($M$4:$M$2003,$S2357),$N$4:$N$2003,1),1)))</f>
        <v/>
      </c>
      <c r="Q2357">
        <f>IF(OR($R2356="",$R2356="T"),"",IF($R2356="B",$Q2356,IF($Q2356+1&gt;$K$3,"",$Q2356+1)))</f>
        <v/>
      </c>
      <c r="R2357">
        <f>IF(OR($R2356="",$R2356="T"),"",IF($R2356="B","S",IF($Q2356+1&gt;$K$3,"T",IF(INDEX($M$4:$M$2003,MATCH($Q2356+1,$P$4:$P$2003,0))&lt;&gt;INDEX($M$4:$M$2003,MATCH($Q2356,$P$4:$P$2003,0)),"B","S"))))</f>
        <v/>
      </c>
      <c r="S2357">
        <f>IF(Q2357="","",IFERROR(MATCH(Q2357,$P$4:$P$2003,0),""))</f>
        <v/>
      </c>
    </row>
    <row r="2358">
      <c r="A2358" s="4">
        <f>IF($R2358="","",IF($R2358="T","Gesamtergebnis",IF($R2358="B",INDEX($M$4:$M$2003,$S2358),INDEX($L$4:$L$2003,$S2358))))</f>
        <v/>
      </c>
      <c r="B2358" s="4">
        <f>IF($R2358="","",IF($R2358="T",$K$3,IF($R2358="B",COUNTIFS($M$4:$M$2003,INDEX($M$4:$M$2003,$S2358),$N$4:$N$2003,1),1)))</f>
        <v/>
      </c>
      <c r="Q2358">
        <f>IF(OR($R2357="",$R2357="T"),"",IF($R2357="B",$Q2357,IF($Q2357+1&gt;$K$3,"",$Q2357+1)))</f>
        <v/>
      </c>
      <c r="R2358">
        <f>IF(OR($R2357="",$R2357="T"),"",IF($R2357="B","S",IF($Q2357+1&gt;$K$3,"T",IF(INDEX($M$4:$M$2003,MATCH($Q2357+1,$P$4:$P$2003,0))&lt;&gt;INDEX($M$4:$M$2003,MATCH($Q2357,$P$4:$P$2003,0)),"B","S"))))</f>
        <v/>
      </c>
      <c r="S2358">
        <f>IF(Q2358="","",IFERROR(MATCH(Q2358,$P$4:$P$2003,0),""))</f>
        <v/>
      </c>
    </row>
    <row r="2359">
      <c r="A2359" s="4">
        <f>IF($R2359="","",IF($R2359="T","Gesamtergebnis",IF($R2359="B",INDEX($M$4:$M$2003,$S2359),INDEX($L$4:$L$2003,$S2359))))</f>
        <v/>
      </c>
      <c r="B2359" s="4">
        <f>IF($R2359="","",IF($R2359="T",$K$3,IF($R2359="B",COUNTIFS($M$4:$M$2003,INDEX($M$4:$M$2003,$S2359),$N$4:$N$2003,1),1)))</f>
        <v/>
      </c>
      <c r="Q2359">
        <f>IF(OR($R2358="",$R2358="T"),"",IF($R2358="B",$Q2358,IF($Q2358+1&gt;$K$3,"",$Q2358+1)))</f>
        <v/>
      </c>
      <c r="R2359">
        <f>IF(OR($R2358="",$R2358="T"),"",IF($R2358="B","S",IF($Q2358+1&gt;$K$3,"T",IF(INDEX($M$4:$M$2003,MATCH($Q2358+1,$P$4:$P$2003,0))&lt;&gt;INDEX($M$4:$M$2003,MATCH($Q2358,$P$4:$P$2003,0)),"B","S"))))</f>
        <v/>
      </c>
      <c r="S2359">
        <f>IF(Q2359="","",IFERROR(MATCH(Q2359,$P$4:$P$2003,0),""))</f>
        <v/>
      </c>
    </row>
    <row r="2360">
      <c r="A2360" s="4">
        <f>IF($R2360="","",IF($R2360="T","Gesamtergebnis",IF($R2360="B",INDEX($M$4:$M$2003,$S2360),INDEX($L$4:$L$2003,$S2360))))</f>
        <v/>
      </c>
      <c r="B2360" s="4">
        <f>IF($R2360="","",IF($R2360="T",$K$3,IF($R2360="B",COUNTIFS($M$4:$M$2003,INDEX($M$4:$M$2003,$S2360),$N$4:$N$2003,1),1)))</f>
        <v/>
      </c>
      <c r="Q2360">
        <f>IF(OR($R2359="",$R2359="T"),"",IF($R2359="B",$Q2359,IF($Q2359+1&gt;$K$3,"",$Q2359+1)))</f>
        <v/>
      </c>
      <c r="R2360">
        <f>IF(OR($R2359="",$R2359="T"),"",IF($R2359="B","S",IF($Q2359+1&gt;$K$3,"T",IF(INDEX($M$4:$M$2003,MATCH($Q2359+1,$P$4:$P$2003,0))&lt;&gt;INDEX($M$4:$M$2003,MATCH($Q2359,$P$4:$P$2003,0)),"B","S"))))</f>
        <v/>
      </c>
      <c r="S2360">
        <f>IF(Q2360="","",IFERROR(MATCH(Q2360,$P$4:$P$2003,0),""))</f>
        <v/>
      </c>
    </row>
    <row r="2361">
      <c r="A2361" s="4">
        <f>IF($R2361="","",IF($R2361="T","Gesamtergebnis",IF($R2361="B",INDEX($M$4:$M$2003,$S2361),INDEX($L$4:$L$2003,$S2361))))</f>
        <v/>
      </c>
      <c r="B2361" s="4">
        <f>IF($R2361="","",IF($R2361="T",$K$3,IF($R2361="B",COUNTIFS($M$4:$M$2003,INDEX($M$4:$M$2003,$S2361),$N$4:$N$2003,1),1)))</f>
        <v/>
      </c>
      <c r="Q2361">
        <f>IF(OR($R2360="",$R2360="T"),"",IF($R2360="B",$Q2360,IF($Q2360+1&gt;$K$3,"",$Q2360+1)))</f>
        <v/>
      </c>
      <c r="R2361">
        <f>IF(OR($R2360="",$R2360="T"),"",IF($R2360="B","S",IF($Q2360+1&gt;$K$3,"T",IF(INDEX($M$4:$M$2003,MATCH($Q2360+1,$P$4:$P$2003,0))&lt;&gt;INDEX($M$4:$M$2003,MATCH($Q2360,$P$4:$P$2003,0)),"B","S"))))</f>
        <v/>
      </c>
      <c r="S2361">
        <f>IF(Q2361="","",IFERROR(MATCH(Q2361,$P$4:$P$2003,0),""))</f>
        <v/>
      </c>
    </row>
    <row r="2362">
      <c r="A2362" s="4">
        <f>IF($R2362="","",IF($R2362="T","Gesamtergebnis",IF($R2362="B",INDEX($M$4:$M$2003,$S2362),INDEX($L$4:$L$2003,$S2362))))</f>
        <v/>
      </c>
      <c r="B2362" s="4">
        <f>IF($R2362="","",IF($R2362="T",$K$3,IF($R2362="B",COUNTIFS($M$4:$M$2003,INDEX($M$4:$M$2003,$S2362),$N$4:$N$2003,1),1)))</f>
        <v/>
      </c>
      <c r="Q2362">
        <f>IF(OR($R2361="",$R2361="T"),"",IF($R2361="B",$Q2361,IF($Q2361+1&gt;$K$3,"",$Q2361+1)))</f>
        <v/>
      </c>
      <c r="R2362">
        <f>IF(OR($R2361="",$R2361="T"),"",IF($R2361="B","S",IF($Q2361+1&gt;$K$3,"T",IF(INDEX($M$4:$M$2003,MATCH($Q2361+1,$P$4:$P$2003,0))&lt;&gt;INDEX($M$4:$M$2003,MATCH($Q2361,$P$4:$P$2003,0)),"B","S"))))</f>
        <v/>
      </c>
      <c r="S2362">
        <f>IF(Q2362="","",IFERROR(MATCH(Q2362,$P$4:$P$2003,0),""))</f>
        <v/>
      </c>
    </row>
    <row r="2363">
      <c r="A2363" s="4">
        <f>IF($R2363="","",IF($R2363="T","Gesamtergebnis",IF($R2363="B",INDEX($M$4:$M$2003,$S2363),INDEX($L$4:$L$2003,$S2363))))</f>
        <v/>
      </c>
      <c r="B2363" s="4">
        <f>IF($R2363="","",IF($R2363="T",$K$3,IF($R2363="B",COUNTIFS($M$4:$M$2003,INDEX($M$4:$M$2003,$S2363),$N$4:$N$2003,1),1)))</f>
        <v/>
      </c>
      <c r="Q2363">
        <f>IF(OR($R2362="",$R2362="T"),"",IF($R2362="B",$Q2362,IF($Q2362+1&gt;$K$3,"",$Q2362+1)))</f>
        <v/>
      </c>
      <c r="R2363">
        <f>IF(OR($R2362="",$R2362="T"),"",IF($R2362="B","S",IF($Q2362+1&gt;$K$3,"T",IF(INDEX($M$4:$M$2003,MATCH($Q2362+1,$P$4:$P$2003,0))&lt;&gt;INDEX($M$4:$M$2003,MATCH($Q2362,$P$4:$P$2003,0)),"B","S"))))</f>
        <v/>
      </c>
      <c r="S2363">
        <f>IF(Q2363="","",IFERROR(MATCH(Q2363,$P$4:$P$2003,0),""))</f>
        <v/>
      </c>
    </row>
    <row r="2364">
      <c r="A2364" s="4">
        <f>IF($R2364="","",IF($R2364="T","Gesamtergebnis",IF($R2364="B",INDEX($M$4:$M$2003,$S2364),INDEX($L$4:$L$2003,$S2364))))</f>
        <v/>
      </c>
      <c r="B2364" s="4">
        <f>IF($R2364="","",IF($R2364="T",$K$3,IF($R2364="B",COUNTIFS($M$4:$M$2003,INDEX($M$4:$M$2003,$S2364),$N$4:$N$2003,1),1)))</f>
        <v/>
      </c>
      <c r="Q2364">
        <f>IF(OR($R2363="",$R2363="T"),"",IF($R2363="B",$Q2363,IF($Q2363+1&gt;$K$3,"",$Q2363+1)))</f>
        <v/>
      </c>
      <c r="R2364">
        <f>IF(OR($R2363="",$R2363="T"),"",IF($R2363="B","S",IF($Q2363+1&gt;$K$3,"T",IF(INDEX($M$4:$M$2003,MATCH($Q2363+1,$P$4:$P$2003,0))&lt;&gt;INDEX($M$4:$M$2003,MATCH($Q2363,$P$4:$P$2003,0)),"B","S"))))</f>
        <v/>
      </c>
      <c r="S2364">
        <f>IF(Q2364="","",IFERROR(MATCH(Q2364,$P$4:$P$2003,0),""))</f>
        <v/>
      </c>
    </row>
    <row r="2365">
      <c r="A2365" s="4">
        <f>IF($R2365="","",IF($R2365="T","Gesamtergebnis",IF($R2365="B",INDEX($M$4:$M$2003,$S2365),INDEX($L$4:$L$2003,$S2365))))</f>
        <v/>
      </c>
      <c r="B2365" s="4">
        <f>IF($R2365="","",IF($R2365="T",$K$3,IF($R2365="B",COUNTIFS($M$4:$M$2003,INDEX($M$4:$M$2003,$S2365),$N$4:$N$2003,1),1)))</f>
        <v/>
      </c>
      <c r="Q2365">
        <f>IF(OR($R2364="",$R2364="T"),"",IF($R2364="B",$Q2364,IF($Q2364+1&gt;$K$3,"",$Q2364+1)))</f>
        <v/>
      </c>
      <c r="R2365">
        <f>IF(OR($R2364="",$R2364="T"),"",IF($R2364="B","S",IF($Q2364+1&gt;$K$3,"T",IF(INDEX($M$4:$M$2003,MATCH($Q2364+1,$P$4:$P$2003,0))&lt;&gt;INDEX($M$4:$M$2003,MATCH($Q2364,$P$4:$P$2003,0)),"B","S"))))</f>
        <v/>
      </c>
      <c r="S2365">
        <f>IF(Q2365="","",IFERROR(MATCH(Q2365,$P$4:$P$2003,0),""))</f>
        <v/>
      </c>
    </row>
    <row r="2366">
      <c r="A2366" s="4">
        <f>IF($R2366="","",IF($R2366="T","Gesamtergebnis",IF($R2366="B",INDEX($M$4:$M$2003,$S2366),INDEX($L$4:$L$2003,$S2366))))</f>
        <v/>
      </c>
      <c r="B2366" s="4">
        <f>IF($R2366="","",IF($R2366="T",$K$3,IF($R2366="B",COUNTIFS($M$4:$M$2003,INDEX($M$4:$M$2003,$S2366),$N$4:$N$2003,1),1)))</f>
        <v/>
      </c>
      <c r="Q2366">
        <f>IF(OR($R2365="",$R2365="T"),"",IF($R2365="B",$Q2365,IF($Q2365+1&gt;$K$3,"",$Q2365+1)))</f>
        <v/>
      </c>
      <c r="R2366">
        <f>IF(OR($R2365="",$R2365="T"),"",IF($R2365="B","S",IF($Q2365+1&gt;$K$3,"T",IF(INDEX($M$4:$M$2003,MATCH($Q2365+1,$P$4:$P$2003,0))&lt;&gt;INDEX($M$4:$M$2003,MATCH($Q2365,$P$4:$P$2003,0)),"B","S"))))</f>
        <v/>
      </c>
      <c r="S2366">
        <f>IF(Q2366="","",IFERROR(MATCH(Q2366,$P$4:$P$2003,0),""))</f>
        <v/>
      </c>
    </row>
    <row r="2367">
      <c r="A2367" s="4">
        <f>IF($R2367="","",IF($R2367="T","Gesamtergebnis",IF($R2367="B",INDEX($M$4:$M$2003,$S2367),INDEX($L$4:$L$2003,$S2367))))</f>
        <v/>
      </c>
      <c r="B2367" s="4">
        <f>IF($R2367="","",IF($R2367="T",$K$3,IF($R2367="B",COUNTIFS($M$4:$M$2003,INDEX($M$4:$M$2003,$S2367),$N$4:$N$2003,1),1)))</f>
        <v/>
      </c>
      <c r="Q2367">
        <f>IF(OR($R2366="",$R2366="T"),"",IF($R2366="B",$Q2366,IF($Q2366+1&gt;$K$3,"",$Q2366+1)))</f>
        <v/>
      </c>
      <c r="R2367">
        <f>IF(OR($R2366="",$R2366="T"),"",IF($R2366="B","S",IF($Q2366+1&gt;$K$3,"T",IF(INDEX($M$4:$M$2003,MATCH($Q2366+1,$P$4:$P$2003,0))&lt;&gt;INDEX($M$4:$M$2003,MATCH($Q2366,$P$4:$P$2003,0)),"B","S"))))</f>
        <v/>
      </c>
      <c r="S2367">
        <f>IF(Q2367="","",IFERROR(MATCH(Q2367,$P$4:$P$2003,0),""))</f>
        <v/>
      </c>
    </row>
    <row r="2368">
      <c r="A2368" s="4">
        <f>IF($R2368="","",IF($R2368="T","Gesamtergebnis",IF($R2368="B",INDEX($M$4:$M$2003,$S2368),INDEX($L$4:$L$2003,$S2368))))</f>
        <v/>
      </c>
      <c r="B2368" s="4">
        <f>IF($R2368="","",IF($R2368="T",$K$3,IF($R2368="B",COUNTIFS($M$4:$M$2003,INDEX($M$4:$M$2003,$S2368),$N$4:$N$2003,1),1)))</f>
        <v/>
      </c>
      <c r="Q2368">
        <f>IF(OR($R2367="",$R2367="T"),"",IF($R2367="B",$Q2367,IF($Q2367+1&gt;$K$3,"",$Q2367+1)))</f>
        <v/>
      </c>
      <c r="R2368">
        <f>IF(OR($R2367="",$R2367="T"),"",IF($R2367="B","S",IF($Q2367+1&gt;$K$3,"T",IF(INDEX($M$4:$M$2003,MATCH($Q2367+1,$P$4:$P$2003,0))&lt;&gt;INDEX($M$4:$M$2003,MATCH($Q2367,$P$4:$P$2003,0)),"B","S"))))</f>
        <v/>
      </c>
      <c r="S2368">
        <f>IF(Q2368="","",IFERROR(MATCH(Q2368,$P$4:$P$2003,0),""))</f>
        <v/>
      </c>
    </row>
    <row r="2369">
      <c r="A2369" s="4">
        <f>IF($R2369="","",IF($R2369="T","Gesamtergebnis",IF($R2369="B",INDEX($M$4:$M$2003,$S2369),INDEX($L$4:$L$2003,$S2369))))</f>
        <v/>
      </c>
      <c r="B2369" s="4">
        <f>IF($R2369="","",IF($R2369="T",$K$3,IF($R2369="B",COUNTIFS($M$4:$M$2003,INDEX($M$4:$M$2003,$S2369),$N$4:$N$2003,1),1)))</f>
        <v/>
      </c>
      <c r="Q2369">
        <f>IF(OR($R2368="",$R2368="T"),"",IF($R2368="B",$Q2368,IF($Q2368+1&gt;$K$3,"",$Q2368+1)))</f>
        <v/>
      </c>
      <c r="R2369">
        <f>IF(OR($R2368="",$R2368="T"),"",IF($R2368="B","S",IF($Q2368+1&gt;$K$3,"T",IF(INDEX($M$4:$M$2003,MATCH($Q2368+1,$P$4:$P$2003,0))&lt;&gt;INDEX($M$4:$M$2003,MATCH($Q2368,$P$4:$P$2003,0)),"B","S"))))</f>
        <v/>
      </c>
      <c r="S2369">
        <f>IF(Q2369="","",IFERROR(MATCH(Q2369,$P$4:$P$2003,0),""))</f>
        <v/>
      </c>
    </row>
    <row r="2370">
      <c r="A2370" s="4">
        <f>IF($R2370="","",IF($R2370="T","Gesamtergebnis",IF($R2370="B",INDEX($M$4:$M$2003,$S2370),INDEX($L$4:$L$2003,$S2370))))</f>
        <v/>
      </c>
      <c r="B2370" s="4">
        <f>IF($R2370="","",IF($R2370="T",$K$3,IF($R2370="B",COUNTIFS($M$4:$M$2003,INDEX($M$4:$M$2003,$S2370),$N$4:$N$2003,1),1)))</f>
        <v/>
      </c>
      <c r="Q2370">
        <f>IF(OR($R2369="",$R2369="T"),"",IF($R2369="B",$Q2369,IF($Q2369+1&gt;$K$3,"",$Q2369+1)))</f>
        <v/>
      </c>
      <c r="R2370">
        <f>IF(OR($R2369="",$R2369="T"),"",IF($R2369="B","S",IF($Q2369+1&gt;$K$3,"T",IF(INDEX($M$4:$M$2003,MATCH($Q2369+1,$P$4:$P$2003,0))&lt;&gt;INDEX($M$4:$M$2003,MATCH($Q2369,$P$4:$P$2003,0)),"B","S"))))</f>
        <v/>
      </c>
      <c r="S2370">
        <f>IF(Q2370="","",IFERROR(MATCH(Q2370,$P$4:$P$2003,0),""))</f>
        <v/>
      </c>
    </row>
    <row r="2371">
      <c r="A2371" s="4">
        <f>IF($R2371="","",IF($R2371="T","Gesamtergebnis",IF($R2371="B",INDEX($M$4:$M$2003,$S2371),INDEX($L$4:$L$2003,$S2371))))</f>
        <v/>
      </c>
      <c r="B2371" s="4">
        <f>IF($R2371="","",IF($R2371="T",$K$3,IF($R2371="B",COUNTIFS($M$4:$M$2003,INDEX($M$4:$M$2003,$S2371),$N$4:$N$2003,1),1)))</f>
        <v/>
      </c>
      <c r="Q2371">
        <f>IF(OR($R2370="",$R2370="T"),"",IF($R2370="B",$Q2370,IF($Q2370+1&gt;$K$3,"",$Q2370+1)))</f>
        <v/>
      </c>
      <c r="R2371">
        <f>IF(OR($R2370="",$R2370="T"),"",IF($R2370="B","S",IF($Q2370+1&gt;$K$3,"T",IF(INDEX($M$4:$M$2003,MATCH($Q2370+1,$P$4:$P$2003,0))&lt;&gt;INDEX($M$4:$M$2003,MATCH($Q2370,$P$4:$P$2003,0)),"B","S"))))</f>
        <v/>
      </c>
      <c r="S2371">
        <f>IF(Q2371="","",IFERROR(MATCH(Q2371,$P$4:$P$2003,0),""))</f>
        <v/>
      </c>
    </row>
    <row r="2372">
      <c r="A2372" s="4">
        <f>IF($R2372="","",IF($R2372="T","Gesamtergebnis",IF($R2372="B",INDEX($M$4:$M$2003,$S2372),INDEX($L$4:$L$2003,$S2372))))</f>
        <v/>
      </c>
      <c r="B2372" s="4">
        <f>IF($R2372="","",IF($R2372="T",$K$3,IF($R2372="B",COUNTIFS($M$4:$M$2003,INDEX($M$4:$M$2003,$S2372),$N$4:$N$2003,1),1)))</f>
        <v/>
      </c>
      <c r="Q2372">
        <f>IF(OR($R2371="",$R2371="T"),"",IF($R2371="B",$Q2371,IF($Q2371+1&gt;$K$3,"",$Q2371+1)))</f>
        <v/>
      </c>
      <c r="R2372">
        <f>IF(OR($R2371="",$R2371="T"),"",IF($R2371="B","S",IF($Q2371+1&gt;$K$3,"T",IF(INDEX($M$4:$M$2003,MATCH($Q2371+1,$P$4:$P$2003,0))&lt;&gt;INDEX($M$4:$M$2003,MATCH($Q2371,$P$4:$P$2003,0)),"B","S"))))</f>
        <v/>
      </c>
      <c r="S2372">
        <f>IF(Q2372="","",IFERROR(MATCH(Q2372,$P$4:$P$2003,0),""))</f>
        <v/>
      </c>
    </row>
    <row r="2373">
      <c r="A2373" s="4">
        <f>IF($R2373="","",IF($R2373="T","Gesamtergebnis",IF($R2373="B",INDEX($M$4:$M$2003,$S2373),INDEX($L$4:$L$2003,$S2373))))</f>
        <v/>
      </c>
      <c r="B2373" s="4">
        <f>IF($R2373="","",IF($R2373="T",$K$3,IF($R2373="B",COUNTIFS($M$4:$M$2003,INDEX($M$4:$M$2003,$S2373),$N$4:$N$2003,1),1)))</f>
        <v/>
      </c>
      <c r="Q2373">
        <f>IF(OR($R2372="",$R2372="T"),"",IF($R2372="B",$Q2372,IF($Q2372+1&gt;$K$3,"",$Q2372+1)))</f>
        <v/>
      </c>
      <c r="R2373">
        <f>IF(OR($R2372="",$R2372="T"),"",IF($R2372="B","S",IF($Q2372+1&gt;$K$3,"T",IF(INDEX($M$4:$M$2003,MATCH($Q2372+1,$P$4:$P$2003,0))&lt;&gt;INDEX($M$4:$M$2003,MATCH($Q2372,$P$4:$P$2003,0)),"B","S"))))</f>
        <v/>
      </c>
      <c r="S2373">
        <f>IF(Q2373="","",IFERROR(MATCH(Q2373,$P$4:$P$2003,0),""))</f>
        <v/>
      </c>
    </row>
    <row r="2374">
      <c r="A2374" s="4">
        <f>IF($R2374="","",IF($R2374="T","Gesamtergebnis",IF($R2374="B",INDEX($M$4:$M$2003,$S2374),INDEX($L$4:$L$2003,$S2374))))</f>
        <v/>
      </c>
      <c r="B2374" s="4">
        <f>IF($R2374="","",IF($R2374="T",$K$3,IF($R2374="B",COUNTIFS($M$4:$M$2003,INDEX($M$4:$M$2003,$S2374),$N$4:$N$2003,1),1)))</f>
        <v/>
      </c>
      <c r="Q2374">
        <f>IF(OR($R2373="",$R2373="T"),"",IF($R2373="B",$Q2373,IF($Q2373+1&gt;$K$3,"",$Q2373+1)))</f>
        <v/>
      </c>
      <c r="R2374">
        <f>IF(OR($R2373="",$R2373="T"),"",IF($R2373="B","S",IF($Q2373+1&gt;$K$3,"T",IF(INDEX($M$4:$M$2003,MATCH($Q2373+1,$P$4:$P$2003,0))&lt;&gt;INDEX($M$4:$M$2003,MATCH($Q2373,$P$4:$P$2003,0)),"B","S"))))</f>
        <v/>
      </c>
      <c r="S2374">
        <f>IF(Q2374="","",IFERROR(MATCH(Q2374,$P$4:$P$2003,0),""))</f>
        <v/>
      </c>
    </row>
    <row r="2375">
      <c r="A2375" s="4">
        <f>IF($R2375="","",IF($R2375="T","Gesamtergebnis",IF($R2375="B",INDEX($M$4:$M$2003,$S2375),INDEX($L$4:$L$2003,$S2375))))</f>
        <v/>
      </c>
      <c r="B2375" s="4">
        <f>IF($R2375="","",IF($R2375="T",$K$3,IF($R2375="B",COUNTIFS($M$4:$M$2003,INDEX($M$4:$M$2003,$S2375),$N$4:$N$2003,1),1)))</f>
        <v/>
      </c>
      <c r="Q2375">
        <f>IF(OR($R2374="",$R2374="T"),"",IF($R2374="B",$Q2374,IF($Q2374+1&gt;$K$3,"",$Q2374+1)))</f>
        <v/>
      </c>
      <c r="R2375">
        <f>IF(OR($R2374="",$R2374="T"),"",IF($R2374="B","S",IF($Q2374+1&gt;$K$3,"T",IF(INDEX($M$4:$M$2003,MATCH($Q2374+1,$P$4:$P$2003,0))&lt;&gt;INDEX($M$4:$M$2003,MATCH($Q2374,$P$4:$P$2003,0)),"B","S"))))</f>
        <v/>
      </c>
      <c r="S2375">
        <f>IF(Q2375="","",IFERROR(MATCH(Q2375,$P$4:$P$2003,0),""))</f>
        <v/>
      </c>
    </row>
    <row r="2376">
      <c r="A2376" s="4">
        <f>IF($R2376="","",IF($R2376="T","Gesamtergebnis",IF($R2376="B",INDEX($M$4:$M$2003,$S2376),INDEX($L$4:$L$2003,$S2376))))</f>
        <v/>
      </c>
      <c r="B2376" s="4">
        <f>IF($R2376="","",IF($R2376="T",$K$3,IF($R2376="B",COUNTIFS($M$4:$M$2003,INDEX($M$4:$M$2003,$S2376),$N$4:$N$2003,1),1)))</f>
        <v/>
      </c>
      <c r="Q2376">
        <f>IF(OR($R2375="",$R2375="T"),"",IF($R2375="B",$Q2375,IF($Q2375+1&gt;$K$3,"",$Q2375+1)))</f>
        <v/>
      </c>
      <c r="R2376">
        <f>IF(OR($R2375="",$R2375="T"),"",IF($R2375="B","S",IF($Q2375+1&gt;$K$3,"T",IF(INDEX($M$4:$M$2003,MATCH($Q2375+1,$P$4:$P$2003,0))&lt;&gt;INDEX($M$4:$M$2003,MATCH($Q2375,$P$4:$P$2003,0)),"B","S"))))</f>
        <v/>
      </c>
      <c r="S2376">
        <f>IF(Q2376="","",IFERROR(MATCH(Q2376,$P$4:$P$2003,0),""))</f>
        <v/>
      </c>
    </row>
    <row r="2377">
      <c r="A2377" s="4">
        <f>IF($R2377="","",IF($R2377="T","Gesamtergebnis",IF($R2377="B",INDEX($M$4:$M$2003,$S2377),INDEX($L$4:$L$2003,$S2377))))</f>
        <v/>
      </c>
      <c r="B2377" s="4">
        <f>IF($R2377="","",IF($R2377="T",$K$3,IF($R2377="B",COUNTIFS($M$4:$M$2003,INDEX($M$4:$M$2003,$S2377),$N$4:$N$2003,1),1)))</f>
        <v/>
      </c>
      <c r="Q2377">
        <f>IF(OR($R2376="",$R2376="T"),"",IF($R2376="B",$Q2376,IF($Q2376+1&gt;$K$3,"",$Q2376+1)))</f>
        <v/>
      </c>
      <c r="R2377">
        <f>IF(OR($R2376="",$R2376="T"),"",IF($R2376="B","S",IF($Q2376+1&gt;$K$3,"T",IF(INDEX($M$4:$M$2003,MATCH($Q2376+1,$P$4:$P$2003,0))&lt;&gt;INDEX($M$4:$M$2003,MATCH($Q2376,$P$4:$P$2003,0)),"B","S"))))</f>
        <v/>
      </c>
      <c r="S2377">
        <f>IF(Q2377="","",IFERROR(MATCH(Q2377,$P$4:$P$2003,0),""))</f>
        <v/>
      </c>
    </row>
    <row r="2378">
      <c r="A2378" s="4">
        <f>IF($R2378="","",IF($R2378="T","Gesamtergebnis",IF($R2378="B",INDEX($M$4:$M$2003,$S2378),INDEX($L$4:$L$2003,$S2378))))</f>
        <v/>
      </c>
      <c r="B2378" s="4">
        <f>IF($R2378="","",IF($R2378="T",$K$3,IF($R2378="B",COUNTIFS($M$4:$M$2003,INDEX($M$4:$M$2003,$S2378),$N$4:$N$2003,1),1)))</f>
        <v/>
      </c>
      <c r="Q2378">
        <f>IF(OR($R2377="",$R2377="T"),"",IF($R2377="B",$Q2377,IF($Q2377+1&gt;$K$3,"",$Q2377+1)))</f>
        <v/>
      </c>
      <c r="R2378">
        <f>IF(OR($R2377="",$R2377="T"),"",IF($R2377="B","S",IF($Q2377+1&gt;$K$3,"T",IF(INDEX($M$4:$M$2003,MATCH($Q2377+1,$P$4:$P$2003,0))&lt;&gt;INDEX($M$4:$M$2003,MATCH($Q2377,$P$4:$P$2003,0)),"B","S"))))</f>
        <v/>
      </c>
      <c r="S2378">
        <f>IF(Q2378="","",IFERROR(MATCH(Q2378,$P$4:$P$2003,0),""))</f>
        <v/>
      </c>
    </row>
    <row r="2379">
      <c r="A2379" s="4">
        <f>IF($R2379="","",IF($R2379="T","Gesamtergebnis",IF($R2379="B",INDEX($M$4:$M$2003,$S2379),INDEX($L$4:$L$2003,$S2379))))</f>
        <v/>
      </c>
      <c r="B2379" s="4">
        <f>IF($R2379="","",IF($R2379="T",$K$3,IF($R2379="B",COUNTIFS($M$4:$M$2003,INDEX($M$4:$M$2003,$S2379),$N$4:$N$2003,1),1)))</f>
        <v/>
      </c>
      <c r="Q2379">
        <f>IF(OR($R2378="",$R2378="T"),"",IF($R2378="B",$Q2378,IF($Q2378+1&gt;$K$3,"",$Q2378+1)))</f>
        <v/>
      </c>
      <c r="R2379">
        <f>IF(OR($R2378="",$R2378="T"),"",IF($R2378="B","S",IF($Q2378+1&gt;$K$3,"T",IF(INDEX($M$4:$M$2003,MATCH($Q2378+1,$P$4:$P$2003,0))&lt;&gt;INDEX($M$4:$M$2003,MATCH($Q2378,$P$4:$P$2003,0)),"B","S"))))</f>
        <v/>
      </c>
      <c r="S2379">
        <f>IF(Q2379="","",IFERROR(MATCH(Q2379,$P$4:$P$2003,0),""))</f>
        <v/>
      </c>
    </row>
    <row r="2380">
      <c r="A2380" s="4">
        <f>IF($R2380="","",IF($R2380="T","Gesamtergebnis",IF($R2380="B",INDEX($M$4:$M$2003,$S2380),INDEX($L$4:$L$2003,$S2380))))</f>
        <v/>
      </c>
      <c r="B2380" s="4">
        <f>IF($R2380="","",IF($R2380="T",$K$3,IF($R2380="B",COUNTIFS($M$4:$M$2003,INDEX($M$4:$M$2003,$S2380),$N$4:$N$2003,1),1)))</f>
        <v/>
      </c>
      <c r="Q2380">
        <f>IF(OR($R2379="",$R2379="T"),"",IF($R2379="B",$Q2379,IF($Q2379+1&gt;$K$3,"",$Q2379+1)))</f>
        <v/>
      </c>
      <c r="R2380">
        <f>IF(OR($R2379="",$R2379="T"),"",IF($R2379="B","S",IF($Q2379+1&gt;$K$3,"T",IF(INDEX($M$4:$M$2003,MATCH($Q2379+1,$P$4:$P$2003,0))&lt;&gt;INDEX($M$4:$M$2003,MATCH($Q2379,$P$4:$P$2003,0)),"B","S"))))</f>
        <v/>
      </c>
      <c r="S2380">
        <f>IF(Q2380="","",IFERROR(MATCH(Q2380,$P$4:$P$2003,0),""))</f>
        <v/>
      </c>
    </row>
    <row r="2381">
      <c r="A2381" s="4">
        <f>IF($R2381="","",IF($R2381="T","Gesamtergebnis",IF($R2381="B",INDEX($M$4:$M$2003,$S2381),INDEX($L$4:$L$2003,$S2381))))</f>
        <v/>
      </c>
      <c r="B2381" s="4">
        <f>IF($R2381="","",IF($R2381="T",$K$3,IF($R2381="B",COUNTIFS($M$4:$M$2003,INDEX($M$4:$M$2003,$S2381),$N$4:$N$2003,1),1)))</f>
        <v/>
      </c>
      <c r="Q2381">
        <f>IF(OR($R2380="",$R2380="T"),"",IF($R2380="B",$Q2380,IF($Q2380+1&gt;$K$3,"",$Q2380+1)))</f>
        <v/>
      </c>
      <c r="R2381">
        <f>IF(OR($R2380="",$R2380="T"),"",IF($R2380="B","S",IF($Q2380+1&gt;$K$3,"T",IF(INDEX($M$4:$M$2003,MATCH($Q2380+1,$P$4:$P$2003,0))&lt;&gt;INDEX($M$4:$M$2003,MATCH($Q2380,$P$4:$P$2003,0)),"B","S"))))</f>
        <v/>
      </c>
      <c r="S2381">
        <f>IF(Q2381="","",IFERROR(MATCH(Q2381,$P$4:$P$2003,0),""))</f>
        <v/>
      </c>
    </row>
    <row r="2382">
      <c r="A2382" s="4">
        <f>IF($R2382="","",IF($R2382="T","Gesamtergebnis",IF($R2382="B",INDEX($M$4:$M$2003,$S2382),INDEX($L$4:$L$2003,$S2382))))</f>
        <v/>
      </c>
      <c r="B2382" s="4">
        <f>IF($R2382="","",IF($R2382="T",$K$3,IF($R2382="B",COUNTIFS($M$4:$M$2003,INDEX($M$4:$M$2003,$S2382),$N$4:$N$2003,1),1)))</f>
        <v/>
      </c>
      <c r="Q2382">
        <f>IF(OR($R2381="",$R2381="T"),"",IF($R2381="B",$Q2381,IF($Q2381+1&gt;$K$3,"",$Q2381+1)))</f>
        <v/>
      </c>
      <c r="R2382">
        <f>IF(OR($R2381="",$R2381="T"),"",IF($R2381="B","S",IF($Q2381+1&gt;$K$3,"T",IF(INDEX($M$4:$M$2003,MATCH($Q2381+1,$P$4:$P$2003,0))&lt;&gt;INDEX($M$4:$M$2003,MATCH($Q2381,$P$4:$P$2003,0)),"B","S"))))</f>
        <v/>
      </c>
      <c r="S2382">
        <f>IF(Q2382="","",IFERROR(MATCH(Q2382,$P$4:$P$2003,0),""))</f>
        <v/>
      </c>
    </row>
    <row r="2383">
      <c r="A2383" s="4">
        <f>IF($R2383="","",IF($R2383="T","Gesamtergebnis",IF($R2383="B",INDEX($M$4:$M$2003,$S2383),INDEX($L$4:$L$2003,$S2383))))</f>
        <v/>
      </c>
      <c r="B2383" s="4">
        <f>IF($R2383="","",IF($R2383="T",$K$3,IF($R2383="B",COUNTIFS($M$4:$M$2003,INDEX($M$4:$M$2003,$S2383),$N$4:$N$2003,1),1)))</f>
        <v/>
      </c>
      <c r="Q2383">
        <f>IF(OR($R2382="",$R2382="T"),"",IF($R2382="B",$Q2382,IF($Q2382+1&gt;$K$3,"",$Q2382+1)))</f>
        <v/>
      </c>
      <c r="R2383">
        <f>IF(OR($R2382="",$R2382="T"),"",IF($R2382="B","S",IF($Q2382+1&gt;$K$3,"T",IF(INDEX($M$4:$M$2003,MATCH($Q2382+1,$P$4:$P$2003,0))&lt;&gt;INDEX($M$4:$M$2003,MATCH($Q2382,$P$4:$P$2003,0)),"B","S"))))</f>
        <v/>
      </c>
      <c r="S2383">
        <f>IF(Q2383="","",IFERROR(MATCH(Q2383,$P$4:$P$2003,0),""))</f>
        <v/>
      </c>
    </row>
    <row r="2384">
      <c r="A2384" s="4">
        <f>IF($R2384="","",IF($R2384="T","Gesamtergebnis",IF($R2384="B",INDEX($M$4:$M$2003,$S2384),INDEX($L$4:$L$2003,$S2384))))</f>
        <v/>
      </c>
      <c r="B2384" s="4">
        <f>IF($R2384="","",IF($R2384="T",$K$3,IF($R2384="B",COUNTIFS($M$4:$M$2003,INDEX($M$4:$M$2003,$S2384),$N$4:$N$2003,1),1)))</f>
        <v/>
      </c>
      <c r="Q2384">
        <f>IF(OR($R2383="",$R2383="T"),"",IF($R2383="B",$Q2383,IF($Q2383+1&gt;$K$3,"",$Q2383+1)))</f>
        <v/>
      </c>
      <c r="R2384">
        <f>IF(OR($R2383="",$R2383="T"),"",IF($R2383="B","S",IF($Q2383+1&gt;$K$3,"T",IF(INDEX($M$4:$M$2003,MATCH($Q2383+1,$P$4:$P$2003,0))&lt;&gt;INDEX($M$4:$M$2003,MATCH($Q2383,$P$4:$P$2003,0)),"B","S"))))</f>
        <v/>
      </c>
      <c r="S2384">
        <f>IF(Q2384="","",IFERROR(MATCH(Q2384,$P$4:$P$2003,0),""))</f>
        <v/>
      </c>
    </row>
    <row r="2385">
      <c r="A2385" s="4">
        <f>IF($R2385="","",IF($R2385="T","Gesamtergebnis",IF($R2385="B",INDEX($M$4:$M$2003,$S2385),INDEX($L$4:$L$2003,$S2385))))</f>
        <v/>
      </c>
      <c r="B2385" s="4">
        <f>IF($R2385="","",IF($R2385="T",$K$3,IF($R2385="B",COUNTIFS($M$4:$M$2003,INDEX($M$4:$M$2003,$S2385),$N$4:$N$2003,1),1)))</f>
        <v/>
      </c>
      <c r="Q2385">
        <f>IF(OR($R2384="",$R2384="T"),"",IF($R2384="B",$Q2384,IF($Q2384+1&gt;$K$3,"",$Q2384+1)))</f>
        <v/>
      </c>
      <c r="R2385">
        <f>IF(OR($R2384="",$R2384="T"),"",IF($R2384="B","S",IF($Q2384+1&gt;$K$3,"T",IF(INDEX($M$4:$M$2003,MATCH($Q2384+1,$P$4:$P$2003,0))&lt;&gt;INDEX($M$4:$M$2003,MATCH($Q2384,$P$4:$P$2003,0)),"B","S"))))</f>
        <v/>
      </c>
      <c r="S2385">
        <f>IF(Q2385="","",IFERROR(MATCH(Q2385,$P$4:$P$2003,0),""))</f>
        <v/>
      </c>
    </row>
    <row r="2386">
      <c r="A2386" s="4">
        <f>IF($R2386="","",IF($R2386="T","Gesamtergebnis",IF($R2386="B",INDEX($M$4:$M$2003,$S2386),INDEX($L$4:$L$2003,$S2386))))</f>
        <v/>
      </c>
      <c r="B2386" s="4">
        <f>IF($R2386="","",IF($R2386="T",$K$3,IF($R2386="B",COUNTIFS($M$4:$M$2003,INDEX($M$4:$M$2003,$S2386),$N$4:$N$2003,1),1)))</f>
        <v/>
      </c>
      <c r="Q2386">
        <f>IF(OR($R2385="",$R2385="T"),"",IF($R2385="B",$Q2385,IF($Q2385+1&gt;$K$3,"",$Q2385+1)))</f>
        <v/>
      </c>
      <c r="R2386">
        <f>IF(OR($R2385="",$R2385="T"),"",IF($R2385="B","S",IF($Q2385+1&gt;$K$3,"T",IF(INDEX($M$4:$M$2003,MATCH($Q2385+1,$P$4:$P$2003,0))&lt;&gt;INDEX($M$4:$M$2003,MATCH($Q2385,$P$4:$P$2003,0)),"B","S"))))</f>
        <v/>
      </c>
      <c r="S2386">
        <f>IF(Q2386="","",IFERROR(MATCH(Q2386,$P$4:$P$2003,0),""))</f>
        <v/>
      </c>
    </row>
    <row r="2387">
      <c r="A2387" s="4">
        <f>IF($R2387="","",IF($R2387="T","Gesamtergebnis",IF($R2387="B",INDEX($M$4:$M$2003,$S2387),INDEX($L$4:$L$2003,$S2387))))</f>
        <v/>
      </c>
      <c r="B2387" s="4">
        <f>IF($R2387="","",IF($R2387="T",$K$3,IF($R2387="B",COUNTIFS($M$4:$M$2003,INDEX($M$4:$M$2003,$S2387),$N$4:$N$2003,1),1)))</f>
        <v/>
      </c>
      <c r="Q2387">
        <f>IF(OR($R2386="",$R2386="T"),"",IF($R2386="B",$Q2386,IF($Q2386+1&gt;$K$3,"",$Q2386+1)))</f>
        <v/>
      </c>
      <c r="R2387">
        <f>IF(OR($R2386="",$R2386="T"),"",IF($R2386="B","S",IF($Q2386+1&gt;$K$3,"T",IF(INDEX($M$4:$M$2003,MATCH($Q2386+1,$P$4:$P$2003,0))&lt;&gt;INDEX($M$4:$M$2003,MATCH($Q2386,$P$4:$P$2003,0)),"B","S"))))</f>
        <v/>
      </c>
      <c r="S2387">
        <f>IF(Q2387="","",IFERROR(MATCH(Q2387,$P$4:$P$2003,0),""))</f>
        <v/>
      </c>
    </row>
    <row r="2388">
      <c r="A2388" s="4">
        <f>IF($R2388="","",IF($R2388="T","Gesamtergebnis",IF($R2388="B",INDEX($M$4:$M$2003,$S2388),INDEX($L$4:$L$2003,$S2388))))</f>
        <v/>
      </c>
      <c r="B2388" s="4">
        <f>IF($R2388="","",IF($R2388="T",$K$3,IF($R2388="B",COUNTIFS($M$4:$M$2003,INDEX($M$4:$M$2003,$S2388),$N$4:$N$2003,1),1)))</f>
        <v/>
      </c>
      <c r="Q2388">
        <f>IF(OR($R2387="",$R2387="T"),"",IF($R2387="B",$Q2387,IF($Q2387+1&gt;$K$3,"",$Q2387+1)))</f>
        <v/>
      </c>
      <c r="R2388">
        <f>IF(OR($R2387="",$R2387="T"),"",IF($R2387="B","S",IF($Q2387+1&gt;$K$3,"T",IF(INDEX($M$4:$M$2003,MATCH($Q2387+1,$P$4:$P$2003,0))&lt;&gt;INDEX($M$4:$M$2003,MATCH($Q2387,$P$4:$P$2003,0)),"B","S"))))</f>
        <v/>
      </c>
      <c r="S2388">
        <f>IF(Q2388="","",IFERROR(MATCH(Q2388,$P$4:$P$2003,0),""))</f>
        <v/>
      </c>
    </row>
    <row r="2389">
      <c r="A2389" s="4">
        <f>IF($R2389="","",IF($R2389="T","Gesamtergebnis",IF($R2389="B",INDEX($M$4:$M$2003,$S2389),INDEX($L$4:$L$2003,$S2389))))</f>
        <v/>
      </c>
      <c r="B2389" s="4">
        <f>IF($R2389="","",IF($R2389="T",$K$3,IF($R2389="B",COUNTIFS($M$4:$M$2003,INDEX($M$4:$M$2003,$S2389),$N$4:$N$2003,1),1)))</f>
        <v/>
      </c>
      <c r="Q2389">
        <f>IF(OR($R2388="",$R2388="T"),"",IF($R2388="B",$Q2388,IF($Q2388+1&gt;$K$3,"",$Q2388+1)))</f>
        <v/>
      </c>
      <c r="R2389">
        <f>IF(OR($R2388="",$R2388="T"),"",IF($R2388="B","S",IF($Q2388+1&gt;$K$3,"T",IF(INDEX($M$4:$M$2003,MATCH($Q2388+1,$P$4:$P$2003,0))&lt;&gt;INDEX($M$4:$M$2003,MATCH($Q2388,$P$4:$P$2003,0)),"B","S"))))</f>
        <v/>
      </c>
      <c r="S2389">
        <f>IF(Q2389="","",IFERROR(MATCH(Q2389,$P$4:$P$2003,0),""))</f>
        <v/>
      </c>
    </row>
    <row r="2390">
      <c r="A2390" s="4">
        <f>IF($R2390="","",IF($R2390="T","Gesamtergebnis",IF($R2390="B",INDEX($M$4:$M$2003,$S2390),INDEX($L$4:$L$2003,$S2390))))</f>
        <v/>
      </c>
      <c r="B2390" s="4">
        <f>IF($R2390="","",IF($R2390="T",$K$3,IF($R2390="B",COUNTIFS($M$4:$M$2003,INDEX($M$4:$M$2003,$S2390),$N$4:$N$2003,1),1)))</f>
        <v/>
      </c>
      <c r="Q2390">
        <f>IF(OR($R2389="",$R2389="T"),"",IF($R2389="B",$Q2389,IF($Q2389+1&gt;$K$3,"",$Q2389+1)))</f>
        <v/>
      </c>
      <c r="R2390">
        <f>IF(OR($R2389="",$R2389="T"),"",IF($R2389="B","S",IF($Q2389+1&gt;$K$3,"T",IF(INDEX($M$4:$M$2003,MATCH($Q2389+1,$P$4:$P$2003,0))&lt;&gt;INDEX($M$4:$M$2003,MATCH($Q2389,$P$4:$P$2003,0)),"B","S"))))</f>
        <v/>
      </c>
      <c r="S2390">
        <f>IF(Q2390="","",IFERROR(MATCH(Q2390,$P$4:$P$2003,0),""))</f>
        <v/>
      </c>
    </row>
    <row r="2391">
      <c r="A2391" s="4">
        <f>IF($R2391="","",IF($R2391="T","Gesamtergebnis",IF($R2391="B",INDEX($M$4:$M$2003,$S2391),INDEX($L$4:$L$2003,$S2391))))</f>
        <v/>
      </c>
      <c r="B2391" s="4">
        <f>IF($R2391="","",IF($R2391="T",$K$3,IF($R2391="B",COUNTIFS($M$4:$M$2003,INDEX($M$4:$M$2003,$S2391),$N$4:$N$2003,1),1)))</f>
        <v/>
      </c>
      <c r="Q2391">
        <f>IF(OR($R2390="",$R2390="T"),"",IF($R2390="B",$Q2390,IF($Q2390+1&gt;$K$3,"",$Q2390+1)))</f>
        <v/>
      </c>
      <c r="R2391">
        <f>IF(OR($R2390="",$R2390="T"),"",IF($R2390="B","S",IF($Q2390+1&gt;$K$3,"T",IF(INDEX($M$4:$M$2003,MATCH($Q2390+1,$P$4:$P$2003,0))&lt;&gt;INDEX($M$4:$M$2003,MATCH($Q2390,$P$4:$P$2003,0)),"B","S"))))</f>
        <v/>
      </c>
      <c r="S2391">
        <f>IF(Q2391="","",IFERROR(MATCH(Q2391,$P$4:$P$2003,0),""))</f>
        <v/>
      </c>
    </row>
    <row r="2392">
      <c r="A2392" s="4">
        <f>IF($R2392="","",IF($R2392="T","Gesamtergebnis",IF($R2392="B",INDEX($M$4:$M$2003,$S2392),INDEX($L$4:$L$2003,$S2392))))</f>
        <v/>
      </c>
      <c r="B2392" s="4">
        <f>IF($R2392="","",IF($R2392="T",$K$3,IF($R2392="B",COUNTIFS($M$4:$M$2003,INDEX($M$4:$M$2003,$S2392),$N$4:$N$2003,1),1)))</f>
        <v/>
      </c>
      <c r="Q2392">
        <f>IF(OR($R2391="",$R2391="T"),"",IF($R2391="B",$Q2391,IF($Q2391+1&gt;$K$3,"",$Q2391+1)))</f>
        <v/>
      </c>
      <c r="R2392">
        <f>IF(OR($R2391="",$R2391="T"),"",IF($R2391="B","S",IF($Q2391+1&gt;$K$3,"T",IF(INDEX($M$4:$M$2003,MATCH($Q2391+1,$P$4:$P$2003,0))&lt;&gt;INDEX($M$4:$M$2003,MATCH($Q2391,$P$4:$P$2003,0)),"B","S"))))</f>
        <v/>
      </c>
      <c r="S2392">
        <f>IF(Q2392="","",IFERROR(MATCH(Q2392,$P$4:$P$2003,0),""))</f>
        <v/>
      </c>
    </row>
    <row r="2393">
      <c r="A2393" s="4">
        <f>IF($R2393="","",IF($R2393="T","Gesamtergebnis",IF($R2393="B",INDEX($M$4:$M$2003,$S2393),INDEX($L$4:$L$2003,$S2393))))</f>
        <v/>
      </c>
      <c r="B2393" s="4">
        <f>IF($R2393="","",IF($R2393="T",$K$3,IF($R2393="B",COUNTIFS($M$4:$M$2003,INDEX($M$4:$M$2003,$S2393),$N$4:$N$2003,1),1)))</f>
        <v/>
      </c>
      <c r="Q2393">
        <f>IF(OR($R2392="",$R2392="T"),"",IF($R2392="B",$Q2392,IF($Q2392+1&gt;$K$3,"",$Q2392+1)))</f>
        <v/>
      </c>
      <c r="R2393">
        <f>IF(OR($R2392="",$R2392="T"),"",IF($R2392="B","S",IF($Q2392+1&gt;$K$3,"T",IF(INDEX($M$4:$M$2003,MATCH($Q2392+1,$P$4:$P$2003,0))&lt;&gt;INDEX($M$4:$M$2003,MATCH($Q2392,$P$4:$P$2003,0)),"B","S"))))</f>
        <v/>
      </c>
      <c r="S2393">
        <f>IF(Q2393="","",IFERROR(MATCH(Q2393,$P$4:$P$2003,0),""))</f>
        <v/>
      </c>
    </row>
    <row r="2394">
      <c r="A2394" s="4">
        <f>IF($R2394="","",IF($R2394="T","Gesamtergebnis",IF($R2394="B",INDEX($M$4:$M$2003,$S2394),INDEX($L$4:$L$2003,$S2394))))</f>
        <v/>
      </c>
      <c r="B2394" s="4">
        <f>IF($R2394="","",IF($R2394="T",$K$3,IF($R2394="B",COUNTIFS($M$4:$M$2003,INDEX($M$4:$M$2003,$S2394),$N$4:$N$2003,1),1)))</f>
        <v/>
      </c>
      <c r="Q2394">
        <f>IF(OR($R2393="",$R2393="T"),"",IF($R2393="B",$Q2393,IF($Q2393+1&gt;$K$3,"",$Q2393+1)))</f>
        <v/>
      </c>
      <c r="R2394">
        <f>IF(OR($R2393="",$R2393="T"),"",IF($R2393="B","S",IF($Q2393+1&gt;$K$3,"T",IF(INDEX($M$4:$M$2003,MATCH($Q2393+1,$P$4:$P$2003,0))&lt;&gt;INDEX($M$4:$M$2003,MATCH($Q2393,$P$4:$P$2003,0)),"B","S"))))</f>
        <v/>
      </c>
      <c r="S2394">
        <f>IF(Q2394="","",IFERROR(MATCH(Q2394,$P$4:$P$2003,0),""))</f>
        <v/>
      </c>
    </row>
    <row r="2395">
      <c r="A2395" s="4">
        <f>IF($R2395="","",IF($R2395="T","Gesamtergebnis",IF($R2395="B",INDEX($M$4:$M$2003,$S2395),INDEX($L$4:$L$2003,$S2395))))</f>
        <v/>
      </c>
      <c r="B2395" s="4">
        <f>IF($R2395="","",IF($R2395="T",$K$3,IF($R2395="B",COUNTIFS($M$4:$M$2003,INDEX($M$4:$M$2003,$S2395),$N$4:$N$2003,1),1)))</f>
        <v/>
      </c>
      <c r="Q2395">
        <f>IF(OR($R2394="",$R2394="T"),"",IF($R2394="B",$Q2394,IF($Q2394+1&gt;$K$3,"",$Q2394+1)))</f>
        <v/>
      </c>
      <c r="R2395">
        <f>IF(OR($R2394="",$R2394="T"),"",IF($R2394="B","S",IF($Q2394+1&gt;$K$3,"T",IF(INDEX($M$4:$M$2003,MATCH($Q2394+1,$P$4:$P$2003,0))&lt;&gt;INDEX($M$4:$M$2003,MATCH($Q2394,$P$4:$P$2003,0)),"B","S"))))</f>
        <v/>
      </c>
      <c r="S2395">
        <f>IF(Q2395="","",IFERROR(MATCH(Q2395,$P$4:$P$2003,0),""))</f>
        <v/>
      </c>
    </row>
    <row r="2396">
      <c r="A2396" s="4">
        <f>IF($R2396="","",IF($R2396="T","Gesamtergebnis",IF($R2396="B",INDEX($M$4:$M$2003,$S2396),INDEX($L$4:$L$2003,$S2396))))</f>
        <v/>
      </c>
      <c r="B2396" s="4">
        <f>IF($R2396="","",IF($R2396="T",$K$3,IF($R2396="B",COUNTIFS($M$4:$M$2003,INDEX($M$4:$M$2003,$S2396),$N$4:$N$2003,1),1)))</f>
        <v/>
      </c>
      <c r="Q2396">
        <f>IF(OR($R2395="",$R2395="T"),"",IF($R2395="B",$Q2395,IF($Q2395+1&gt;$K$3,"",$Q2395+1)))</f>
        <v/>
      </c>
      <c r="R2396">
        <f>IF(OR($R2395="",$R2395="T"),"",IF($R2395="B","S",IF($Q2395+1&gt;$K$3,"T",IF(INDEX($M$4:$M$2003,MATCH($Q2395+1,$P$4:$P$2003,0))&lt;&gt;INDEX($M$4:$M$2003,MATCH($Q2395,$P$4:$P$2003,0)),"B","S"))))</f>
        <v/>
      </c>
      <c r="S2396">
        <f>IF(Q2396="","",IFERROR(MATCH(Q2396,$P$4:$P$2003,0),""))</f>
        <v/>
      </c>
    </row>
    <row r="2397">
      <c r="A2397" s="4">
        <f>IF($R2397="","",IF($R2397="T","Gesamtergebnis",IF($R2397="B",INDEX($M$4:$M$2003,$S2397),INDEX($L$4:$L$2003,$S2397))))</f>
        <v/>
      </c>
      <c r="B2397" s="4">
        <f>IF($R2397="","",IF($R2397="T",$K$3,IF($R2397="B",COUNTIFS($M$4:$M$2003,INDEX($M$4:$M$2003,$S2397),$N$4:$N$2003,1),1)))</f>
        <v/>
      </c>
      <c r="Q2397">
        <f>IF(OR($R2396="",$R2396="T"),"",IF($R2396="B",$Q2396,IF($Q2396+1&gt;$K$3,"",$Q2396+1)))</f>
        <v/>
      </c>
      <c r="R2397">
        <f>IF(OR($R2396="",$R2396="T"),"",IF($R2396="B","S",IF($Q2396+1&gt;$K$3,"T",IF(INDEX($M$4:$M$2003,MATCH($Q2396+1,$P$4:$P$2003,0))&lt;&gt;INDEX($M$4:$M$2003,MATCH($Q2396,$P$4:$P$2003,0)),"B","S"))))</f>
        <v/>
      </c>
      <c r="S2397">
        <f>IF(Q2397="","",IFERROR(MATCH(Q2397,$P$4:$P$2003,0),""))</f>
        <v/>
      </c>
    </row>
    <row r="2398">
      <c r="A2398" s="4">
        <f>IF($R2398="","",IF($R2398="T","Gesamtergebnis",IF($R2398="B",INDEX($M$4:$M$2003,$S2398),INDEX($L$4:$L$2003,$S2398))))</f>
        <v/>
      </c>
      <c r="B2398" s="4">
        <f>IF($R2398="","",IF($R2398="T",$K$3,IF($R2398="B",COUNTIFS($M$4:$M$2003,INDEX($M$4:$M$2003,$S2398),$N$4:$N$2003,1),1)))</f>
        <v/>
      </c>
      <c r="Q2398">
        <f>IF(OR($R2397="",$R2397="T"),"",IF($R2397="B",$Q2397,IF($Q2397+1&gt;$K$3,"",$Q2397+1)))</f>
        <v/>
      </c>
      <c r="R2398">
        <f>IF(OR($R2397="",$R2397="T"),"",IF($R2397="B","S",IF($Q2397+1&gt;$K$3,"T",IF(INDEX($M$4:$M$2003,MATCH($Q2397+1,$P$4:$P$2003,0))&lt;&gt;INDEX($M$4:$M$2003,MATCH($Q2397,$P$4:$P$2003,0)),"B","S"))))</f>
        <v/>
      </c>
      <c r="S2398">
        <f>IF(Q2398="","",IFERROR(MATCH(Q2398,$P$4:$P$2003,0),""))</f>
        <v/>
      </c>
    </row>
    <row r="2399">
      <c r="A2399" s="4">
        <f>IF($R2399="","",IF($R2399="T","Gesamtergebnis",IF($R2399="B",INDEX($M$4:$M$2003,$S2399),INDEX($L$4:$L$2003,$S2399))))</f>
        <v/>
      </c>
      <c r="B2399" s="4">
        <f>IF($R2399="","",IF($R2399="T",$K$3,IF($R2399="B",COUNTIFS($M$4:$M$2003,INDEX($M$4:$M$2003,$S2399),$N$4:$N$2003,1),1)))</f>
        <v/>
      </c>
      <c r="Q2399">
        <f>IF(OR($R2398="",$R2398="T"),"",IF($R2398="B",$Q2398,IF($Q2398+1&gt;$K$3,"",$Q2398+1)))</f>
        <v/>
      </c>
      <c r="R2399">
        <f>IF(OR($R2398="",$R2398="T"),"",IF($R2398="B","S",IF($Q2398+1&gt;$K$3,"T",IF(INDEX($M$4:$M$2003,MATCH($Q2398+1,$P$4:$P$2003,0))&lt;&gt;INDEX($M$4:$M$2003,MATCH($Q2398,$P$4:$P$2003,0)),"B","S"))))</f>
        <v/>
      </c>
      <c r="S2399">
        <f>IF(Q2399="","",IFERROR(MATCH(Q2399,$P$4:$P$2003,0),""))</f>
        <v/>
      </c>
    </row>
    <row r="2400">
      <c r="A2400" s="4">
        <f>IF($R2400="","",IF($R2400="T","Gesamtergebnis",IF($R2400="B",INDEX($M$4:$M$2003,$S2400),INDEX($L$4:$L$2003,$S2400))))</f>
        <v/>
      </c>
      <c r="B2400" s="4">
        <f>IF($R2400="","",IF($R2400="T",$K$3,IF($R2400="B",COUNTIFS($M$4:$M$2003,INDEX($M$4:$M$2003,$S2400),$N$4:$N$2003,1),1)))</f>
        <v/>
      </c>
      <c r="Q2400">
        <f>IF(OR($R2399="",$R2399="T"),"",IF($R2399="B",$Q2399,IF($Q2399+1&gt;$K$3,"",$Q2399+1)))</f>
        <v/>
      </c>
      <c r="R2400">
        <f>IF(OR($R2399="",$R2399="T"),"",IF($R2399="B","S",IF($Q2399+1&gt;$K$3,"T",IF(INDEX($M$4:$M$2003,MATCH($Q2399+1,$P$4:$P$2003,0))&lt;&gt;INDEX($M$4:$M$2003,MATCH($Q2399,$P$4:$P$2003,0)),"B","S"))))</f>
        <v/>
      </c>
      <c r="S2400">
        <f>IF(Q2400="","",IFERROR(MATCH(Q2400,$P$4:$P$2003,0),""))</f>
        <v/>
      </c>
    </row>
  </sheetData>
  <conditionalFormatting sqref="A4:B2400">
    <cfRule type="expression" priority="1" dxfId="0">
      <formula>$R4="B"</formula>
    </cfRule>
    <cfRule type="expression" priority="2" dxfId="1">
      <formula>$R4="T"</formula>
    </cfRule>
  </conditionalFormatting>
  <conditionalFormatting sqref="A1">
    <cfRule type="expression" priority="3" dxfId="2">
      <formula>OR(ISNUMBER(SEARCH("WP00123",$A$1)),ISNUMBER(SEARCH("Kundenname",$A$1)),$A$1="")</formula>
    </cfRule>
  </conditionalFormatting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2026-07-20T17:29:45Z</dcterms:created>
  <dcterms:modified xmlns:dcterms="http://purl.org/dc/terms/" xmlns:xsi="http://www.w3.org/2001/XMLSchema-instance" xsi:type="dcterms:W3CDTF">2026-07-20T17:29:45Z</dcterms:modified>
</cp:coreProperties>
</file>